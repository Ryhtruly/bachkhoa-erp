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acbook/Desktop/bachkhoa-erp/tai_lieu/co_so_du_lieu/"/>
    </mc:Choice>
  </mc:AlternateContent>
  <xr:revisionPtr revIDLastSave="0" documentId="13_ncr:1_{091BE39C-4A0A-D44D-B891-8F09AF98CBB6}" xr6:coauthVersionLast="47" xr6:coauthVersionMax="47" xr10:uidLastSave="{00000000-0000-0000-0000-000000000000}"/>
  <bookViews>
    <workbookView xWindow="140" yWindow="640" windowWidth="18100" windowHeight="19400" activeTab="6" xr2:uid="{00000000-000D-0000-FFFF-FFFF00000000}"/>
  </bookViews>
  <sheets>
    <sheet name="ThuChiVat" sheetId="1" r:id="rId1"/>
    <sheet name="DanhMuc" sheetId="2" r:id="rId2"/>
    <sheet name="TongHopThang" sheetId="3" r:id="rId3"/>
    <sheet name="DoiChieuQuy" sheetId="4" r:id="rId4"/>
    <sheet name="HuongDan" sheetId="5" r:id="rId5"/>
    <sheet name="PhieuChi" sheetId="6" r:id="rId6"/>
    <sheet name="Script_VIETTEXT" sheetId="7" r:id="rId7"/>
    <sheet name="Dashboard" sheetId="8" r:id="rId8"/>
    <sheet name="PhieuTamUng" sheetId="9" r:id="rId9"/>
    <sheet name="PhieuHoanUng" sheetId="10" r:id="rId10"/>
  </sheets>
  <definedNames>
    <definedName name="_xlnm._FilterDatabase" localSheetId="0" hidden="1">ThuChiVat!$A$1:$S$2000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10" l="1"/>
  <c r="B10" i="10" a="1"/>
  <c r="B10" i="10" s="1"/>
  <c r="G9" i="10" a="1"/>
  <c r="G9" i="10" s="1"/>
  <c r="B9" i="10" a="1"/>
  <c r="B9" i="10"/>
  <c r="G8" i="10" a="1"/>
  <c r="G8" i="10" s="1"/>
  <c r="B8" i="10" a="1"/>
  <c r="B8" i="10" s="1"/>
  <c r="G7" i="10" a="1"/>
  <c r="G7" i="10" s="1"/>
  <c r="B7" i="10" a="1"/>
  <c r="B7" i="10" s="1"/>
  <c r="G6" i="10" a="1"/>
  <c r="G6" i="10" s="1"/>
  <c r="B6" i="10"/>
  <c r="E2" i="10"/>
  <c r="A12" i="9"/>
  <c r="B10" i="9" a="1"/>
  <c r="B10" i="9" s="1"/>
  <c r="G9" i="9" a="1"/>
  <c r="G9" i="9" s="1"/>
  <c r="B9" i="9" a="1"/>
  <c r="B9" i="9" s="1"/>
  <c r="G8" i="9" a="1"/>
  <c r="G8" i="9" s="1"/>
  <c r="B8" i="9" a="1"/>
  <c r="B8" i="9" s="1"/>
  <c r="G7" i="9" a="1"/>
  <c r="G7" i="9" s="1"/>
  <c r="B7" i="9" a="1"/>
  <c r="B7" i="9" s="1"/>
  <c r="G6" i="9" a="1"/>
  <c r="G6" i="9" s="1"/>
  <c r="B6" i="9"/>
  <c r="E2" i="9"/>
  <c r="C54" i="8"/>
  <c r="B54" i="8"/>
  <c r="C53" i="8"/>
  <c r="B53" i="8"/>
  <c r="C52" i="8"/>
  <c r="B52" i="8"/>
  <c r="C51" i="8"/>
  <c r="B51" i="8"/>
  <c r="C50" i="8"/>
  <c r="B50" i="8"/>
  <c r="C49" i="8"/>
  <c r="B49" i="8"/>
  <c r="C48" i="8"/>
  <c r="B48" i="8"/>
  <c r="C47" i="8"/>
  <c r="B47" i="8"/>
  <c r="C46" i="8"/>
  <c r="B46" i="8"/>
  <c r="C45" i="8"/>
  <c r="B45" i="8"/>
  <c r="C44" i="8"/>
  <c r="B44" i="8"/>
  <c r="C43" i="8"/>
  <c r="B43" i="8"/>
  <c r="C42" i="8"/>
  <c r="B42" i="8"/>
  <c r="C41" i="8"/>
  <c r="B41" i="8"/>
  <c r="C40" i="8"/>
  <c r="B40" i="8"/>
  <c r="C39" i="8"/>
  <c r="B39" i="8"/>
  <c r="C38" i="8"/>
  <c r="B38" i="8"/>
  <c r="C37" i="8"/>
  <c r="B37" i="8"/>
  <c r="C36" i="8"/>
  <c r="B36" i="8"/>
  <c r="A35" i="8" a="1"/>
  <c r="A35" i="8"/>
  <c r="A30" i="8"/>
  <c r="A29" i="8"/>
  <c r="A28" i="8"/>
  <c r="A27" i="8"/>
  <c r="A26" i="8"/>
  <c r="A25" i="8"/>
  <c r="A24" i="8"/>
  <c r="A23" i="8"/>
  <c r="A22" i="8"/>
  <c r="A21" i="8"/>
  <c r="A20" i="8"/>
  <c r="A19" i="8"/>
  <c r="A18" i="8"/>
  <c r="A17" i="8"/>
  <c r="A16" i="8"/>
  <c r="A15" i="8"/>
  <c r="A14" i="8"/>
  <c r="A13" i="8"/>
  <c r="A12" i="8"/>
  <c r="A11" i="8"/>
  <c r="B3" i="8"/>
  <c r="E3" i="8" s="1"/>
  <c r="A12" i="6"/>
  <c r="B10" i="6" a="1"/>
  <c r="B10" i="6" s="1"/>
  <c r="G9" i="6" a="1"/>
  <c r="G9" i="6" s="1"/>
  <c r="B9" i="6" a="1"/>
  <c r="B9" i="6" s="1"/>
  <c r="G8" i="6" a="1"/>
  <c r="G8" i="6" s="1"/>
  <c r="B8" i="6" a="1"/>
  <c r="B8" i="6" s="1"/>
  <c r="G7" i="6" a="1"/>
  <c r="G7" i="6" s="1"/>
  <c r="B7" i="6" a="1"/>
  <c r="B7" i="6" s="1"/>
  <c r="G6" i="6" a="1"/>
  <c r="G6" i="6" s="1"/>
  <c r="B6" i="6"/>
  <c r="E2" i="6"/>
  <c r="B7" i="3"/>
  <c r="E2" i="3"/>
  <c r="D2" i="3"/>
  <c r="N2000" i="1"/>
  <c r="M2000" i="1"/>
  <c r="K2000" i="1"/>
  <c r="J2000" i="1"/>
  <c r="B2000" i="1"/>
  <c r="N1999" i="1"/>
  <c r="M1999" i="1"/>
  <c r="K1999" i="1"/>
  <c r="J1999" i="1"/>
  <c r="B1999" i="1"/>
  <c r="N1998" i="1"/>
  <c r="M1998" i="1"/>
  <c r="K1998" i="1"/>
  <c r="J1998" i="1"/>
  <c r="B1998" i="1"/>
  <c r="N1997" i="1"/>
  <c r="M1997" i="1"/>
  <c r="K1997" i="1"/>
  <c r="J1997" i="1"/>
  <c r="B1997" i="1"/>
  <c r="N1996" i="1"/>
  <c r="M1996" i="1"/>
  <c r="K1996" i="1"/>
  <c r="J1996" i="1"/>
  <c r="B1996" i="1"/>
  <c r="N1995" i="1"/>
  <c r="M1995" i="1"/>
  <c r="K1995" i="1"/>
  <c r="J1995" i="1"/>
  <c r="B1995" i="1"/>
  <c r="N1994" i="1"/>
  <c r="M1994" i="1"/>
  <c r="K1994" i="1"/>
  <c r="J1994" i="1"/>
  <c r="B1994" i="1"/>
  <c r="N1993" i="1"/>
  <c r="M1993" i="1"/>
  <c r="K1993" i="1"/>
  <c r="J1993" i="1"/>
  <c r="B1993" i="1"/>
  <c r="N1992" i="1"/>
  <c r="M1992" i="1"/>
  <c r="K1992" i="1"/>
  <c r="J1992" i="1"/>
  <c r="B1992" i="1"/>
  <c r="N1991" i="1"/>
  <c r="M1991" i="1"/>
  <c r="K1991" i="1"/>
  <c r="J1991" i="1"/>
  <c r="B1991" i="1"/>
  <c r="N1990" i="1"/>
  <c r="M1990" i="1"/>
  <c r="K1990" i="1"/>
  <c r="J1990" i="1"/>
  <c r="B1990" i="1"/>
  <c r="N1989" i="1"/>
  <c r="M1989" i="1"/>
  <c r="K1989" i="1"/>
  <c r="J1989" i="1"/>
  <c r="B1989" i="1"/>
  <c r="N1988" i="1"/>
  <c r="M1988" i="1"/>
  <c r="K1988" i="1"/>
  <c r="J1988" i="1"/>
  <c r="B1988" i="1"/>
  <c r="N1987" i="1"/>
  <c r="M1987" i="1"/>
  <c r="K1987" i="1"/>
  <c r="J1987" i="1"/>
  <c r="B1987" i="1"/>
  <c r="N1986" i="1"/>
  <c r="M1986" i="1"/>
  <c r="K1986" i="1"/>
  <c r="J1986" i="1"/>
  <c r="B1986" i="1"/>
  <c r="N1985" i="1"/>
  <c r="M1985" i="1"/>
  <c r="K1985" i="1"/>
  <c r="J1985" i="1"/>
  <c r="B1985" i="1"/>
  <c r="N1984" i="1"/>
  <c r="M1984" i="1"/>
  <c r="K1984" i="1"/>
  <c r="J1984" i="1"/>
  <c r="B1984" i="1"/>
  <c r="N1983" i="1"/>
  <c r="M1983" i="1"/>
  <c r="K1983" i="1"/>
  <c r="J1983" i="1"/>
  <c r="B1983" i="1"/>
  <c r="N1982" i="1"/>
  <c r="M1982" i="1"/>
  <c r="K1982" i="1"/>
  <c r="J1982" i="1"/>
  <c r="B1982" i="1"/>
  <c r="N1981" i="1"/>
  <c r="M1981" i="1"/>
  <c r="K1981" i="1"/>
  <c r="J1981" i="1"/>
  <c r="B1981" i="1"/>
  <c r="N1980" i="1"/>
  <c r="M1980" i="1"/>
  <c r="K1980" i="1"/>
  <c r="J1980" i="1"/>
  <c r="B1980" i="1"/>
  <c r="N1979" i="1"/>
  <c r="M1979" i="1"/>
  <c r="K1979" i="1"/>
  <c r="J1979" i="1"/>
  <c r="B1979" i="1"/>
  <c r="N1978" i="1"/>
  <c r="M1978" i="1"/>
  <c r="K1978" i="1"/>
  <c r="J1978" i="1"/>
  <c r="B1978" i="1"/>
  <c r="N1977" i="1"/>
  <c r="M1977" i="1"/>
  <c r="K1977" i="1"/>
  <c r="J1977" i="1"/>
  <c r="B1977" i="1"/>
  <c r="N1976" i="1"/>
  <c r="M1976" i="1"/>
  <c r="K1976" i="1"/>
  <c r="J1976" i="1"/>
  <c r="B1976" i="1"/>
  <c r="N1975" i="1"/>
  <c r="M1975" i="1"/>
  <c r="K1975" i="1"/>
  <c r="J1975" i="1"/>
  <c r="B1975" i="1"/>
  <c r="N1974" i="1"/>
  <c r="M1974" i="1"/>
  <c r="K1974" i="1"/>
  <c r="J1974" i="1"/>
  <c r="B1974" i="1"/>
  <c r="N1973" i="1"/>
  <c r="M1973" i="1"/>
  <c r="K1973" i="1"/>
  <c r="J1973" i="1"/>
  <c r="B1973" i="1"/>
  <c r="N1972" i="1"/>
  <c r="M1972" i="1"/>
  <c r="K1972" i="1"/>
  <c r="J1972" i="1"/>
  <c r="B1972" i="1"/>
  <c r="N1971" i="1"/>
  <c r="M1971" i="1"/>
  <c r="K1971" i="1"/>
  <c r="J1971" i="1"/>
  <c r="B1971" i="1"/>
  <c r="N1970" i="1"/>
  <c r="M1970" i="1"/>
  <c r="K1970" i="1"/>
  <c r="J1970" i="1"/>
  <c r="B1970" i="1"/>
  <c r="N1969" i="1"/>
  <c r="M1969" i="1"/>
  <c r="K1969" i="1"/>
  <c r="J1969" i="1"/>
  <c r="B1969" i="1"/>
  <c r="N1968" i="1"/>
  <c r="M1968" i="1"/>
  <c r="K1968" i="1"/>
  <c r="J1968" i="1"/>
  <c r="B1968" i="1"/>
  <c r="N1967" i="1"/>
  <c r="M1967" i="1"/>
  <c r="K1967" i="1"/>
  <c r="J1967" i="1"/>
  <c r="B1967" i="1"/>
  <c r="N1966" i="1"/>
  <c r="M1966" i="1"/>
  <c r="K1966" i="1"/>
  <c r="J1966" i="1"/>
  <c r="B1966" i="1"/>
  <c r="N1965" i="1"/>
  <c r="M1965" i="1"/>
  <c r="K1965" i="1"/>
  <c r="J1965" i="1"/>
  <c r="B1965" i="1"/>
  <c r="N1964" i="1"/>
  <c r="M1964" i="1"/>
  <c r="K1964" i="1"/>
  <c r="J1964" i="1"/>
  <c r="B1964" i="1"/>
  <c r="N1963" i="1"/>
  <c r="M1963" i="1"/>
  <c r="K1963" i="1"/>
  <c r="J1963" i="1"/>
  <c r="B1963" i="1"/>
  <c r="N1962" i="1"/>
  <c r="M1962" i="1"/>
  <c r="K1962" i="1"/>
  <c r="J1962" i="1"/>
  <c r="B1962" i="1"/>
  <c r="N1961" i="1"/>
  <c r="M1961" i="1"/>
  <c r="K1961" i="1"/>
  <c r="J1961" i="1"/>
  <c r="B1961" i="1"/>
  <c r="N1960" i="1"/>
  <c r="M1960" i="1"/>
  <c r="K1960" i="1"/>
  <c r="J1960" i="1"/>
  <c r="B1960" i="1"/>
  <c r="N1959" i="1"/>
  <c r="M1959" i="1"/>
  <c r="K1959" i="1"/>
  <c r="J1959" i="1"/>
  <c r="B1959" i="1"/>
  <c r="N1958" i="1"/>
  <c r="M1958" i="1"/>
  <c r="K1958" i="1"/>
  <c r="J1958" i="1"/>
  <c r="B1958" i="1"/>
  <c r="N1957" i="1"/>
  <c r="M1957" i="1"/>
  <c r="K1957" i="1"/>
  <c r="J1957" i="1"/>
  <c r="B1957" i="1"/>
  <c r="N1956" i="1"/>
  <c r="M1956" i="1"/>
  <c r="K1956" i="1"/>
  <c r="J1956" i="1"/>
  <c r="B1956" i="1"/>
  <c r="N1955" i="1"/>
  <c r="M1955" i="1"/>
  <c r="K1955" i="1"/>
  <c r="J1955" i="1"/>
  <c r="B1955" i="1"/>
  <c r="N1954" i="1"/>
  <c r="M1954" i="1"/>
  <c r="K1954" i="1"/>
  <c r="J1954" i="1"/>
  <c r="B1954" i="1"/>
  <c r="N1953" i="1"/>
  <c r="M1953" i="1"/>
  <c r="K1953" i="1"/>
  <c r="J1953" i="1"/>
  <c r="B1953" i="1"/>
  <c r="N1952" i="1"/>
  <c r="M1952" i="1"/>
  <c r="K1952" i="1"/>
  <c r="J1952" i="1"/>
  <c r="B1952" i="1"/>
  <c r="N1951" i="1"/>
  <c r="M1951" i="1"/>
  <c r="K1951" i="1"/>
  <c r="J1951" i="1"/>
  <c r="B1951" i="1"/>
  <c r="N1950" i="1"/>
  <c r="M1950" i="1"/>
  <c r="K1950" i="1"/>
  <c r="J1950" i="1"/>
  <c r="B1950" i="1"/>
  <c r="N1949" i="1"/>
  <c r="M1949" i="1"/>
  <c r="K1949" i="1"/>
  <c r="J1949" i="1"/>
  <c r="B1949" i="1"/>
  <c r="N1948" i="1"/>
  <c r="M1948" i="1"/>
  <c r="K1948" i="1"/>
  <c r="J1948" i="1"/>
  <c r="B1948" i="1"/>
  <c r="N1947" i="1"/>
  <c r="M1947" i="1"/>
  <c r="K1947" i="1"/>
  <c r="J1947" i="1"/>
  <c r="B1947" i="1"/>
  <c r="N1946" i="1"/>
  <c r="M1946" i="1"/>
  <c r="K1946" i="1"/>
  <c r="J1946" i="1"/>
  <c r="B1946" i="1"/>
  <c r="N1945" i="1"/>
  <c r="M1945" i="1"/>
  <c r="K1945" i="1"/>
  <c r="J1945" i="1"/>
  <c r="B1945" i="1"/>
  <c r="N1944" i="1"/>
  <c r="M1944" i="1"/>
  <c r="K1944" i="1"/>
  <c r="J1944" i="1"/>
  <c r="B1944" i="1"/>
  <c r="N1943" i="1"/>
  <c r="M1943" i="1"/>
  <c r="K1943" i="1"/>
  <c r="J1943" i="1"/>
  <c r="B1943" i="1"/>
  <c r="N1942" i="1"/>
  <c r="M1942" i="1"/>
  <c r="K1942" i="1"/>
  <c r="J1942" i="1"/>
  <c r="B1942" i="1"/>
  <c r="N1941" i="1"/>
  <c r="M1941" i="1"/>
  <c r="K1941" i="1"/>
  <c r="J1941" i="1"/>
  <c r="B1941" i="1"/>
  <c r="N1940" i="1"/>
  <c r="M1940" i="1"/>
  <c r="K1940" i="1"/>
  <c r="J1940" i="1"/>
  <c r="B1940" i="1"/>
  <c r="N1939" i="1"/>
  <c r="M1939" i="1"/>
  <c r="K1939" i="1"/>
  <c r="J1939" i="1"/>
  <c r="B1939" i="1"/>
  <c r="N1938" i="1"/>
  <c r="M1938" i="1"/>
  <c r="K1938" i="1"/>
  <c r="J1938" i="1"/>
  <c r="B1938" i="1"/>
  <c r="N1937" i="1"/>
  <c r="M1937" i="1"/>
  <c r="K1937" i="1"/>
  <c r="J1937" i="1"/>
  <c r="B1937" i="1"/>
  <c r="N1936" i="1"/>
  <c r="M1936" i="1"/>
  <c r="K1936" i="1"/>
  <c r="J1936" i="1"/>
  <c r="B1936" i="1"/>
  <c r="N1935" i="1"/>
  <c r="M1935" i="1"/>
  <c r="K1935" i="1"/>
  <c r="J1935" i="1"/>
  <c r="B1935" i="1"/>
  <c r="N1934" i="1"/>
  <c r="M1934" i="1"/>
  <c r="K1934" i="1"/>
  <c r="J1934" i="1"/>
  <c r="B1934" i="1"/>
  <c r="N1933" i="1"/>
  <c r="M1933" i="1"/>
  <c r="K1933" i="1"/>
  <c r="J1933" i="1"/>
  <c r="B1933" i="1"/>
  <c r="N1932" i="1"/>
  <c r="M1932" i="1"/>
  <c r="K1932" i="1"/>
  <c r="J1932" i="1"/>
  <c r="B1932" i="1"/>
  <c r="N1931" i="1"/>
  <c r="M1931" i="1"/>
  <c r="K1931" i="1"/>
  <c r="J1931" i="1"/>
  <c r="B1931" i="1"/>
  <c r="N1930" i="1"/>
  <c r="M1930" i="1"/>
  <c r="K1930" i="1"/>
  <c r="J1930" i="1"/>
  <c r="B1930" i="1"/>
  <c r="N1929" i="1"/>
  <c r="M1929" i="1"/>
  <c r="K1929" i="1"/>
  <c r="J1929" i="1"/>
  <c r="B1929" i="1"/>
  <c r="N1928" i="1"/>
  <c r="M1928" i="1"/>
  <c r="K1928" i="1"/>
  <c r="J1928" i="1"/>
  <c r="B1928" i="1"/>
  <c r="N1927" i="1"/>
  <c r="M1927" i="1"/>
  <c r="K1927" i="1"/>
  <c r="J1927" i="1"/>
  <c r="B1927" i="1"/>
  <c r="N1926" i="1"/>
  <c r="M1926" i="1"/>
  <c r="K1926" i="1"/>
  <c r="J1926" i="1"/>
  <c r="B1926" i="1"/>
  <c r="N1925" i="1"/>
  <c r="M1925" i="1"/>
  <c r="K1925" i="1"/>
  <c r="J1925" i="1"/>
  <c r="B1925" i="1"/>
  <c r="N1924" i="1"/>
  <c r="M1924" i="1"/>
  <c r="K1924" i="1"/>
  <c r="J1924" i="1"/>
  <c r="B1924" i="1"/>
  <c r="N1923" i="1"/>
  <c r="M1923" i="1"/>
  <c r="K1923" i="1"/>
  <c r="J1923" i="1"/>
  <c r="B1923" i="1"/>
  <c r="N1922" i="1"/>
  <c r="M1922" i="1"/>
  <c r="K1922" i="1"/>
  <c r="J1922" i="1"/>
  <c r="B1922" i="1"/>
  <c r="N1921" i="1"/>
  <c r="M1921" i="1"/>
  <c r="K1921" i="1"/>
  <c r="J1921" i="1"/>
  <c r="B1921" i="1"/>
  <c r="N1920" i="1"/>
  <c r="M1920" i="1"/>
  <c r="K1920" i="1"/>
  <c r="J1920" i="1"/>
  <c r="B1920" i="1"/>
  <c r="N1919" i="1"/>
  <c r="M1919" i="1"/>
  <c r="K1919" i="1"/>
  <c r="J1919" i="1"/>
  <c r="B1919" i="1"/>
  <c r="N1918" i="1"/>
  <c r="M1918" i="1"/>
  <c r="K1918" i="1"/>
  <c r="J1918" i="1"/>
  <c r="B1918" i="1"/>
  <c r="N1917" i="1"/>
  <c r="M1917" i="1"/>
  <c r="K1917" i="1"/>
  <c r="J1917" i="1"/>
  <c r="B1917" i="1"/>
  <c r="N1916" i="1"/>
  <c r="M1916" i="1"/>
  <c r="K1916" i="1"/>
  <c r="J1916" i="1"/>
  <c r="B1916" i="1"/>
  <c r="N1915" i="1"/>
  <c r="M1915" i="1"/>
  <c r="K1915" i="1"/>
  <c r="J1915" i="1"/>
  <c r="B1915" i="1"/>
  <c r="N1914" i="1"/>
  <c r="M1914" i="1"/>
  <c r="K1914" i="1"/>
  <c r="J1914" i="1"/>
  <c r="B1914" i="1"/>
  <c r="N1913" i="1"/>
  <c r="M1913" i="1"/>
  <c r="K1913" i="1"/>
  <c r="J1913" i="1"/>
  <c r="B1913" i="1"/>
  <c r="N1912" i="1"/>
  <c r="M1912" i="1"/>
  <c r="K1912" i="1"/>
  <c r="J1912" i="1"/>
  <c r="B1912" i="1"/>
  <c r="N1911" i="1"/>
  <c r="M1911" i="1"/>
  <c r="K1911" i="1"/>
  <c r="J1911" i="1"/>
  <c r="B1911" i="1"/>
  <c r="N1910" i="1"/>
  <c r="M1910" i="1"/>
  <c r="K1910" i="1"/>
  <c r="J1910" i="1"/>
  <c r="B1910" i="1"/>
  <c r="N1909" i="1"/>
  <c r="M1909" i="1"/>
  <c r="K1909" i="1"/>
  <c r="J1909" i="1"/>
  <c r="B1909" i="1"/>
  <c r="N1908" i="1"/>
  <c r="M1908" i="1"/>
  <c r="K1908" i="1"/>
  <c r="J1908" i="1"/>
  <c r="B1908" i="1"/>
  <c r="N1907" i="1"/>
  <c r="M1907" i="1"/>
  <c r="K1907" i="1"/>
  <c r="J1907" i="1"/>
  <c r="B1907" i="1"/>
  <c r="N1906" i="1"/>
  <c r="M1906" i="1"/>
  <c r="K1906" i="1"/>
  <c r="J1906" i="1"/>
  <c r="B1906" i="1"/>
  <c r="N1905" i="1"/>
  <c r="M1905" i="1"/>
  <c r="K1905" i="1"/>
  <c r="J1905" i="1"/>
  <c r="B1905" i="1"/>
  <c r="N1904" i="1"/>
  <c r="M1904" i="1"/>
  <c r="K1904" i="1"/>
  <c r="J1904" i="1"/>
  <c r="B1904" i="1"/>
  <c r="N1903" i="1"/>
  <c r="M1903" i="1"/>
  <c r="K1903" i="1"/>
  <c r="J1903" i="1"/>
  <c r="B1903" i="1"/>
  <c r="N1902" i="1"/>
  <c r="M1902" i="1"/>
  <c r="K1902" i="1"/>
  <c r="J1902" i="1"/>
  <c r="B1902" i="1"/>
  <c r="N1901" i="1"/>
  <c r="M1901" i="1"/>
  <c r="K1901" i="1"/>
  <c r="J1901" i="1"/>
  <c r="B1901" i="1"/>
  <c r="N1900" i="1"/>
  <c r="M1900" i="1"/>
  <c r="K1900" i="1"/>
  <c r="J1900" i="1"/>
  <c r="B1900" i="1"/>
  <c r="N1899" i="1"/>
  <c r="M1899" i="1"/>
  <c r="K1899" i="1"/>
  <c r="J1899" i="1"/>
  <c r="B1899" i="1"/>
  <c r="N1898" i="1"/>
  <c r="M1898" i="1"/>
  <c r="K1898" i="1"/>
  <c r="J1898" i="1"/>
  <c r="B1898" i="1"/>
  <c r="N1897" i="1"/>
  <c r="M1897" i="1"/>
  <c r="K1897" i="1"/>
  <c r="J1897" i="1"/>
  <c r="B1897" i="1"/>
  <c r="N1896" i="1"/>
  <c r="M1896" i="1"/>
  <c r="K1896" i="1"/>
  <c r="J1896" i="1"/>
  <c r="B1896" i="1"/>
  <c r="N1895" i="1"/>
  <c r="M1895" i="1"/>
  <c r="K1895" i="1"/>
  <c r="J1895" i="1"/>
  <c r="B1895" i="1"/>
  <c r="N1894" i="1"/>
  <c r="M1894" i="1"/>
  <c r="K1894" i="1"/>
  <c r="J1894" i="1"/>
  <c r="B1894" i="1"/>
  <c r="N1893" i="1"/>
  <c r="M1893" i="1"/>
  <c r="K1893" i="1"/>
  <c r="J1893" i="1"/>
  <c r="B1893" i="1"/>
  <c r="N1892" i="1"/>
  <c r="M1892" i="1"/>
  <c r="K1892" i="1"/>
  <c r="J1892" i="1"/>
  <c r="B1892" i="1"/>
  <c r="N1891" i="1"/>
  <c r="M1891" i="1"/>
  <c r="K1891" i="1"/>
  <c r="J1891" i="1"/>
  <c r="B1891" i="1"/>
  <c r="N1890" i="1"/>
  <c r="M1890" i="1"/>
  <c r="K1890" i="1"/>
  <c r="J1890" i="1"/>
  <c r="B1890" i="1"/>
  <c r="N1889" i="1"/>
  <c r="M1889" i="1"/>
  <c r="K1889" i="1"/>
  <c r="J1889" i="1"/>
  <c r="B1889" i="1"/>
  <c r="N1888" i="1"/>
  <c r="M1888" i="1"/>
  <c r="K1888" i="1"/>
  <c r="J1888" i="1"/>
  <c r="B1888" i="1"/>
  <c r="N1887" i="1"/>
  <c r="M1887" i="1"/>
  <c r="K1887" i="1"/>
  <c r="J1887" i="1"/>
  <c r="B1887" i="1"/>
  <c r="N1886" i="1"/>
  <c r="M1886" i="1"/>
  <c r="K1886" i="1"/>
  <c r="J1886" i="1"/>
  <c r="B1886" i="1"/>
  <c r="N1885" i="1"/>
  <c r="M1885" i="1"/>
  <c r="K1885" i="1"/>
  <c r="J1885" i="1"/>
  <c r="B1885" i="1"/>
  <c r="N1884" i="1"/>
  <c r="M1884" i="1"/>
  <c r="K1884" i="1"/>
  <c r="J1884" i="1"/>
  <c r="B1884" i="1"/>
  <c r="N1883" i="1"/>
  <c r="M1883" i="1"/>
  <c r="K1883" i="1"/>
  <c r="J1883" i="1"/>
  <c r="B1883" i="1"/>
  <c r="N1882" i="1"/>
  <c r="M1882" i="1"/>
  <c r="K1882" i="1"/>
  <c r="J1882" i="1"/>
  <c r="B1882" i="1"/>
  <c r="N1881" i="1"/>
  <c r="M1881" i="1"/>
  <c r="K1881" i="1"/>
  <c r="J1881" i="1"/>
  <c r="B1881" i="1"/>
  <c r="N1880" i="1"/>
  <c r="M1880" i="1"/>
  <c r="K1880" i="1"/>
  <c r="J1880" i="1"/>
  <c r="B1880" i="1"/>
  <c r="N1879" i="1"/>
  <c r="M1879" i="1"/>
  <c r="K1879" i="1"/>
  <c r="J1879" i="1"/>
  <c r="B1879" i="1"/>
  <c r="N1878" i="1"/>
  <c r="M1878" i="1"/>
  <c r="K1878" i="1"/>
  <c r="J1878" i="1"/>
  <c r="B1878" i="1"/>
  <c r="N1877" i="1"/>
  <c r="M1877" i="1"/>
  <c r="K1877" i="1"/>
  <c r="J1877" i="1"/>
  <c r="B1877" i="1"/>
  <c r="N1876" i="1"/>
  <c r="M1876" i="1"/>
  <c r="K1876" i="1"/>
  <c r="J1876" i="1"/>
  <c r="B1876" i="1"/>
  <c r="N1875" i="1"/>
  <c r="M1875" i="1"/>
  <c r="K1875" i="1"/>
  <c r="J1875" i="1"/>
  <c r="B1875" i="1"/>
  <c r="N1874" i="1"/>
  <c r="M1874" i="1"/>
  <c r="K1874" i="1"/>
  <c r="J1874" i="1"/>
  <c r="B1874" i="1"/>
  <c r="N1873" i="1"/>
  <c r="M1873" i="1"/>
  <c r="K1873" i="1"/>
  <c r="J1873" i="1"/>
  <c r="B1873" i="1"/>
  <c r="N1872" i="1"/>
  <c r="M1872" i="1"/>
  <c r="K1872" i="1"/>
  <c r="J1872" i="1"/>
  <c r="B1872" i="1"/>
  <c r="N1871" i="1"/>
  <c r="M1871" i="1"/>
  <c r="K1871" i="1"/>
  <c r="J1871" i="1"/>
  <c r="B1871" i="1"/>
  <c r="N1870" i="1"/>
  <c r="M1870" i="1"/>
  <c r="K1870" i="1"/>
  <c r="J1870" i="1"/>
  <c r="B1870" i="1"/>
  <c r="N1869" i="1"/>
  <c r="M1869" i="1"/>
  <c r="K1869" i="1"/>
  <c r="J1869" i="1"/>
  <c r="B1869" i="1"/>
  <c r="N1868" i="1"/>
  <c r="M1868" i="1"/>
  <c r="K1868" i="1"/>
  <c r="J1868" i="1"/>
  <c r="B1868" i="1"/>
  <c r="N1867" i="1"/>
  <c r="M1867" i="1"/>
  <c r="K1867" i="1"/>
  <c r="J1867" i="1"/>
  <c r="B1867" i="1"/>
  <c r="N1866" i="1"/>
  <c r="M1866" i="1"/>
  <c r="K1866" i="1"/>
  <c r="J1866" i="1"/>
  <c r="B1866" i="1"/>
  <c r="N1865" i="1"/>
  <c r="M1865" i="1"/>
  <c r="K1865" i="1"/>
  <c r="J1865" i="1"/>
  <c r="B1865" i="1"/>
  <c r="N1864" i="1"/>
  <c r="M1864" i="1"/>
  <c r="K1864" i="1"/>
  <c r="J1864" i="1"/>
  <c r="B1864" i="1"/>
  <c r="N1863" i="1"/>
  <c r="M1863" i="1"/>
  <c r="K1863" i="1"/>
  <c r="J1863" i="1"/>
  <c r="B1863" i="1"/>
  <c r="N1862" i="1"/>
  <c r="M1862" i="1"/>
  <c r="K1862" i="1"/>
  <c r="J1862" i="1"/>
  <c r="B1862" i="1"/>
  <c r="N1861" i="1"/>
  <c r="M1861" i="1"/>
  <c r="K1861" i="1"/>
  <c r="J1861" i="1"/>
  <c r="B1861" i="1"/>
  <c r="N1860" i="1"/>
  <c r="M1860" i="1"/>
  <c r="K1860" i="1"/>
  <c r="J1860" i="1"/>
  <c r="B1860" i="1"/>
  <c r="N1859" i="1"/>
  <c r="M1859" i="1"/>
  <c r="K1859" i="1"/>
  <c r="J1859" i="1"/>
  <c r="B1859" i="1"/>
  <c r="N1858" i="1"/>
  <c r="M1858" i="1"/>
  <c r="K1858" i="1"/>
  <c r="J1858" i="1"/>
  <c r="B1858" i="1"/>
  <c r="N1857" i="1"/>
  <c r="M1857" i="1"/>
  <c r="K1857" i="1"/>
  <c r="J1857" i="1"/>
  <c r="B1857" i="1"/>
  <c r="N1856" i="1"/>
  <c r="M1856" i="1"/>
  <c r="K1856" i="1"/>
  <c r="J1856" i="1"/>
  <c r="B1856" i="1"/>
  <c r="N1855" i="1"/>
  <c r="M1855" i="1"/>
  <c r="K1855" i="1"/>
  <c r="J1855" i="1"/>
  <c r="B1855" i="1"/>
  <c r="N1854" i="1"/>
  <c r="M1854" i="1"/>
  <c r="K1854" i="1"/>
  <c r="J1854" i="1"/>
  <c r="B1854" i="1"/>
  <c r="N1853" i="1"/>
  <c r="M1853" i="1"/>
  <c r="K1853" i="1"/>
  <c r="J1853" i="1"/>
  <c r="B1853" i="1"/>
  <c r="N1852" i="1"/>
  <c r="M1852" i="1"/>
  <c r="K1852" i="1"/>
  <c r="J1852" i="1"/>
  <c r="B1852" i="1"/>
  <c r="N1851" i="1"/>
  <c r="M1851" i="1"/>
  <c r="K1851" i="1"/>
  <c r="J1851" i="1"/>
  <c r="B1851" i="1"/>
  <c r="N1850" i="1"/>
  <c r="M1850" i="1"/>
  <c r="K1850" i="1"/>
  <c r="J1850" i="1"/>
  <c r="B1850" i="1"/>
  <c r="N1849" i="1"/>
  <c r="M1849" i="1"/>
  <c r="K1849" i="1"/>
  <c r="J1849" i="1"/>
  <c r="B1849" i="1"/>
  <c r="N1848" i="1"/>
  <c r="M1848" i="1"/>
  <c r="K1848" i="1"/>
  <c r="J1848" i="1"/>
  <c r="B1848" i="1"/>
  <c r="N1847" i="1"/>
  <c r="M1847" i="1"/>
  <c r="K1847" i="1"/>
  <c r="J1847" i="1"/>
  <c r="B1847" i="1"/>
  <c r="N1846" i="1"/>
  <c r="M1846" i="1"/>
  <c r="K1846" i="1"/>
  <c r="J1846" i="1"/>
  <c r="B1846" i="1"/>
  <c r="N1845" i="1"/>
  <c r="M1845" i="1"/>
  <c r="K1845" i="1"/>
  <c r="J1845" i="1"/>
  <c r="B1845" i="1"/>
  <c r="N1844" i="1"/>
  <c r="M1844" i="1"/>
  <c r="K1844" i="1"/>
  <c r="J1844" i="1"/>
  <c r="B1844" i="1"/>
  <c r="N1843" i="1"/>
  <c r="M1843" i="1"/>
  <c r="K1843" i="1"/>
  <c r="J1843" i="1"/>
  <c r="B1843" i="1"/>
  <c r="N1842" i="1"/>
  <c r="M1842" i="1"/>
  <c r="K1842" i="1"/>
  <c r="J1842" i="1"/>
  <c r="B1842" i="1"/>
  <c r="N1841" i="1"/>
  <c r="M1841" i="1"/>
  <c r="K1841" i="1"/>
  <c r="J1841" i="1"/>
  <c r="B1841" i="1"/>
  <c r="N1840" i="1"/>
  <c r="M1840" i="1"/>
  <c r="K1840" i="1"/>
  <c r="J1840" i="1"/>
  <c r="B1840" i="1"/>
  <c r="N1839" i="1"/>
  <c r="M1839" i="1"/>
  <c r="K1839" i="1"/>
  <c r="J1839" i="1"/>
  <c r="B1839" i="1"/>
  <c r="N1838" i="1"/>
  <c r="M1838" i="1"/>
  <c r="K1838" i="1"/>
  <c r="J1838" i="1"/>
  <c r="B1838" i="1"/>
  <c r="N1837" i="1"/>
  <c r="M1837" i="1"/>
  <c r="K1837" i="1"/>
  <c r="J1837" i="1"/>
  <c r="B1837" i="1"/>
  <c r="N1836" i="1"/>
  <c r="M1836" i="1"/>
  <c r="K1836" i="1"/>
  <c r="J1836" i="1"/>
  <c r="B1836" i="1"/>
  <c r="N1835" i="1"/>
  <c r="M1835" i="1"/>
  <c r="K1835" i="1"/>
  <c r="J1835" i="1"/>
  <c r="B1835" i="1"/>
  <c r="N1834" i="1"/>
  <c r="M1834" i="1"/>
  <c r="K1834" i="1"/>
  <c r="J1834" i="1"/>
  <c r="B1834" i="1"/>
  <c r="N1833" i="1"/>
  <c r="M1833" i="1"/>
  <c r="K1833" i="1"/>
  <c r="J1833" i="1"/>
  <c r="B1833" i="1"/>
  <c r="N1832" i="1"/>
  <c r="M1832" i="1"/>
  <c r="K1832" i="1"/>
  <c r="J1832" i="1"/>
  <c r="B1832" i="1"/>
  <c r="N1831" i="1"/>
  <c r="M1831" i="1"/>
  <c r="K1831" i="1"/>
  <c r="J1831" i="1"/>
  <c r="B1831" i="1"/>
  <c r="N1830" i="1"/>
  <c r="M1830" i="1"/>
  <c r="K1830" i="1"/>
  <c r="J1830" i="1"/>
  <c r="B1830" i="1"/>
  <c r="N1829" i="1"/>
  <c r="M1829" i="1"/>
  <c r="K1829" i="1"/>
  <c r="J1829" i="1"/>
  <c r="B1829" i="1"/>
  <c r="N1828" i="1"/>
  <c r="M1828" i="1"/>
  <c r="K1828" i="1"/>
  <c r="J1828" i="1"/>
  <c r="B1828" i="1"/>
  <c r="N1827" i="1"/>
  <c r="M1827" i="1"/>
  <c r="K1827" i="1"/>
  <c r="J1827" i="1"/>
  <c r="B1827" i="1"/>
  <c r="N1826" i="1"/>
  <c r="M1826" i="1"/>
  <c r="K1826" i="1"/>
  <c r="J1826" i="1"/>
  <c r="B1826" i="1"/>
  <c r="N1825" i="1"/>
  <c r="M1825" i="1"/>
  <c r="K1825" i="1"/>
  <c r="J1825" i="1"/>
  <c r="B1825" i="1"/>
  <c r="N1824" i="1"/>
  <c r="M1824" i="1"/>
  <c r="K1824" i="1"/>
  <c r="J1824" i="1"/>
  <c r="B1824" i="1"/>
  <c r="N1823" i="1"/>
  <c r="M1823" i="1"/>
  <c r="K1823" i="1"/>
  <c r="J1823" i="1"/>
  <c r="B1823" i="1"/>
  <c r="N1822" i="1"/>
  <c r="M1822" i="1"/>
  <c r="K1822" i="1"/>
  <c r="J1822" i="1"/>
  <c r="B1822" i="1"/>
  <c r="N1821" i="1"/>
  <c r="M1821" i="1"/>
  <c r="K1821" i="1"/>
  <c r="J1821" i="1"/>
  <c r="B1821" i="1"/>
  <c r="N1820" i="1"/>
  <c r="M1820" i="1"/>
  <c r="K1820" i="1"/>
  <c r="J1820" i="1"/>
  <c r="B1820" i="1"/>
  <c r="N1819" i="1"/>
  <c r="M1819" i="1"/>
  <c r="K1819" i="1"/>
  <c r="J1819" i="1"/>
  <c r="B1819" i="1"/>
  <c r="N1818" i="1"/>
  <c r="M1818" i="1"/>
  <c r="K1818" i="1"/>
  <c r="J1818" i="1"/>
  <c r="B1818" i="1"/>
  <c r="N1817" i="1"/>
  <c r="M1817" i="1"/>
  <c r="K1817" i="1"/>
  <c r="J1817" i="1"/>
  <c r="B1817" i="1"/>
  <c r="N1816" i="1"/>
  <c r="M1816" i="1"/>
  <c r="K1816" i="1"/>
  <c r="J1816" i="1"/>
  <c r="B1816" i="1"/>
  <c r="N1815" i="1"/>
  <c r="M1815" i="1"/>
  <c r="K1815" i="1"/>
  <c r="J1815" i="1"/>
  <c r="B1815" i="1"/>
  <c r="N1814" i="1"/>
  <c r="M1814" i="1"/>
  <c r="K1814" i="1"/>
  <c r="J1814" i="1"/>
  <c r="B1814" i="1"/>
  <c r="N1813" i="1"/>
  <c r="M1813" i="1"/>
  <c r="K1813" i="1"/>
  <c r="J1813" i="1"/>
  <c r="B1813" i="1"/>
  <c r="N1812" i="1"/>
  <c r="M1812" i="1"/>
  <c r="K1812" i="1"/>
  <c r="J1812" i="1"/>
  <c r="B1812" i="1"/>
  <c r="N1811" i="1"/>
  <c r="M1811" i="1"/>
  <c r="K1811" i="1"/>
  <c r="J1811" i="1"/>
  <c r="B1811" i="1"/>
  <c r="N1810" i="1"/>
  <c r="M1810" i="1"/>
  <c r="K1810" i="1"/>
  <c r="J1810" i="1"/>
  <c r="B1810" i="1"/>
  <c r="N1809" i="1"/>
  <c r="M1809" i="1"/>
  <c r="K1809" i="1"/>
  <c r="J1809" i="1"/>
  <c r="B1809" i="1"/>
  <c r="N1808" i="1"/>
  <c r="M1808" i="1"/>
  <c r="K1808" i="1"/>
  <c r="J1808" i="1"/>
  <c r="B1808" i="1"/>
  <c r="N1807" i="1"/>
  <c r="M1807" i="1"/>
  <c r="K1807" i="1"/>
  <c r="J1807" i="1"/>
  <c r="B1807" i="1"/>
  <c r="N1806" i="1"/>
  <c r="M1806" i="1"/>
  <c r="K1806" i="1"/>
  <c r="J1806" i="1"/>
  <c r="B1806" i="1"/>
  <c r="N1805" i="1"/>
  <c r="M1805" i="1"/>
  <c r="K1805" i="1"/>
  <c r="J1805" i="1"/>
  <c r="B1805" i="1"/>
  <c r="N1804" i="1"/>
  <c r="M1804" i="1"/>
  <c r="K1804" i="1"/>
  <c r="J1804" i="1"/>
  <c r="B1804" i="1"/>
  <c r="N1803" i="1"/>
  <c r="M1803" i="1"/>
  <c r="K1803" i="1"/>
  <c r="J1803" i="1"/>
  <c r="B1803" i="1"/>
  <c r="N1802" i="1"/>
  <c r="M1802" i="1"/>
  <c r="K1802" i="1"/>
  <c r="J1802" i="1"/>
  <c r="B1802" i="1"/>
  <c r="N1801" i="1"/>
  <c r="M1801" i="1"/>
  <c r="K1801" i="1"/>
  <c r="J1801" i="1"/>
  <c r="B1801" i="1"/>
  <c r="N1800" i="1"/>
  <c r="M1800" i="1"/>
  <c r="K1800" i="1"/>
  <c r="J1800" i="1"/>
  <c r="B1800" i="1"/>
  <c r="N1799" i="1"/>
  <c r="M1799" i="1"/>
  <c r="K1799" i="1"/>
  <c r="J1799" i="1"/>
  <c r="B1799" i="1"/>
  <c r="N1798" i="1"/>
  <c r="M1798" i="1"/>
  <c r="K1798" i="1"/>
  <c r="J1798" i="1"/>
  <c r="B1798" i="1"/>
  <c r="N1797" i="1"/>
  <c r="M1797" i="1"/>
  <c r="K1797" i="1"/>
  <c r="J1797" i="1"/>
  <c r="B1797" i="1"/>
  <c r="N1796" i="1"/>
  <c r="M1796" i="1"/>
  <c r="K1796" i="1"/>
  <c r="J1796" i="1"/>
  <c r="B1796" i="1"/>
  <c r="N1795" i="1"/>
  <c r="M1795" i="1"/>
  <c r="K1795" i="1"/>
  <c r="J1795" i="1"/>
  <c r="B1795" i="1"/>
  <c r="N1794" i="1"/>
  <c r="M1794" i="1"/>
  <c r="K1794" i="1"/>
  <c r="J1794" i="1"/>
  <c r="B1794" i="1"/>
  <c r="N1793" i="1"/>
  <c r="M1793" i="1"/>
  <c r="K1793" i="1"/>
  <c r="J1793" i="1"/>
  <c r="B1793" i="1"/>
  <c r="N1792" i="1"/>
  <c r="M1792" i="1"/>
  <c r="K1792" i="1"/>
  <c r="J1792" i="1"/>
  <c r="B1792" i="1"/>
  <c r="N1791" i="1"/>
  <c r="M1791" i="1"/>
  <c r="K1791" i="1"/>
  <c r="J1791" i="1"/>
  <c r="B1791" i="1"/>
  <c r="N1790" i="1"/>
  <c r="M1790" i="1"/>
  <c r="K1790" i="1"/>
  <c r="J1790" i="1"/>
  <c r="B1790" i="1"/>
  <c r="N1789" i="1"/>
  <c r="M1789" i="1"/>
  <c r="K1789" i="1"/>
  <c r="J1789" i="1"/>
  <c r="B1789" i="1"/>
  <c r="N1788" i="1"/>
  <c r="M1788" i="1"/>
  <c r="K1788" i="1"/>
  <c r="J1788" i="1"/>
  <c r="B1788" i="1"/>
  <c r="N1787" i="1"/>
  <c r="M1787" i="1"/>
  <c r="K1787" i="1"/>
  <c r="J1787" i="1"/>
  <c r="B1787" i="1"/>
  <c r="N1786" i="1"/>
  <c r="M1786" i="1"/>
  <c r="K1786" i="1"/>
  <c r="J1786" i="1"/>
  <c r="B1786" i="1"/>
  <c r="N1785" i="1"/>
  <c r="M1785" i="1"/>
  <c r="K1785" i="1"/>
  <c r="J1785" i="1"/>
  <c r="B1785" i="1"/>
  <c r="N1784" i="1"/>
  <c r="M1784" i="1"/>
  <c r="K1784" i="1"/>
  <c r="J1784" i="1"/>
  <c r="B1784" i="1"/>
  <c r="N1783" i="1"/>
  <c r="M1783" i="1"/>
  <c r="K1783" i="1"/>
  <c r="J1783" i="1"/>
  <c r="B1783" i="1"/>
  <c r="N1782" i="1"/>
  <c r="M1782" i="1"/>
  <c r="K1782" i="1"/>
  <c r="J1782" i="1"/>
  <c r="B1782" i="1"/>
  <c r="N1781" i="1"/>
  <c r="M1781" i="1"/>
  <c r="K1781" i="1"/>
  <c r="J1781" i="1"/>
  <c r="B1781" i="1"/>
  <c r="N1780" i="1"/>
  <c r="M1780" i="1"/>
  <c r="K1780" i="1"/>
  <c r="J1780" i="1"/>
  <c r="B1780" i="1"/>
  <c r="N1779" i="1"/>
  <c r="M1779" i="1"/>
  <c r="K1779" i="1"/>
  <c r="J1779" i="1"/>
  <c r="B1779" i="1"/>
  <c r="N1778" i="1"/>
  <c r="M1778" i="1"/>
  <c r="K1778" i="1"/>
  <c r="J1778" i="1"/>
  <c r="B1778" i="1"/>
  <c r="N1777" i="1"/>
  <c r="M1777" i="1"/>
  <c r="K1777" i="1"/>
  <c r="J1777" i="1"/>
  <c r="B1777" i="1"/>
  <c r="N1776" i="1"/>
  <c r="M1776" i="1"/>
  <c r="K1776" i="1"/>
  <c r="J1776" i="1"/>
  <c r="B1776" i="1"/>
  <c r="N1775" i="1"/>
  <c r="M1775" i="1"/>
  <c r="K1775" i="1"/>
  <c r="J1775" i="1"/>
  <c r="B1775" i="1"/>
  <c r="N1774" i="1"/>
  <c r="M1774" i="1"/>
  <c r="K1774" i="1"/>
  <c r="J1774" i="1"/>
  <c r="B1774" i="1"/>
  <c r="N1773" i="1"/>
  <c r="M1773" i="1"/>
  <c r="K1773" i="1"/>
  <c r="J1773" i="1"/>
  <c r="B1773" i="1"/>
  <c r="N1772" i="1"/>
  <c r="M1772" i="1"/>
  <c r="K1772" i="1"/>
  <c r="J1772" i="1"/>
  <c r="B1772" i="1"/>
  <c r="N1771" i="1"/>
  <c r="M1771" i="1"/>
  <c r="K1771" i="1"/>
  <c r="J1771" i="1"/>
  <c r="B1771" i="1"/>
  <c r="N1770" i="1"/>
  <c r="M1770" i="1"/>
  <c r="K1770" i="1"/>
  <c r="J1770" i="1"/>
  <c r="B1770" i="1"/>
  <c r="N1769" i="1"/>
  <c r="M1769" i="1"/>
  <c r="K1769" i="1"/>
  <c r="J1769" i="1"/>
  <c r="B1769" i="1"/>
  <c r="N1768" i="1"/>
  <c r="M1768" i="1"/>
  <c r="K1768" i="1"/>
  <c r="J1768" i="1"/>
  <c r="B1768" i="1"/>
  <c r="N1767" i="1"/>
  <c r="M1767" i="1"/>
  <c r="K1767" i="1"/>
  <c r="J1767" i="1"/>
  <c r="B1767" i="1"/>
  <c r="N1766" i="1"/>
  <c r="M1766" i="1"/>
  <c r="K1766" i="1"/>
  <c r="J1766" i="1"/>
  <c r="B1766" i="1"/>
  <c r="N1765" i="1"/>
  <c r="M1765" i="1"/>
  <c r="K1765" i="1"/>
  <c r="J1765" i="1"/>
  <c r="B1765" i="1"/>
  <c r="N1764" i="1"/>
  <c r="M1764" i="1"/>
  <c r="K1764" i="1"/>
  <c r="J1764" i="1"/>
  <c r="B1764" i="1"/>
  <c r="N1763" i="1"/>
  <c r="M1763" i="1"/>
  <c r="K1763" i="1"/>
  <c r="J1763" i="1"/>
  <c r="B1763" i="1"/>
  <c r="N1762" i="1"/>
  <c r="M1762" i="1"/>
  <c r="K1762" i="1"/>
  <c r="J1762" i="1"/>
  <c r="B1762" i="1"/>
  <c r="N1761" i="1"/>
  <c r="M1761" i="1"/>
  <c r="K1761" i="1"/>
  <c r="J1761" i="1"/>
  <c r="B1761" i="1"/>
  <c r="N1760" i="1"/>
  <c r="M1760" i="1"/>
  <c r="K1760" i="1"/>
  <c r="J1760" i="1"/>
  <c r="B1760" i="1"/>
  <c r="N1759" i="1"/>
  <c r="M1759" i="1"/>
  <c r="K1759" i="1"/>
  <c r="J1759" i="1"/>
  <c r="B1759" i="1"/>
  <c r="N1758" i="1"/>
  <c r="M1758" i="1"/>
  <c r="K1758" i="1"/>
  <c r="J1758" i="1"/>
  <c r="B1758" i="1"/>
  <c r="N1757" i="1"/>
  <c r="M1757" i="1"/>
  <c r="K1757" i="1"/>
  <c r="J1757" i="1"/>
  <c r="B1757" i="1"/>
  <c r="N1756" i="1"/>
  <c r="M1756" i="1"/>
  <c r="K1756" i="1"/>
  <c r="J1756" i="1"/>
  <c r="B1756" i="1"/>
  <c r="N1755" i="1"/>
  <c r="M1755" i="1"/>
  <c r="K1755" i="1"/>
  <c r="J1755" i="1"/>
  <c r="B1755" i="1"/>
  <c r="N1754" i="1"/>
  <c r="M1754" i="1"/>
  <c r="K1754" i="1"/>
  <c r="J1754" i="1"/>
  <c r="B1754" i="1"/>
  <c r="N1753" i="1"/>
  <c r="M1753" i="1"/>
  <c r="K1753" i="1"/>
  <c r="J1753" i="1"/>
  <c r="B1753" i="1"/>
  <c r="N1752" i="1"/>
  <c r="M1752" i="1"/>
  <c r="K1752" i="1"/>
  <c r="J1752" i="1"/>
  <c r="B1752" i="1"/>
  <c r="N1751" i="1"/>
  <c r="M1751" i="1"/>
  <c r="K1751" i="1"/>
  <c r="J1751" i="1"/>
  <c r="B1751" i="1"/>
  <c r="N1750" i="1"/>
  <c r="M1750" i="1"/>
  <c r="K1750" i="1"/>
  <c r="J1750" i="1"/>
  <c r="B1750" i="1"/>
  <c r="N1749" i="1"/>
  <c r="M1749" i="1"/>
  <c r="K1749" i="1"/>
  <c r="J1749" i="1"/>
  <c r="B1749" i="1"/>
  <c r="N1748" i="1"/>
  <c r="M1748" i="1"/>
  <c r="K1748" i="1"/>
  <c r="J1748" i="1"/>
  <c r="B1748" i="1"/>
  <c r="N1747" i="1"/>
  <c r="M1747" i="1"/>
  <c r="K1747" i="1"/>
  <c r="J1747" i="1"/>
  <c r="B1747" i="1"/>
  <c r="N1746" i="1"/>
  <c r="M1746" i="1"/>
  <c r="K1746" i="1"/>
  <c r="J1746" i="1"/>
  <c r="B1746" i="1"/>
  <c r="N1745" i="1"/>
  <c r="M1745" i="1"/>
  <c r="K1745" i="1"/>
  <c r="J1745" i="1"/>
  <c r="B1745" i="1"/>
  <c r="N1744" i="1"/>
  <c r="M1744" i="1"/>
  <c r="K1744" i="1"/>
  <c r="J1744" i="1"/>
  <c r="B1744" i="1"/>
  <c r="N1743" i="1"/>
  <c r="M1743" i="1"/>
  <c r="K1743" i="1"/>
  <c r="J1743" i="1"/>
  <c r="B1743" i="1"/>
  <c r="N1742" i="1"/>
  <c r="M1742" i="1"/>
  <c r="K1742" i="1"/>
  <c r="J1742" i="1"/>
  <c r="B1742" i="1"/>
  <c r="N1741" i="1"/>
  <c r="M1741" i="1"/>
  <c r="K1741" i="1"/>
  <c r="J1741" i="1"/>
  <c r="B1741" i="1"/>
  <c r="N1740" i="1"/>
  <c r="M1740" i="1"/>
  <c r="K1740" i="1"/>
  <c r="J1740" i="1"/>
  <c r="B1740" i="1"/>
  <c r="N1739" i="1"/>
  <c r="M1739" i="1"/>
  <c r="K1739" i="1"/>
  <c r="J1739" i="1"/>
  <c r="B1739" i="1"/>
  <c r="N1738" i="1"/>
  <c r="M1738" i="1"/>
  <c r="K1738" i="1"/>
  <c r="J1738" i="1"/>
  <c r="B1738" i="1"/>
  <c r="N1737" i="1"/>
  <c r="M1737" i="1"/>
  <c r="K1737" i="1"/>
  <c r="J1737" i="1"/>
  <c r="B1737" i="1"/>
  <c r="N1736" i="1"/>
  <c r="M1736" i="1"/>
  <c r="K1736" i="1"/>
  <c r="J1736" i="1"/>
  <c r="B1736" i="1"/>
  <c r="N1735" i="1"/>
  <c r="M1735" i="1"/>
  <c r="K1735" i="1"/>
  <c r="J1735" i="1"/>
  <c r="B1735" i="1"/>
  <c r="N1734" i="1"/>
  <c r="M1734" i="1"/>
  <c r="K1734" i="1"/>
  <c r="J1734" i="1"/>
  <c r="B1734" i="1"/>
  <c r="N1733" i="1"/>
  <c r="M1733" i="1"/>
  <c r="K1733" i="1"/>
  <c r="J1733" i="1"/>
  <c r="B1733" i="1"/>
  <c r="N1732" i="1"/>
  <c r="M1732" i="1"/>
  <c r="K1732" i="1"/>
  <c r="J1732" i="1"/>
  <c r="B1732" i="1"/>
  <c r="N1731" i="1"/>
  <c r="M1731" i="1"/>
  <c r="K1731" i="1"/>
  <c r="J1731" i="1"/>
  <c r="B1731" i="1"/>
  <c r="N1730" i="1"/>
  <c r="M1730" i="1"/>
  <c r="K1730" i="1"/>
  <c r="J1730" i="1"/>
  <c r="B1730" i="1"/>
  <c r="N1729" i="1"/>
  <c r="M1729" i="1"/>
  <c r="K1729" i="1"/>
  <c r="J1729" i="1"/>
  <c r="B1729" i="1"/>
  <c r="N1728" i="1"/>
  <c r="M1728" i="1"/>
  <c r="K1728" i="1"/>
  <c r="J1728" i="1"/>
  <c r="B1728" i="1"/>
  <c r="N1727" i="1"/>
  <c r="M1727" i="1"/>
  <c r="K1727" i="1"/>
  <c r="J1727" i="1"/>
  <c r="B1727" i="1"/>
  <c r="N1726" i="1"/>
  <c r="M1726" i="1"/>
  <c r="K1726" i="1"/>
  <c r="J1726" i="1"/>
  <c r="B1726" i="1"/>
  <c r="N1725" i="1"/>
  <c r="M1725" i="1"/>
  <c r="K1725" i="1"/>
  <c r="J1725" i="1"/>
  <c r="B1725" i="1"/>
  <c r="N1724" i="1"/>
  <c r="M1724" i="1"/>
  <c r="K1724" i="1"/>
  <c r="J1724" i="1"/>
  <c r="B1724" i="1"/>
  <c r="N1723" i="1"/>
  <c r="M1723" i="1"/>
  <c r="K1723" i="1"/>
  <c r="J1723" i="1"/>
  <c r="B1723" i="1"/>
  <c r="N1722" i="1"/>
  <c r="M1722" i="1"/>
  <c r="K1722" i="1"/>
  <c r="J1722" i="1"/>
  <c r="B1722" i="1"/>
  <c r="N1721" i="1"/>
  <c r="M1721" i="1"/>
  <c r="K1721" i="1"/>
  <c r="J1721" i="1"/>
  <c r="B1721" i="1"/>
  <c r="N1720" i="1"/>
  <c r="M1720" i="1"/>
  <c r="K1720" i="1"/>
  <c r="J1720" i="1"/>
  <c r="B1720" i="1"/>
  <c r="N1719" i="1"/>
  <c r="M1719" i="1"/>
  <c r="K1719" i="1"/>
  <c r="J1719" i="1"/>
  <c r="B1719" i="1"/>
  <c r="N1718" i="1"/>
  <c r="M1718" i="1"/>
  <c r="K1718" i="1"/>
  <c r="J1718" i="1"/>
  <c r="B1718" i="1"/>
  <c r="N1717" i="1"/>
  <c r="M1717" i="1"/>
  <c r="K1717" i="1"/>
  <c r="J1717" i="1"/>
  <c r="B1717" i="1"/>
  <c r="N1716" i="1"/>
  <c r="M1716" i="1"/>
  <c r="K1716" i="1"/>
  <c r="J1716" i="1"/>
  <c r="B1716" i="1"/>
  <c r="N1715" i="1"/>
  <c r="M1715" i="1"/>
  <c r="K1715" i="1"/>
  <c r="J1715" i="1"/>
  <c r="B1715" i="1"/>
  <c r="N1714" i="1"/>
  <c r="M1714" i="1"/>
  <c r="K1714" i="1"/>
  <c r="J1714" i="1"/>
  <c r="B1714" i="1"/>
  <c r="N1713" i="1"/>
  <c r="M1713" i="1"/>
  <c r="K1713" i="1"/>
  <c r="J1713" i="1"/>
  <c r="B1713" i="1"/>
  <c r="N1712" i="1"/>
  <c r="M1712" i="1"/>
  <c r="K1712" i="1"/>
  <c r="J1712" i="1"/>
  <c r="B1712" i="1"/>
  <c r="N1711" i="1"/>
  <c r="M1711" i="1"/>
  <c r="K1711" i="1"/>
  <c r="J1711" i="1"/>
  <c r="B1711" i="1"/>
  <c r="N1710" i="1"/>
  <c r="M1710" i="1"/>
  <c r="K1710" i="1"/>
  <c r="J1710" i="1"/>
  <c r="B1710" i="1"/>
  <c r="N1709" i="1"/>
  <c r="M1709" i="1"/>
  <c r="K1709" i="1"/>
  <c r="J1709" i="1"/>
  <c r="B1709" i="1"/>
  <c r="N1708" i="1"/>
  <c r="M1708" i="1"/>
  <c r="K1708" i="1"/>
  <c r="J1708" i="1"/>
  <c r="B1708" i="1"/>
  <c r="N1707" i="1"/>
  <c r="M1707" i="1"/>
  <c r="K1707" i="1"/>
  <c r="J1707" i="1"/>
  <c r="B1707" i="1"/>
  <c r="N1706" i="1"/>
  <c r="M1706" i="1"/>
  <c r="K1706" i="1"/>
  <c r="J1706" i="1"/>
  <c r="B1706" i="1"/>
  <c r="N1705" i="1"/>
  <c r="M1705" i="1"/>
  <c r="K1705" i="1"/>
  <c r="J1705" i="1"/>
  <c r="B1705" i="1"/>
  <c r="N1704" i="1"/>
  <c r="M1704" i="1"/>
  <c r="K1704" i="1"/>
  <c r="J1704" i="1"/>
  <c r="B1704" i="1"/>
  <c r="N1703" i="1"/>
  <c r="M1703" i="1"/>
  <c r="K1703" i="1"/>
  <c r="J1703" i="1"/>
  <c r="B1703" i="1"/>
  <c r="N1702" i="1"/>
  <c r="M1702" i="1"/>
  <c r="K1702" i="1"/>
  <c r="J1702" i="1"/>
  <c r="B1702" i="1"/>
  <c r="N1701" i="1"/>
  <c r="M1701" i="1"/>
  <c r="K1701" i="1"/>
  <c r="J1701" i="1"/>
  <c r="B1701" i="1"/>
  <c r="N1700" i="1"/>
  <c r="M1700" i="1"/>
  <c r="K1700" i="1"/>
  <c r="J1700" i="1"/>
  <c r="B1700" i="1"/>
  <c r="N1699" i="1"/>
  <c r="M1699" i="1"/>
  <c r="K1699" i="1"/>
  <c r="J1699" i="1"/>
  <c r="B1699" i="1"/>
  <c r="N1698" i="1"/>
  <c r="M1698" i="1"/>
  <c r="K1698" i="1"/>
  <c r="J1698" i="1"/>
  <c r="B1698" i="1"/>
  <c r="N1697" i="1"/>
  <c r="M1697" i="1"/>
  <c r="K1697" i="1"/>
  <c r="J1697" i="1"/>
  <c r="B1697" i="1"/>
  <c r="N1696" i="1"/>
  <c r="M1696" i="1"/>
  <c r="K1696" i="1"/>
  <c r="J1696" i="1"/>
  <c r="B1696" i="1"/>
  <c r="N1695" i="1"/>
  <c r="M1695" i="1"/>
  <c r="K1695" i="1"/>
  <c r="J1695" i="1"/>
  <c r="B1695" i="1"/>
  <c r="N1694" i="1"/>
  <c r="M1694" i="1"/>
  <c r="K1694" i="1"/>
  <c r="J1694" i="1"/>
  <c r="B1694" i="1"/>
  <c r="N1693" i="1"/>
  <c r="M1693" i="1"/>
  <c r="K1693" i="1"/>
  <c r="J1693" i="1"/>
  <c r="B1693" i="1"/>
  <c r="N1692" i="1"/>
  <c r="M1692" i="1"/>
  <c r="K1692" i="1"/>
  <c r="J1692" i="1"/>
  <c r="B1692" i="1"/>
  <c r="N1691" i="1"/>
  <c r="M1691" i="1"/>
  <c r="K1691" i="1"/>
  <c r="J1691" i="1"/>
  <c r="B1691" i="1"/>
  <c r="N1690" i="1"/>
  <c r="M1690" i="1"/>
  <c r="K1690" i="1"/>
  <c r="J1690" i="1"/>
  <c r="B1690" i="1"/>
  <c r="N1689" i="1"/>
  <c r="M1689" i="1"/>
  <c r="K1689" i="1"/>
  <c r="J1689" i="1"/>
  <c r="B1689" i="1"/>
  <c r="N1688" i="1"/>
  <c r="M1688" i="1"/>
  <c r="K1688" i="1"/>
  <c r="J1688" i="1"/>
  <c r="B1688" i="1"/>
  <c r="N1687" i="1"/>
  <c r="M1687" i="1"/>
  <c r="K1687" i="1"/>
  <c r="J1687" i="1"/>
  <c r="B1687" i="1"/>
  <c r="N1686" i="1"/>
  <c r="M1686" i="1"/>
  <c r="K1686" i="1"/>
  <c r="J1686" i="1"/>
  <c r="B1686" i="1"/>
  <c r="N1685" i="1"/>
  <c r="M1685" i="1"/>
  <c r="K1685" i="1"/>
  <c r="J1685" i="1"/>
  <c r="B1685" i="1"/>
  <c r="N1684" i="1"/>
  <c r="M1684" i="1"/>
  <c r="K1684" i="1"/>
  <c r="J1684" i="1"/>
  <c r="B1684" i="1"/>
  <c r="N1683" i="1"/>
  <c r="M1683" i="1"/>
  <c r="K1683" i="1"/>
  <c r="J1683" i="1"/>
  <c r="B1683" i="1"/>
  <c r="N1682" i="1"/>
  <c r="M1682" i="1"/>
  <c r="K1682" i="1"/>
  <c r="J1682" i="1"/>
  <c r="B1682" i="1"/>
  <c r="N1681" i="1"/>
  <c r="M1681" i="1"/>
  <c r="K1681" i="1"/>
  <c r="J1681" i="1"/>
  <c r="B1681" i="1"/>
  <c r="N1680" i="1"/>
  <c r="M1680" i="1"/>
  <c r="K1680" i="1"/>
  <c r="J1680" i="1"/>
  <c r="B1680" i="1"/>
  <c r="N1679" i="1"/>
  <c r="M1679" i="1"/>
  <c r="K1679" i="1"/>
  <c r="J1679" i="1"/>
  <c r="B1679" i="1"/>
  <c r="N1678" i="1"/>
  <c r="M1678" i="1"/>
  <c r="K1678" i="1"/>
  <c r="J1678" i="1"/>
  <c r="B1678" i="1"/>
  <c r="N1677" i="1"/>
  <c r="M1677" i="1"/>
  <c r="K1677" i="1"/>
  <c r="J1677" i="1"/>
  <c r="B1677" i="1"/>
  <c r="N1676" i="1"/>
  <c r="M1676" i="1"/>
  <c r="K1676" i="1"/>
  <c r="J1676" i="1"/>
  <c r="B1676" i="1"/>
  <c r="N1675" i="1"/>
  <c r="M1675" i="1"/>
  <c r="K1675" i="1"/>
  <c r="J1675" i="1"/>
  <c r="B1675" i="1"/>
  <c r="N1674" i="1"/>
  <c r="M1674" i="1"/>
  <c r="K1674" i="1"/>
  <c r="J1674" i="1"/>
  <c r="B1674" i="1"/>
  <c r="N1673" i="1"/>
  <c r="M1673" i="1"/>
  <c r="K1673" i="1"/>
  <c r="J1673" i="1"/>
  <c r="B1673" i="1"/>
  <c r="N1672" i="1"/>
  <c r="M1672" i="1"/>
  <c r="K1672" i="1"/>
  <c r="J1672" i="1"/>
  <c r="B1672" i="1"/>
  <c r="N1671" i="1"/>
  <c r="M1671" i="1"/>
  <c r="K1671" i="1"/>
  <c r="J1671" i="1"/>
  <c r="B1671" i="1"/>
  <c r="N1670" i="1"/>
  <c r="M1670" i="1"/>
  <c r="K1670" i="1"/>
  <c r="J1670" i="1"/>
  <c r="B1670" i="1"/>
  <c r="N1669" i="1"/>
  <c r="M1669" i="1"/>
  <c r="K1669" i="1"/>
  <c r="J1669" i="1"/>
  <c r="B1669" i="1"/>
  <c r="N1668" i="1"/>
  <c r="M1668" i="1"/>
  <c r="K1668" i="1"/>
  <c r="J1668" i="1"/>
  <c r="B1668" i="1"/>
  <c r="N1667" i="1"/>
  <c r="M1667" i="1"/>
  <c r="K1667" i="1"/>
  <c r="J1667" i="1"/>
  <c r="B1667" i="1"/>
  <c r="N1666" i="1"/>
  <c r="M1666" i="1"/>
  <c r="K1666" i="1"/>
  <c r="J1666" i="1"/>
  <c r="B1666" i="1"/>
  <c r="N1665" i="1"/>
  <c r="M1665" i="1"/>
  <c r="K1665" i="1"/>
  <c r="J1665" i="1"/>
  <c r="B1665" i="1"/>
  <c r="N1664" i="1"/>
  <c r="M1664" i="1"/>
  <c r="K1664" i="1"/>
  <c r="J1664" i="1"/>
  <c r="B1664" i="1"/>
  <c r="N1663" i="1"/>
  <c r="M1663" i="1"/>
  <c r="K1663" i="1"/>
  <c r="J1663" i="1"/>
  <c r="B1663" i="1"/>
  <c r="N1662" i="1"/>
  <c r="M1662" i="1"/>
  <c r="K1662" i="1"/>
  <c r="J1662" i="1"/>
  <c r="B1662" i="1"/>
  <c r="N1661" i="1"/>
  <c r="M1661" i="1"/>
  <c r="K1661" i="1"/>
  <c r="J1661" i="1"/>
  <c r="B1661" i="1"/>
  <c r="N1660" i="1"/>
  <c r="M1660" i="1"/>
  <c r="K1660" i="1"/>
  <c r="J1660" i="1"/>
  <c r="B1660" i="1"/>
  <c r="N1659" i="1"/>
  <c r="M1659" i="1"/>
  <c r="K1659" i="1"/>
  <c r="J1659" i="1"/>
  <c r="B1659" i="1"/>
  <c r="N1658" i="1"/>
  <c r="M1658" i="1"/>
  <c r="K1658" i="1"/>
  <c r="J1658" i="1"/>
  <c r="B1658" i="1"/>
  <c r="N1657" i="1"/>
  <c r="M1657" i="1"/>
  <c r="K1657" i="1"/>
  <c r="J1657" i="1"/>
  <c r="B1657" i="1"/>
  <c r="N1656" i="1"/>
  <c r="M1656" i="1"/>
  <c r="K1656" i="1"/>
  <c r="J1656" i="1"/>
  <c r="B1656" i="1"/>
  <c r="N1655" i="1"/>
  <c r="M1655" i="1"/>
  <c r="K1655" i="1"/>
  <c r="J1655" i="1"/>
  <c r="B1655" i="1"/>
  <c r="N1654" i="1"/>
  <c r="M1654" i="1"/>
  <c r="K1654" i="1"/>
  <c r="J1654" i="1"/>
  <c r="B1654" i="1"/>
  <c r="N1653" i="1"/>
  <c r="M1653" i="1"/>
  <c r="K1653" i="1"/>
  <c r="J1653" i="1"/>
  <c r="B1653" i="1"/>
  <c r="N1652" i="1"/>
  <c r="M1652" i="1"/>
  <c r="K1652" i="1"/>
  <c r="J1652" i="1"/>
  <c r="B1652" i="1"/>
  <c r="N1651" i="1"/>
  <c r="M1651" i="1"/>
  <c r="K1651" i="1"/>
  <c r="J1651" i="1"/>
  <c r="B1651" i="1"/>
  <c r="N1650" i="1"/>
  <c r="M1650" i="1"/>
  <c r="K1650" i="1"/>
  <c r="J1650" i="1"/>
  <c r="B1650" i="1"/>
  <c r="N1649" i="1"/>
  <c r="M1649" i="1"/>
  <c r="K1649" i="1"/>
  <c r="J1649" i="1"/>
  <c r="B1649" i="1"/>
  <c r="N1648" i="1"/>
  <c r="M1648" i="1"/>
  <c r="K1648" i="1"/>
  <c r="J1648" i="1"/>
  <c r="B1648" i="1"/>
  <c r="N1647" i="1"/>
  <c r="M1647" i="1"/>
  <c r="K1647" i="1"/>
  <c r="J1647" i="1"/>
  <c r="B1647" i="1"/>
  <c r="N1646" i="1"/>
  <c r="M1646" i="1"/>
  <c r="K1646" i="1"/>
  <c r="J1646" i="1"/>
  <c r="B1646" i="1"/>
  <c r="N1645" i="1"/>
  <c r="M1645" i="1"/>
  <c r="K1645" i="1"/>
  <c r="J1645" i="1"/>
  <c r="B1645" i="1"/>
  <c r="N1644" i="1"/>
  <c r="M1644" i="1"/>
  <c r="K1644" i="1"/>
  <c r="J1644" i="1"/>
  <c r="B1644" i="1"/>
  <c r="N1643" i="1"/>
  <c r="M1643" i="1"/>
  <c r="K1643" i="1"/>
  <c r="J1643" i="1"/>
  <c r="B1643" i="1"/>
  <c r="N1642" i="1"/>
  <c r="M1642" i="1"/>
  <c r="K1642" i="1"/>
  <c r="J1642" i="1"/>
  <c r="B1642" i="1"/>
  <c r="N1641" i="1"/>
  <c r="M1641" i="1"/>
  <c r="K1641" i="1"/>
  <c r="J1641" i="1"/>
  <c r="B1641" i="1"/>
  <c r="N1640" i="1"/>
  <c r="M1640" i="1"/>
  <c r="K1640" i="1"/>
  <c r="J1640" i="1"/>
  <c r="B1640" i="1"/>
  <c r="N1639" i="1"/>
  <c r="M1639" i="1"/>
  <c r="K1639" i="1"/>
  <c r="J1639" i="1"/>
  <c r="B1639" i="1"/>
  <c r="N1638" i="1"/>
  <c r="M1638" i="1"/>
  <c r="K1638" i="1"/>
  <c r="J1638" i="1"/>
  <c r="B1638" i="1"/>
  <c r="N1637" i="1"/>
  <c r="M1637" i="1"/>
  <c r="K1637" i="1"/>
  <c r="J1637" i="1"/>
  <c r="B1637" i="1"/>
  <c r="N1636" i="1"/>
  <c r="M1636" i="1"/>
  <c r="K1636" i="1"/>
  <c r="J1636" i="1"/>
  <c r="B1636" i="1"/>
  <c r="N1635" i="1"/>
  <c r="M1635" i="1"/>
  <c r="K1635" i="1"/>
  <c r="J1635" i="1"/>
  <c r="B1635" i="1"/>
  <c r="N1634" i="1"/>
  <c r="M1634" i="1"/>
  <c r="K1634" i="1"/>
  <c r="J1634" i="1"/>
  <c r="B1634" i="1"/>
  <c r="N1633" i="1"/>
  <c r="M1633" i="1"/>
  <c r="K1633" i="1"/>
  <c r="J1633" i="1"/>
  <c r="B1633" i="1"/>
  <c r="N1632" i="1"/>
  <c r="M1632" i="1"/>
  <c r="K1632" i="1"/>
  <c r="J1632" i="1"/>
  <c r="B1632" i="1"/>
  <c r="N1631" i="1"/>
  <c r="M1631" i="1"/>
  <c r="K1631" i="1"/>
  <c r="J1631" i="1"/>
  <c r="B1631" i="1"/>
  <c r="N1630" i="1"/>
  <c r="M1630" i="1"/>
  <c r="K1630" i="1"/>
  <c r="J1630" i="1"/>
  <c r="B1630" i="1"/>
  <c r="N1629" i="1"/>
  <c r="M1629" i="1"/>
  <c r="K1629" i="1"/>
  <c r="J1629" i="1"/>
  <c r="B1629" i="1"/>
  <c r="N1628" i="1"/>
  <c r="M1628" i="1"/>
  <c r="K1628" i="1"/>
  <c r="J1628" i="1"/>
  <c r="B1628" i="1"/>
  <c r="N1627" i="1"/>
  <c r="M1627" i="1"/>
  <c r="K1627" i="1"/>
  <c r="J1627" i="1"/>
  <c r="B1627" i="1"/>
  <c r="N1626" i="1"/>
  <c r="M1626" i="1"/>
  <c r="K1626" i="1"/>
  <c r="J1626" i="1"/>
  <c r="B1626" i="1"/>
  <c r="N1625" i="1"/>
  <c r="M1625" i="1"/>
  <c r="K1625" i="1"/>
  <c r="J1625" i="1"/>
  <c r="B1625" i="1"/>
  <c r="N1624" i="1"/>
  <c r="M1624" i="1"/>
  <c r="K1624" i="1"/>
  <c r="J1624" i="1"/>
  <c r="B1624" i="1"/>
  <c r="N1623" i="1"/>
  <c r="M1623" i="1"/>
  <c r="K1623" i="1"/>
  <c r="J1623" i="1"/>
  <c r="B1623" i="1"/>
  <c r="N1622" i="1"/>
  <c r="M1622" i="1"/>
  <c r="K1622" i="1"/>
  <c r="J1622" i="1"/>
  <c r="B1622" i="1"/>
  <c r="N1621" i="1"/>
  <c r="M1621" i="1"/>
  <c r="K1621" i="1"/>
  <c r="J1621" i="1"/>
  <c r="B1621" i="1"/>
  <c r="N1620" i="1"/>
  <c r="M1620" i="1"/>
  <c r="K1620" i="1"/>
  <c r="J1620" i="1"/>
  <c r="B1620" i="1"/>
  <c r="N1619" i="1"/>
  <c r="M1619" i="1"/>
  <c r="K1619" i="1"/>
  <c r="J1619" i="1"/>
  <c r="B1619" i="1"/>
  <c r="N1618" i="1"/>
  <c r="M1618" i="1"/>
  <c r="K1618" i="1"/>
  <c r="J1618" i="1"/>
  <c r="B1618" i="1"/>
  <c r="N1617" i="1"/>
  <c r="M1617" i="1"/>
  <c r="K1617" i="1"/>
  <c r="J1617" i="1"/>
  <c r="B1617" i="1"/>
  <c r="N1616" i="1"/>
  <c r="M1616" i="1"/>
  <c r="K1616" i="1"/>
  <c r="J1616" i="1"/>
  <c r="B1616" i="1"/>
  <c r="N1615" i="1"/>
  <c r="M1615" i="1"/>
  <c r="K1615" i="1"/>
  <c r="J1615" i="1"/>
  <c r="B1615" i="1"/>
  <c r="N1614" i="1"/>
  <c r="M1614" i="1"/>
  <c r="K1614" i="1"/>
  <c r="J1614" i="1"/>
  <c r="B1614" i="1"/>
  <c r="N1613" i="1"/>
  <c r="M1613" i="1"/>
  <c r="K1613" i="1"/>
  <c r="J1613" i="1"/>
  <c r="B1613" i="1"/>
  <c r="N1612" i="1"/>
  <c r="M1612" i="1"/>
  <c r="K1612" i="1"/>
  <c r="J1612" i="1"/>
  <c r="B1612" i="1"/>
  <c r="N1611" i="1"/>
  <c r="M1611" i="1"/>
  <c r="K1611" i="1"/>
  <c r="J1611" i="1"/>
  <c r="B1611" i="1"/>
  <c r="N1610" i="1"/>
  <c r="M1610" i="1"/>
  <c r="K1610" i="1"/>
  <c r="J1610" i="1"/>
  <c r="B1610" i="1"/>
  <c r="N1609" i="1"/>
  <c r="M1609" i="1"/>
  <c r="K1609" i="1"/>
  <c r="J1609" i="1"/>
  <c r="B1609" i="1"/>
  <c r="N1608" i="1"/>
  <c r="M1608" i="1"/>
  <c r="K1608" i="1"/>
  <c r="J1608" i="1"/>
  <c r="B1608" i="1"/>
  <c r="N1607" i="1"/>
  <c r="M1607" i="1"/>
  <c r="K1607" i="1"/>
  <c r="J1607" i="1"/>
  <c r="B1607" i="1"/>
  <c r="N1606" i="1"/>
  <c r="M1606" i="1"/>
  <c r="K1606" i="1"/>
  <c r="J1606" i="1"/>
  <c r="B1606" i="1"/>
  <c r="N1605" i="1"/>
  <c r="M1605" i="1"/>
  <c r="K1605" i="1"/>
  <c r="J1605" i="1"/>
  <c r="B1605" i="1"/>
  <c r="N1604" i="1"/>
  <c r="M1604" i="1"/>
  <c r="K1604" i="1"/>
  <c r="J1604" i="1"/>
  <c r="B1604" i="1"/>
  <c r="N1603" i="1"/>
  <c r="M1603" i="1"/>
  <c r="K1603" i="1"/>
  <c r="J1603" i="1"/>
  <c r="B1603" i="1"/>
  <c r="N1602" i="1"/>
  <c r="M1602" i="1"/>
  <c r="K1602" i="1"/>
  <c r="J1602" i="1"/>
  <c r="B1602" i="1"/>
  <c r="N1601" i="1"/>
  <c r="M1601" i="1"/>
  <c r="K1601" i="1"/>
  <c r="J1601" i="1"/>
  <c r="B1601" i="1"/>
  <c r="N1600" i="1"/>
  <c r="M1600" i="1"/>
  <c r="K1600" i="1"/>
  <c r="J1600" i="1"/>
  <c r="B1600" i="1"/>
  <c r="N1599" i="1"/>
  <c r="M1599" i="1"/>
  <c r="K1599" i="1"/>
  <c r="J1599" i="1"/>
  <c r="B1599" i="1"/>
  <c r="N1598" i="1"/>
  <c r="M1598" i="1"/>
  <c r="K1598" i="1"/>
  <c r="J1598" i="1"/>
  <c r="B1598" i="1"/>
  <c r="N1597" i="1"/>
  <c r="M1597" i="1"/>
  <c r="K1597" i="1"/>
  <c r="J1597" i="1"/>
  <c r="B1597" i="1"/>
  <c r="N1596" i="1"/>
  <c r="M1596" i="1"/>
  <c r="K1596" i="1"/>
  <c r="J1596" i="1"/>
  <c r="B1596" i="1"/>
  <c r="N1595" i="1"/>
  <c r="M1595" i="1"/>
  <c r="K1595" i="1"/>
  <c r="J1595" i="1"/>
  <c r="B1595" i="1"/>
  <c r="N1594" i="1"/>
  <c r="M1594" i="1"/>
  <c r="K1594" i="1"/>
  <c r="J1594" i="1"/>
  <c r="B1594" i="1"/>
  <c r="N1593" i="1"/>
  <c r="M1593" i="1"/>
  <c r="K1593" i="1"/>
  <c r="J1593" i="1"/>
  <c r="B1593" i="1"/>
  <c r="N1592" i="1"/>
  <c r="M1592" i="1"/>
  <c r="K1592" i="1"/>
  <c r="J1592" i="1"/>
  <c r="B1592" i="1"/>
  <c r="N1591" i="1"/>
  <c r="M1591" i="1"/>
  <c r="K1591" i="1"/>
  <c r="J1591" i="1"/>
  <c r="B1591" i="1"/>
  <c r="N1590" i="1"/>
  <c r="M1590" i="1"/>
  <c r="K1590" i="1"/>
  <c r="J1590" i="1"/>
  <c r="B1590" i="1"/>
  <c r="N1589" i="1"/>
  <c r="M1589" i="1"/>
  <c r="K1589" i="1"/>
  <c r="J1589" i="1"/>
  <c r="B1589" i="1"/>
  <c r="N1588" i="1"/>
  <c r="M1588" i="1"/>
  <c r="K1588" i="1"/>
  <c r="J1588" i="1"/>
  <c r="B1588" i="1"/>
  <c r="N1587" i="1"/>
  <c r="M1587" i="1"/>
  <c r="K1587" i="1"/>
  <c r="J1587" i="1"/>
  <c r="B1587" i="1"/>
  <c r="N1586" i="1"/>
  <c r="M1586" i="1"/>
  <c r="K1586" i="1"/>
  <c r="J1586" i="1"/>
  <c r="B1586" i="1"/>
  <c r="N1585" i="1"/>
  <c r="M1585" i="1"/>
  <c r="K1585" i="1"/>
  <c r="J1585" i="1"/>
  <c r="B1585" i="1"/>
  <c r="N1584" i="1"/>
  <c r="M1584" i="1"/>
  <c r="K1584" i="1"/>
  <c r="J1584" i="1"/>
  <c r="B1584" i="1"/>
  <c r="N1583" i="1"/>
  <c r="M1583" i="1"/>
  <c r="K1583" i="1"/>
  <c r="J1583" i="1"/>
  <c r="B1583" i="1"/>
  <c r="N1582" i="1"/>
  <c r="M1582" i="1"/>
  <c r="K1582" i="1"/>
  <c r="J1582" i="1"/>
  <c r="B1582" i="1"/>
  <c r="N1581" i="1"/>
  <c r="M1581" i="1"/>
  <c r="K1581" i="1"/>
  <c r="J1581" i="1"/>
  <c r="B1581" i="1"/>
  <c r="N1580" i="1"/>
  <c r="M1580" i="1"/>
  <c r="K1580" i="1"/>
  <c r="J1580" i="1"/>
  <c r="B1580" i="1"/>
  <c r="N1579" i="1"/>
  <c r="M1579" i="1"/>
  <c r="K1579" i="1"/>
  <c r="J1579" i="1"/>
  <c r="B1579" i="1"/>
  <c r="N1578" i="1"/>
  <c r="M1578" i="1"/>
  <c r="K1578" i="1"/>
  <c r="J1578" i="1"/>
  <c r="B1578" i="1"/>
  <c r="N1577" i="1"/>
  <c r="M1577" i="1"/>
  <c r="K1577" i="1"/>
  <c r="J1577" i="1"/>
  <c r="B1577" i="1"/>
  <c r="N1576" i="1"/>
  <c r="M1576" i="1"/>
  <c r="K1576" i="1"/>
  <c r="J1576" i="1"/>
  <c r="B1576" i="1"/>
  <c r="N1575" i="1"/>
  <c r="M1575" i="1"/>
  <c r="K1575" i="1"/>
  <c r="J1575" i="1"/>
  <c r="B1575" i="1"/>
  <c r="N1574" i="1"/>
  <c r="M1574" i="1"/>
  <c r="K1574" i="1"/>
  <c r="J1574" i="1"/>
  <c r="B1574" i="1"/>
  <c r="N1573" i="1"/>
  <c r="M1573" i="1"/>
  <c r="K1573" i="1"/>
  <c r="J1573" i="1"/>
  <c r="B1573" i="1"/>
  <c r="N1572" i="1"/>
  <c r="M1572" i="1"/>
  <c r="K1572" i="1"/>
  <c r="J1572" i="1"/>
  <c r="B1572" i="1"/>
  <c r="N1571" i="1"/>
  <c r="M1571" i="1"/>
  <c r="K1571" i="1"/>
  <c r="J1571" i="1"/>
  <c r="B1571" i="1"/>
  <c r="N1570" i="1"/>
  <c r="M1570" i="1"/>
  <c r="K1570" i="1"/>
  <c r="J1570" i="1"/>
  <c r="B1570" i="1"/>
  <c r="N1569" i="1"/>
  <c r="M1569" i="1"/>
  <c r="K1569" i="1"/>
  <c r="J1569" i="1"/>
  <c r="B1569" i="1"/>
  <c r="N1568" i="1"/>
  <c r="M1568" i="1"/>
  <c r="K1568" i="1"/>
  <c r="J1568" i="1"/>
  <c r="B1568" i="1"/>
  <c r="N1567" i="1"/>
  <c r="M1567" i="1"/>
  <c r="K1567" i="1"/>
  <c r="J1567" i="1"/>
  <c r="B1567" i="1"/>
  <c r="N1566" i="1"/>
  <c r="M1566" i="1"/>
  <c r="K1566" i="1"/>
  <c r="J1566" i="1"/>
  <c r="B1566" i="1"/>
  <c r="N1565" i="1"/>
  <c r="M1565" i="1"/>
  <c r="K1565" i="1"/>
  <c r="J1565" i="1"/>
  <c r="B1565" i="1"/>
  <c r="N1564" i="1"/>
  <c r="M1564" i="1"/>
  <c r="K1564" i="1"/>
  <c r="J1564" i="1"/>
  <c r="B1564" i="1"/>
  <c r="N1563" i="1"/>
  <c r="M1563" i="1"/>
  <c r="K1563" i="1"/>
  <c r="J1563" i="1"/>
  <c r="B1563" i="1"/>
  <c r="N1562" i="1"/>
  <c r="M1562" i="1"/>
  <c r="K1562" i="1"/>
  <c r="J1562" i="1"/>
  <c r="B1562" i="1"/>
  <c r="N1561" i="1"/>
  <c r="M1561" i="1"/>
  <c r="K1561" i="1"/>
  <c r="J1561" i="1"/>
  <c r="B1561" i="1"/>
  <c r="N1560" i="1"/>
  <c r="M1560" i="1"/>
  <c r="K1560" i="1"/>
  <c r="J1560" i="1"/>
  <c r="B1560" i="1"/>
  <c r="N1559" i="1"/>
  <c r="M1559" i="1"/>
  <c r="K1559" i="1"/>
  <c r="J1559" i="1"/>
  <c r="B1559" i="1"/>
  <c r="N1558" i="1"/>
  <c r="M1558" i="1"/>
  <c r="K1558" i="1"/>
  <c r="J1558" i="1"/>
  <c r="B1558" i="1"/>
  <c r="N1557" i="1"/>
  <c r="M1557" i="1"/>
  <c r="K1557" i="1"/>
  <c r="J1557" i="1"/>
  <c r="B1557" i="1"/>
  <c r="N1556" i="1"/>
  <c r="M1556" i="1"/>
  <c r="K1556" i="1"/>
  <c r="J1556" i="1"/>
  <c r="B1556" i="1"/>
  <c r="N1555" i="1"/>
  <c r="M1555" i="1"/>
  <c r="K1555" i="1"/>
  <c r="J1555" i="1"/>
  <c r="B1555" i="1"/>
  <c r="N1554" i="1"/>
  <c r="M1554" i="1"/>
  <c r="K1554" i="1"/>
  <c r="J1554" i="1"/>
  <c r="B1554" i="1"/>
  <c r="N1553" i="1"/>
  <c r="M1553" i="1"/>
  <c r="K1553" i="1"/>
  <c r="J1553" i="1"/>
  <c r="B1553" i="1"/>
  <c r="N1552" i="1"/>
  <c r="M1552" i="1"/>
  <c r="K1552" i="1"/>
  <c r="J1552" i="1"/>
  <c r="B1552" i="1"/>
  <c r="N1551" i="1"/>
  <c r="M1551" i="1"/>
  <c r="K1551" i="1"/>
  <c r="J1551" i="1"/>
  <c r="B1551" i="1"/>
  <c r="N1550" i="1"/>
  <c r="M1550" i="1"/>
  <c r="K1550" i="1"/>
  <c r="J1550" i="1"/>
  <c r="B1550" i="1"/>
  <c r="N1549" i="1"/>
  <c r="M1549" i="1"/>
  <c r="K1549" i="1"/>
  <c r="J1549" i="1"/>
  <c r="B1549" i="1"/>
  <c r="N1548" i="1"/>
  <c r="M1548" i="1"/>
  <c r="K1548" i="1"/>
  <c r="J1548" i="1"/>
  <c r="B1548" i="1"/>
  <c r="N1547" i="1"/>
  <c r="M1547" i="1"/>
  <c r="K1547" i="1"/>
  <c r="J1547" i="1"/>
  <c r="B1547" i="1"/>
  <c r="N1546" i="1"/>
  <c r="M1546" i="1"/>
  <c r="K1546" i="1"/>
  <c r="J1546" i="1"/>
  <c r="B1546" i="1"/>
  <c r="N1545" i="1"/>
  <c r="M1545" i="1"/>
  <c r="K1545" i="1"/>
  <c r="J1545" i="1"/>
  <c r="B1545" i="1"/>
  <c r="N1544" i="1"/>
  <c r="M1544" i="1"/>
  <c r="K1544" i="1"/>
  <c r="J1544" i="1"/>
  <c r="B1544" i="1"/>
  <c r="N1543" i="1"/>
  <c r="M1543" i="1"/>
  <c r="K1543" i="1"/>
  <c r="J1543" i="1"/>
  <c r="B1543" i="1"/>
  <c r="N1542" i="1"/>
  <c r="M1542" i="1"/>
  <c r="K1542" i="1"/>
  <c r="J1542" i="1"/>
  <c r="B1542" i="1"/>
  <c r="N1541" i="1"/>
  <c r="M1541" i="1"/>
  <c r="K1541" i="1"/>
  <c r="J1541" i="1"/>
  <c r="B1541" i="1"/>
  <c r="N1540" i="1"/>
  <c r="M1540" i="1"/>
  <c r="K1540" i="1"/>
  <c r="J1540" i="1"/>
  <c r="B1540" i="1"/>
  <c r="N1539" i="1"/>
  <c r="M1539" i="1"/>
  <c r="K1539" i="1"/>
  <c r="J1539" i="1"/>
  <c r="B1539" i="1"/>
  <c r="N1538" i="1"/>
  <c r="M1538" i="1"/>
  <c r="K1538" i="1"/>
  <c r="J1538" i="1"/>
  <c r="B1538" i="1"/>
  <c r="N1537" i="1"/>
  <c r="M1537" i="1"/>
  <c r="K1537" i="1"/>
  <c r="J1537" i="1"/>
  <c r="B1537" i="1"/>
  <c r="N1536" i="1"/>
  <c r="M1536" i="1"/>
  <c r="K1536" i="1"/>
  <c r="J1536" i="1"/>
  <c r="B1536" i="1"/>
  <c r="N1535" i="1"/>
  <c r="M1535" i="1"/>
  <c r="K1535" i="1"/>
  <c r="J1535" i="1"/>
  <c r="B1535" i="1"/>
  <c r="N1534" i="1"/>
  <c r="M1534" i="1"/>
  <c r="K1534" i="1"/>
  <c r="J1534" i="1"/>
  <c r="B1534" i="1"/>
  <c r="N1533" i="1"/>
  <c r="M1533" i="1"/>
  <c r="K1533" i="1"/>
  <c r="J1533" i="1"/>
  <c r="B1533" i="1"/>
  <c r="N1532" i="1"/>
  <c r="M1532" i="1"/>
  <c r="K1532" i="1"/>
  <c r="J1532" i="1"/>
  <c r="B1532" i="1"/>
  <c r="N1531" i="1"/>
  <c r="M1531" i="1"/>
  <c r="K1531" i="1"/>
  <c r="J1531" i="1"/>
  <c r="B1531" i="1"/>
  <c r="N1530" i="1"/>
  <c r="M1530" i="1"/>
  <c r="K1530" i="1"/>
  <c r="J1530" i="1"/>
  <c r="B1530" i="1"/>
  <c r="N1529" i="1"/>
  <c r="M1529" i="1"/>
  <c r="K1529" i="1"/>
  <c r="J1529" i="1"/>
  <c r="B1529" i="1"/>
  <c r="N1528" i="1"/>
  <c r="M1528" i="1"/>
  <c r="K1528" i="1"/>
  <c r="J1528" i="1"/>
  <c r="B1528" i="1"/>
  <c r="N1527" i="1"/>
  <c r="M1527" i="1"/>
  <c r="K1527" i="1"/>
  <c r="J1527" i="1"/>
  <c r="B1527" i="1"/>
  <c r="N1526" i="1"/>
  <c r="M1526" i="1"/>
  <c r="K1526" i="1"/>
  <c r="J1526" i="1"/>
  <c r="B1526" i="1"/>
  <c r="N1525" i="1"/>
  <c r="M1525" i="1"/>
  <c r="K1525" i="1"/>
  <c r="J1525" i="1"/>
  <c r="B1525" i="1"/>
  <c r="N1524" i="1"/>
  <c r="M1524" i="1"/>
  <c r="K1524" i="1"/>
  <c r="J1524" i="1"/>
  <c r="B1524" i="1"/>
  <c r="N1523" i="1"/>
  <c r="M1523" i="1"/>
  <c r="K1523" i="1"/>
  <c r="J1523" i="1"/>
  <c r="B1523" i="1"/>
  <c r="N1522" i="1"/>
  <c r="M1522" i="1"/>
  <c r="K1522" i="1"/>
  <c r="J1522" i="1"/>
  <c r="B1522" i="1"/>
  <c r="N1521" i="1"/>
  <c r="M1521" i="1"/>
  <c r="K1521" i="1"/>
  <c r="J1521" i="1"/>
  <c r="B1521" i="1"/>
  <c r="N1520" i="1"/>
  <c r="M1520" i="1"/>
  <c r="K1520" i="1"/>
  <c r="J1520" i="1"/>
  <c r="B1520" i="1"/>
  <c r="N1519" i="1"/>
  <c r="M1519" i="1"/>
  <c r="K1519" i="1"/>
  <c r="J1519" i="1"/>
  <c r="B1519" i="1"/>
  <c r="N1518" i="1"/>
  <c r="M1518" i="1"/>
  <c r="K1518" i="1"/>
  <c r="J1518" i="1"/>
  <c r="B1518" i="1"/>
  <c r="N1517" i="1"/>
  <c r="M1517" i="1"/>
  <c r="K1517" i="1"/>
  <c r="J1517" i="1"/>
  <c r="B1517" i="1"/>
  <c r="N1516" i="1"/>
  <c r="M1516" i="1"/>
  <c r="K1516" i="1"/>
  <c r="J1516" i="1"/>
  <c r="B1516" i="1"/>
  <c r="N1515" i="1"/>
  <c r="M1515" i="1"/>
  <c r="K1515" i="1"/>
  <c r="J1515" i="1"/>
  <c r="B1515" i="1"/>
  <c r="N1514" i="1"/>
  <c r="M1514" i="1"/>
  <c r="K1514" i="1"/>
  <c r="J1514" i="1"/>
  <c r="B1514" i="1"/>
  <c r="N1513" i="1"/>
  <c r="M1513" i="1"/>
  <c r="K1513" i="1"/>
  <c r="J1513" i="1"/>
  <c r="B1513" i="1"/>
  <c r="N1512" i="1"/>
  <c r="M1512" i="1"/>
  <c r="K1512" i="1"/>
  <c r="J1512" i="1"/>
  <c r="B1512" i="1"/>
  <c r="N1511" i="1"/>
  <c r="M1511" i="1"/>
  <c r="K1511" i="1"/>
  <c r="J1511" i="1"/>
  <c r="B1511" i="1"/>
  <c r="N1510" i="1"/>
  <c r="M1510" i="1"/>
  <c r="K1510" i="1"/>
  <c r="J1510" i="1"/>
  <c r="B1510" i="1"/>
  <c r="N1509" i="1"/>
  <c r="M1509" i="1"/>
  <c r="K1509" i="1"/>
  <c r="J1509" i="1"/>
  <c r="B1509" i="1"/>
  <c r="N1508" i="1"/>
  <c r="M1508" i="1"/>
  <c r="K1508" i="1"/>
  <c r="J1508" i="1"/>
  <c r="B1508" i="1"/>
  <c r="N1507" i="1"/>
  <c r="M1507" i="1"/>
  <c r="K1507" i="1"/>
  <c r="J1507" i="1"/>
  <c r="B1507" i="1"/>
  <c r="N1506" i="1"/>
  <c r="M1506" i="1"/>
  <c r="K1506" i="1"/>
  <c r="J1506" i="1"/>
  <c r="B1506" i="1"/>
  <c r="N1505" i="1"/>
  <c r="M1505" i="1"/>
  <c r="K1505" i="1"/>
  <c r="J1505" i="1"/>
  <c r="B1505" i="1"/>
  <c r="N1504" i="1"/>
  <c r="M1504" i="1"/>
  <c r="K1504" i="1"/>
  <c r="J1504" i="1"/>
  <c r="B1504" i="1"/>
  <c r="N1503" i="1"/>
  <c r="M1503" i="1"/>
  <c r="K1503" i="1"/>
  <c r="J1503" i="1"/>
  <c r="B1503" i="1"/>
  <c r="N1502" i="1"/>
  <c r="M1502" i="1"/>
  <c r="K1502" i="1"/>
  <c r="J1502" i="1"/>
  <c r="B1502" i="1"/>
  <c r="N1501" i="1"/>
  <c r="M1501" i="1"/>
  <c r="K1501" i="1"/>
  <c r="J1501" i="1"/>
  <c r="B1501" i="1"/>
  <c r="N1500" i="1"/>
  <c r="M1500" i="1"/>
  <c r="K1500" i="1"/>
  <c r="J1500" i="1"/>
  <c r="B1500" i="1"/>
  <c r="N1499" i="1"/>
  <c r="M1499" i="1"/>
  <c r="K1499" i="1"/>
  <c r="J1499" i="1"/>
  <c r="B1499" i="1"/>
  <c r="N1498" i="1"/>
  <c r="M1498" i="1"/>
  <c r="K1498" i="1"/>
  <c r="J1498" i="1"/>
  <c r="B1498" i="1"/>
  <c r="N1497" i="1"/>
  <c r="M1497" i="1"/>
  <c r="K1497" i="1"/>
  <c r="J1497" i="1"/>
  <c r="B1497" i="1"/>
  <c r="N1496" i="1"/>
  <c r="M1496" i="1"/>
  <c r="K1496" i="1"/>
  <c r="J1496" i="1"/>
  <c r="B1496" i="1"/>
  <c r="N1495" i="1"/>
  <c r="M1495" i="1"/>
  <c r="K1495" i="1"/>
  <c r="J1495" i="1"/>
  <c r="B1495" i="1"/>
  <c r="N1494" i="1"/>
  <c r="M1494" i="1"/>
  <c r="K1494" i="1"/>
  <c r="J1494" i="1"/>
  <c r="B1494" i="1"/>
  <c r="N1493" i="1"/>
  <c r="M1493" i="1"/>
  <c r="K1493" i="1"/>
  <c r="J1493" i="1"/>
  <c r="B1493" i="1"/>
  <c r="N1492" i="1"/>
  <c r="M1492" i="1"/>
  <c r="K1492" i="1"/>
  <c r="J1492" i="1"/>
  <c r="B1492" i="1"/>
  <c r="N1491" i="1"/>
  <c r="M1491" i="1"/>
  <c r="K1491" i="1"/>
  <c r="J1491" i="1"/>
  <c r="B1491" i="1"/>
  <c r="N1490" i="1"/>
  <c r="M1490" i="1"/>
  <c r="K1490" i="1"/>
  <c r="J1490" i="1"/>
  <c r="B1490" i="1"/>
  <c r="N1489" i="1"/>
  <c r="M1489" i="1"/>
  <c r="K1489" i="1"/>
  <c r="J1489" i="1"/>
  <c r="B1489" i="1"/>
  <c r="N1488" i="1"/>
  <c r="M1488" i="1"/>
  <c r="K1488" i="1"/>
  <c r="J1488" i="1"/>
  <c r="B1488" i="1"/>
  <c r="N1487" i="1"/>
  <c r="M1487" i="1"/>
  <c r="K1487" i="1"/>
  <c r="J1487" i="1"/>
  <c r="B1487" i="1"/>
  <c r="N1486" i="1"/>
  <c r="M1486" i="1"/>
  <c r="K1486" i="1"/>
  <c r="J1486" i="1"/>
  <c r="B1486" i="1"/>
  <c r="N1485" i="1"/>
  <c r="M1485" i="1"/>
  <c r="K1485" i="1"/>
  <c r="J1485" i="1"/>
  <c r="B1485" i="1"/>
  <c r="N1484" i="1"/>
  <c r="M1484" i="1"/>
  <c r="K1484" i="1"/>
  <c r="J1484" i="1"/>
  <c r="B1484" i="1"/>
  <c r="N1483" i="1"/>
  <c r="M1483" i="1"/>
  <c r="K1483" i="1"/>
  <c r="J1483" i="1"/>
  <c r="B1483" i="1"/>
  <c r="N1482" i="1"/>
  <c r="M1482" i="1"/>
  <c r="K1482" i="1"/>
  <c r="J1482" i="1"/>
  <c r="B1482" i="1"/>
  <c r="N1481" i="1"/>
  <c r="M1481" i="1"/>
  <c r="K1481" i="1"/>
  <c r="J1481" i="1"/>
  <c r="B1481" i="1"/>
  <c r="N1480" i="1"/>
  <c r="M1480" i="1"/>
  <c r="K1480" i="1"/>
  <c r="J1480" i="1"/>
  <c r="B1480" i="1"/>
  <c r="N1479" i="1"/>
  <c r="M1479" i="1"/>
  <c r="K1479" i="1"/>
  <c r="J1479" i="1"/>
  <c r="B1479" i="1"/>
  <c r="N1478" i="1"/>
  <c r="M1478" i="1"/>
  <c r="K1478" i="1"/>
  <c r="J1478" i="1"/>
  <c r="B1478" i="1"/>
  <c r="N1477" i="1"/>
  <c r="M1477" i="1"/>
  <c r="K1477" i="1"/>
  <c r="J1477" i="1"/>
  <c r="B1477" i="1"/>
  <c r="N1476" i="1"/>
  <c r="M1476" i="1"/>
  <c r="K1476" i="1"/>
  <c r="J1476" i="1"/>
  <c r="B1476" i="1"/>
  <c r="N1475" i="1"/>
  <c r="M1475" i="1"/>
  <c r="K1475" i="1"/>
  <c r="J1475" i="1"/>
  <c r="B1475" i="1"/>
  <c r="N1474" i="1"/>
  <c r="M1474" i="1"/>
  <c r="K1474" i="1"/>
  <c r="J1474" i="1"/>
  <c r="B1474" i="1"/>
  <c r="N1473" i="1"/>
  <c r="M1473" i="1"/>
  <c r="K1473" i="1"/>
  <c r="J1473" i="1"/>
  <c r="B1473" i="1"/>
  <c r="N1472" i="1"/>
  <c r="M1472" i="1"/>
  <c r="K1472" i="1"/>
  <c r="J1472" i="1"/>
  <c r="B1472" i="1"/>
  <c r="N1471" i="1"/>
  <c r="M1471" i="1"/>
  <c r="K1471" i="1"/>
  <c r="J1471" i="1"/>
  <c r="B1471" i="1"/>
  <c r="N1470" i="1"/>
  <c r="M1470" i="1"/>
  <c r="K1470" i="1"/>
  <c r="J1470" i="1"/>
  <c r="B1470" i="1"/>
  <c r="N1469" i="1"/>
  <c r="M1469" i="1"/>
  <c r="K1469" i="1"/>
  <c r="J1469" i="1"/>
  <c r="B1469" i="1"/>
  <c r="N1468" i="1"/>
  <c r="M1468" i="1"/>
  <c r="K1468" i="1"/>
  <c r="J1468" i="1"/>
  <c r="B1468" i="1"/>
  <c r="N1467" i="1"/>
  <c r="M1467" i="1"/>
  <c r="K1467" i="1"/>
  <c r="J1467" i="1"/>
  <c r="B1467" i="1"/>
  <c r="N1466" i="1"/>
  <c r="M1466" i="1"/>
  <c r="K1466" i="1"/>
  <c r="J1466" i="1"/>
  <c r="B1466" i="1"/>
  <c r="N1465" i="1"/>
  <c r="M1465" i="1"/>
  <c r="K1465" i="1"/>
  <c r="J1465" i="1"/>
  <c r="B1465" i="1"/>
  <c r="N1464" i="1"/>
  <c r="M1464" i="1"/>
  <c r="K1464" i="1"/>
  <c r="J1464" i="1"/>
  <c r="B1464" i="1"/>
  <c r="N1463" i="1"/>
  <c r="M1463" i="1"/>
  <c r="K1463" i="1"/>
  <c r="J1463" i="1"/>
  <c r="B1463" i="1"/>
  <c r="N1462" i="1"/>
  <c r="M1462" i="1"/>
  <c r="K1462" i="1"/>
  <c r="J1462" i="1"/>
  <c r="B1462" i="1"/>
  <c r="N1461" i="1"/>
  <c r="M1461" i="1"/>
  <c r="K1461" i="1"/>
  <c r="J1461" i="1"/>
  <c r="B1461" i="1"/>
  <c r="N1460" i="1"/>
  <c r="M1460" i="1"/>
  <c r="K1460" i="1"/>
  <c r="J1460" i="1"/>
  <c r="B1460" i="1"/>
  <c r="N1459" i="1"/>
  <c r="M1459" i="1"/>
  <c r="K1459" i="1"/>
  <c r="J1459" i="1"/>
  <c r="B1459" i="1"/>
  <c r="N1458" i="1"/>
  <c r="M1458" i="1"/>
  <c r="K1458" i="1"/>
  <c r="J1458" i="1"/>
  <c r="B1458" i="1"/>
  <c r="N1457" i="1"/>
  <c r="M1457" i="1"/>
  <c r="K1457" i="1"/>
  <c r="J1457" i="1"/>
  <c r="B1457" i="1"/>
  <c r="N1456" i="1"/>
  <c r="M1456" i="1"/>
  <c r="K1456" i="1"/>
  <c r="J1456" i="1"/>
  <c r="B1456" i="1"/>
  <c r="N1455" i="1"/>
  <c r="M1455" i="1"/>
  <c r="K1455" i="1"/>
  <c r="J1455" i="1"/>
  <c r="B1455" i="1"/>
  <c r="N1454" i="1"/>
  <c r="M1454" i="1"/>
  <c r="K1454" i="1"/>
  <c r="J1454" i="1"/>
  <c r="B1454" i="1"/>
  <c r="N1453" i="1"/>
  <c r="M1453" i="1"/>
  <c r="K1453" i="1"/>
  <c r="J1453" i="1"/>
  <c r="B1453" i="1"/>
  <c r="N1452" i="1"/>
  <c r="M1452" i="1"/>
  <c r="K1452" i="1"/>
  <c r="J1452" i="1"/>
  <c r="B1452" i="1"/>
  <c r="N1451" i="1"/>
  <c r="M1451" i="1"/>
  <c r="K1451" i="1"/>
  <c r="J1451" i="1"/>
  <c r="B1451" i="1"/>
  <c r="N1450" i="1"/>
  <c r="M1450" i="1"/>
  <c r="K1450" i="1"/>
  <c r="J1450" i="1"/>
  <c r="B1450" i="1"/>
  <c r="N1449" i="1"/>
  <c r="M1449" i="1"/>
  <c r="K1449" i="1"/>
  <c r="J1449" i="1"/>
  <c r="B1449" i="1"/>
  <c r="N1448" i="1"/>
  <c r="M1448" i="1"/>
  <c r="K1448" i="1"/>
  <c r="J1448" i="1"/>
  <c r="B1448" i="1"/>
  <c r="N1447" i="1"/>
  <c r="M1447" i="1"/>
  <c r="K1447" i="1"/>
  <c r="J1447" i="1"/>
  <c r="B1447" i="1"/>
  <c r="N1446" i="1"/>
  <c r="M1446" i="1"/>
  <c r="K1446" i="1"/>
  <c r="J1446" i="1"/>
  <c r="B1446" i="1"/>
  <c r="N1445" i="1"/>
  <c r="M1445" i="1"/>
  <c r="K1445" i="1"/>
  <c r="J1445" i="1"/>
  <c r="B1445" i="1"/>
  <c r="N1444" i="1"/>
  <c r="M1444" i="1"/>
  <c r="K1444" i="1"/>
  <c r="J1444" i="1"/>
  <c r="B1444" i="1"/>
  <c r="N1443" i="1"/>
  <c r="M1443" i="1"/>
  <c r="K1443" i="1"/>
  <c r="J1443" i="1"/>
  <c r="B1443" i="1"/>
  <c r="N1442" i="1"/>
  <c r="M1442" i="1"/>
  <c r="K1442" i="1"/>
  <c r="J1442" i="1"/>
  <c r="B1442" i="1"/>
  <c r="N1441" i="1"/>
  <c r="M1441" i="1"/>
  <c r="K1441" i="1"/>
  <c r="J1441" i="1"/>
  <c r="B1441" i="1"/>
  <c r="N1440" i="1"/>
  <c r="M1440" i="1"/>
  <c r="K1440" i="1"/>
  <c r="J1440" i="1"/>
  <c r="B1440" i="1"/>
  <c r="N1439" i="1"/>
  <c r="M1439" i="1"/>
  <c r="K1439" i="1"/>
  <c r="J1439" i="1"/>
  <c r="B1439" i="1"/>
  <c r="N1438" i="1"/>
  <c r="M1438" i="1"/>
  <c r="K1438" i="1"/>
  <c r="J1438" i="1"/>
  <c r="B1438" i="1"/>
  <c r="N1437" i="1"/>
  <c r="M1437" i="1"/>
  <c r="K1437" i="1"/>
  <c r="J1437" i="1"/>
  <c r="B1437" i="1"/>
  <c r="N1436" i="1"/>
  <c r="M1436" i="1"/>
  <c r="K1436" i="1"/>
  <c r="J1436" i="1"/>
  <c r="B1436" i="1"/>
  <c r="N1435" i="1"/>
  <c r="M1435" i="1"/>
  <c r="K1435" i="1"/>
  <c r="J1435" i="1"/>
  <c r="B1435" i="1"/>
  <c r="N1434" i="1"/>
  <c r="M1434" i="1"/>
  <c r="K1434" i="1"/>
  <c r="J1434" i="1"/>
  <c r="B1434" i="1"/>
  <c r="N1433" i="1"/>
  <c r="M1433" i="1"/>
  <c r="K1433" i="1"/>
  <c r="J1433" i="1"/>
  <c r="B1433" i="1"/>
  <c r="N1432" i="1"/>
  <c r="M1432" i="1"/>
  <c r="K1432" i="1"/>
  <c r="J1432" i="1"/>
  <c r="B1432" i="1"/>
  <c r="N8" i="1"/>
  <c r="M8" i="1"/>
  <c r="K8" i="1"/>
  <c r="J8" i="1"/>
  <c r="B8" i="1"/>
  <c r="N7" i="1"/>
  <c r="M7" i="1"/>
  <c r="K7" i="1"/>
  <c r="J7" i="1"/>
  <c r="B7" i="1"/>
  <c r="N6" i="1"/>
  <c r="M6" i="1"/>
  <c r="K6" i="1"/>
  <c r="J6" i="1"/>
  <c r="B6" i="1"/>
  <c r="N5" i="1"/>
  <c r="M5" i="1"/>
  <c r="K5" i="1"/>
  <c r="J5" i="1"/>
  <c r="B5" i="1"/>
  <c r="N4" i="1"/>
  <c r="M4" i="1"/>
  <c r="K4" i="1"/>
  <c r="J4" i="1"/>
  <c r="B4" i="1"/>
  <c r="N3" i="1"/>
  <c r="M3" i="1"/>
  <c r="K3" i="1"/>
  <c r="J3" i="1"/>
  <c r="B3" i="1"/>
  <c r="N2" i="1"/>
  <c r="M2" i="1"/>
  <c r="K2" i="1"/>
  <c r="J2" i="1"/>
  <c r="B2" i="1"/>
  <c r="N23" i="1"/>
  <c r="M23" i="1"/>
  <c r="K23" i="1"/>
  <c r="J23" i="1"/>
  <c r="B23" i="1"/>
  <c r="N22" i="1"/>
  <c r="M22" i="1"/>
  <c r="K22" i="1"/>
  <c r="J22" i="1"/>
  <c r="B22" i="1"/>
  <c r="N21" i="1"/>
  <c r="M21" i="1"/>
  <c r="K21" i="1"/>
  <c r="J21" i="1"/>
  <c r="B21" i="1"/>
  <c r="N20" i="1"/>
  <c r="M20" i="1"/>
  <c r="K20" i="1"/>
  <c r="J20" i="1"/>
  <c r="B20" i="1"/>
  <c r="N19" i="1"/>
  <c r="M19" i="1"/>
  <c r="K19" i="1"/>
  <c r="J19" i="1"/>
  <c r="B19" i="1"/>
  <c r="N18" i="1"/>
  <c r="M18" i="1"/>
  <c r="K18" i="1"/>
  <c r="J18" i="1"/>
  <c r="B18" i="1"/>
  <c r="N17" i="1"/>
  <c r="M17" i="1"/>
  <c r="K17" i="1"/>
  <c r="J17" i="1"/>
  <c r="B17" i="1"/>
  <c r="N16" i="1"/>
  <c r="M16" i="1"/>
  <c r="K16" i="1"/>
  <c r="J16" i="1"/>
  <c r="B16" i="1"/>
  <c r="N15" i="1"/>
  <c r="M15" i="1"/>
  <c r="K15" i="1"/>
  <c r="J15" i="1"/>
  <c r="B15" i="1"/>
  <c r="N14" i="1"/>
  <c r="M14" i="1"/>
  <c r="K14" i="1"/>
  <c r="J14" i="1"/>
  <c r="B14" i="1"/>
  <c r="N13" i="1"/>
  <c r="M13" i="1"/>
  <c r="K13" i="1"/>
  <c r="J13" i="1"/>
  <c r="B13" i="1"/>
  <c r="N12" i="1"/>
  <c r="M12" i="1"/>
  <c r="K12" i="1"/>
  <c r="J12" i="1"/>
  <c r="B12" i="1"/>
  <c r="N11" i="1"/>
  <c r="M11" i="1"/>
  <c r="K11" i="1"/>
  <c r="J11" i="1"/>
  <c r="B11" i="1"/>
  <c r="N10" i="1"/>
  <c r="M10" i="1"/>
  <c r="K10" i="1"/>
  <c r="J10" i="1"/>
  <c r="B10" i="1"/>
  <c r="N9" i="1"/>
  <c r="M9" i="1"/>
  <c r="K9" i="1"/>
  <c r="J9" i="1"/>
  <c r="B9" i="1"/>
  <c r="N25" i="1"/>
  <c r="M25" i="1"/>
  <c r="K25" i="1"/>
  <c r="J25" i="1"/>
  <c r="B25" i="1"/>
  <c r="N24" i="1"/>
  <c r="M24" i="1"/>
  <c r="K24" i="1"/>
  <c r="J24" i="1"/>
  <c r="B24" i="1"/>
  <c r="N39" i="1"/>
  <c r="M39" i="1"/>
  <c r="K39" i="1"/>
  <c r="J39" i="1"/>
  <c r="B39" i="1"/>
  <c r="N38" i="1"/>
  <c r="M38" i="1"/>
  <c r="K38" i="1"/>
  <c r="J38" i="1"/>
  <c r="B38" i="1"/>
  <c r="N37" i="1"/>
  <c r="M37" i="1"/>
  <c r="K37" i="1"/>
  <c r="J37" i="1"/>
  <c r="B37" i="1"/>
  <c r="N36" i="1"/>
  <c r="M36" i="1"/>
  <c r="K36" i="1"/>
  <c r="J36" i="1"/>
  <c r="B36" i="1"/>
  <c r="N35" i="1"/>
  <c r="M35" i="1"/>
  <c r="K35" i="1"/>
  <c r="J35" i="1"/>
  <c r="B35" i="1"/>
  <c r="N34" i="1"/>
  <c r="M34" i="1"/>
  <c r="K34" i="1"/>
  <c r="J34" i="1"/>
  <c r="B34" i="1"/>
  <c r="N33" i="1"/>
  <c r="M33" i="1"/>
  <c r="K33" i="1"/>
  <c r="J33" i="1"/>
  <c r="B33" i="1"/>
  <c r="N32" i="1"/>
  <c r="M32" i="1"/>
  <c r="K32" i="1"/>
  <c r="J32" i="1"/>
  <c r="B32" i="1"/>
  <c r="N31" i="1"/>
  <c r="M31" i="1"/>
  <c r="K31" i="1"/>
  <c r="J31" i="1"/>
  <c r="B31" i="1"/>
  <c r="N30" i="1"/>
  <c r="M30" i="1"/>
  <c r="K30" i="1"/>
  <c r="J30" i="1"/>
  <c r="B30" i="1"/>
  <c r="N29" i="1"/>
  <c r="M29" i="1"/>
  <c r="K29" i="1"/>
  <c r="J29" i="1"/>
  <c r="B29" i="1"/>
  <c r="N28" i="1"/>
  <c r="M28" i="1"/>
  <c r="K28" i="1"/>
  <c r="J28" i="1"/>
  <c r="B28" i="1"/>
  <c r="N27" i="1"/>
  <c r="M27" i="1"/>
  <c r="K27" i="1"/>
  <c r="J27" i="1"/>
  <c r="B27" i="1"/>
  <c r="N26" i="1"/>
  <c r="M26" i="1"/>
  <c r="K26" i="1"/>
  <c r="J26" i="1"/>
  <c r="B26" i="1"/>
  <c r="N55" i="1"/>
  <c r="M55" i="1"/>
  <c r="K55" i="1"/>
  <c r="J55" i="1"/>
  <c r="B55" i="1"/>
  <c r="N54" i="1"/>
  <c r="M54" i="1"/>
  <c r="K54" i="1"/>
  <c r="J54" i="1"/>
  <c r="B54" i="1"/>
  <c r="N53" i="1"/>
  <c r="M53" i="1"/>
  <c r="K53" i="1"/>
  <c r="J53" i="1"/>
  <c r="B53" i="1"/>
  <c r="N52" i="1"/>
  <c r="M52" i="1"/>
  <c r="K52" i="1"/>
  <c r="J52" i="1"/>
  <c r="B52" i="1"/>
  <c r="N51" i="1"/>
  <c r="M51" i="1"/>
  <c r="K51" i="1"/>
  <c r="J51" i="1"/>
  <c r="B51" i="1"/>
  <c r="N50" i="1"/>
  <c r="M50" i="1"/>
  <c r="K50" i="1"/>
  <c r="J50" i="1"/>
  <c r="B50" i="1"/>
  <c r="N49" i="1"/>
  <c r="M49" i="1"/>
  <c r="K49" i="1"/>
  <c r="J49" i="1"/>
  <c r="B49" i="1"/>
  <c r="N48" i="1"/>
  <c r="M48" i="1"/>
  <c r="K48" i="1"/>
  <c r="J48" i="1"/>
  <c r="B48" i="1"/>
  <c r="N47" i="1"/>
  <c r="M47" i="1"/>
  <c r="K47" i="1"/>
  <c r="J47" i="1"/>
  <c r="B47" i="1"/>
  <c r="N46" i="1"/>
  <c r="M46" i="1"/>
  <c r="K46" i="1"/>
  <c r="J46" i="1"/>
  <c r="B46" i="1"/>
  <c r="N45" i="1"/>
  <c r="M45" i="1"/>
  <c r="K45" i="1"/>
  <c r="J45" i="1"/>
  <c r="B45" i="1"/>
  <c r="N44" i="1"/>
  <c r="M44" i="1"/>
  <c r="K44" i="1"/>
  <c r="J44" i="1"/>
  <c r="B44" i="1"/>
  <c r="N43" i="1"/>
  <c r="M43" i="1"/>
  <c r="K43" i="1"/>
  <c r="J43" i="1"/>
  <c r="B43" i="1"/>
  <c r="N42" i="1"/>
  <c r="M42" i="1"/>
  <c r="K42" i="1"/>
  <c r="J42" i="1"/>
  <c r="B42" i="1"/>
  <c r="N41" i="1"/>
  <c r="M41" i="1"/>
  <c r="K41" i="1"/>
  <c r="J41" i="1"/>
  <c r="B41" i="1"/>
  <c r="N40" i="1"/>
  <c r="M40" i="1"/>
  <c r="K40" i="1"/>
  <c r="J40" i="1"/>
  <c r="B40" i="1"/>
  <c r="N60" i="1"/>
  <c r="M60" i="1"/>
  <c r="K60" i="1"/>
  <c r="J60" i="1"/>
  <c r="B60" i="1"/>
  <c r="N59" i="1"/>
  <c r="M59" i="1"/>
  <c r="K59" i="1"/>
  <c r="J59" i="1"/>
  <c r="B59" i="1"/>
  <c r="N58" i="1"/>
  <c r="M58" i="1"/>
  <c r="K58" i="1"/>
  <c r="J58" i="1"/>
  <c r="B58" i="1"/>
  <c r="N57" i="1"/>
  <c r="M57" i="1"/>
  <c r="K57" i="1"/>
  <c r="J57" i="1"/>
  <c r="B57" i="1"/>
  <c r="N56" i="1"/>
  <c r="M56" i="1"/>
  <c r="K56" i="1"/>
  <c r="J56" i="1"/>
  <c r="B56" i="1"/>
  <c r="N70" i="1"/>
  <c r="M70" i="1"/>
  <c r="K70" i="1"/>
  <c r="J70" i="1"/>
  <c r="B70" i="1"/>
  <c r="N69" i="1"/>
  <c r="M69" i="1"/>
  <c r="K69" i="1"/>
  <c r="J69" i="1"/>
  <c r="B69" i="1"/>
  <c r="N68" i="1"/>
  <c r="M68" i="1"/>
  <c r="K68" i="1"/>
  <c r="J68" i="1"/>
  <c r="B68" i="1"/>
  <c r="N67" i="1"/>
  <c r="M67" i="1"/>
  <c r="K67" i="1"/>
  <c r="J67" i="1"/>
  <c r="B67" i="1"/>
  <c r="N66" i="1"/>
  <c r="M66" i="1"/>
  <c r="K66" i="1"/>
  <c r="J66" i="1"/>
  <c r="B66" i="1"/>
  <c r="N65" i="1"/>
  <c r="M65" i="1"/>
  <c r="K65" i="1"/>
  <c r="J65" i="1"/>
  <c r="B65" i="1"/>
  <c r="N64" i="1"/>
  <c r="M64" i="1"/>
  <c r="K64" i="1"/>
  <c r="J64" i="1"/>
  <c r="B64" i="1"/>
  <c r="N63" i="1"/>
  <c r="M63" i="1"/>
  <c r="K63" i="1"/>
  <c r="J63" i="1"/>
  <c r="B63" i="1"/>
  <c r="N62" i="1"/>
  <c r="M62" i="1"/>
  <c r="K62" i="1"/>
  <c r="J62" i="1"/>
  <c r="B62" i="1"/>
  <c r="N61" i="1"/>
  <c r="M61" i="1"/>
  <c r="K61" i="1"/>
  <c r="J61" i="1"/>
  <c r="B61" i="1"/>
  <c r="N83" i="1"/>
  <c r="M83" i="1"/>
  <c r="K83" i="1"/>
  <c r="J83" i="1"/>
  <c r="B83" i="1"/>
  <c r="N82" i="1"/>
  <c r="M82" i="1"/>
  <c r="K82" i="1"/>
  <c r="J82" i="1"/>
  <c r="B82" i="1"/>
  <c r="N81" i="1"/>
  <c r="M81" i="1"/>
  <c r="K81" i="1"/>
  <c r="J81" i="1"/>
  <c r="B81" i="1"/>
  <c r="N80" i="1"/>
  <c r="M80" i="1"/>
  <c r="K80" i="1"/>
  <c r="J80" i="1"/>
  <c r="B80" i="1"/>
  <c r="N79" i="1"/>
  <c r="M79" i="1"/>
  <c r="K79" i="1"/>
  <c r="J79" i="1"/>
  <c r="B79" i="1"/>
  <c r="N78" i="1"/>
  <c r="M78" i="1"/>
  <c r="K78" i="1"/>
  <c r="J78" i="1"/>
  <c r="B78" i="1"/>
  <c r="N77" i="1"/>
  <c r="M77" i="1"/>
  <c r="K77" i="1"/>
  <c r="J77" i="1"/>
  <c r="B77" i="1"/>
  <c r="N76" i="1"/>
  <c r="M76" i="1"/>
  <c r="K76" i="1"/>
  <c r="J76" i="1"/>
  <c r="B76" i="1"/>
  <c r="N75" i="1"/>
  <c r="M75" i="1"/>
  <c r="K75" i="1"/>
  <c r="J75" i="1"/>
  <c r="B75" i="1"/>
  <c r="N74" i="1"/>
  <c r="M74" i="1"/>
  <c r="K74" i="1"/>
  <c r="J74" i="1"/>
  <c r="B74" i="1"/>
  <c r="N73" i="1"/>
  <c r="M73" i="1"/>
  <c r="K73" i="1"/>
  <c r="J73" i="1"/>
  <c r="B73" i="1"/>
  <c r="N72" i="1"/>
  <c r="M72" i="1"/>
  <c r="K72" i="1"/>
  <c r="J72" i="1"/>
  <c r="B72" i="1"/>
  <c r="N71" i="1"/>
  <c r="M71" i="1"/>
  <c r="K71" i="1"/>
  <c r="J71" i="1"/>
  <c r="B71" i="1"/>
  <c r="N86" i="1"/>
  <c r="M86" i="1"/>
  <c r="K86" i="1"/>
  <c r="J86" i="1"/>
  <c r="B86" i="1"/>
  <c r="N85" i="1"/>
  <c r="M85" i="1"/>
  <c r="K85" i="1"/>
  <c r="J85" i="1"/>
  <c r="B85" i="1"/>
  <c r="N84" i="1"/>
  <c r="M84" i="1"/>
  <c r="K84" i="1"/>
  <c r="J84" i="1"/>
  <c r="B84" i="1"/>
  <c r="N97" i="1"/>
  <c r="M97" i="1"/>
  <c r="K97" i="1"/>
  <c r="J97" i="1"/>
  <c r="B97" i="1"/>
  <c r="N96" i="1"/>
  <c r="M96" i="1"/>
  <c r="K96" i="1"/>
  <c r="J96" i="1"/>
  <c r="B96" i="1"/>
  <c r="N95" i="1"/>
  <c r="M95" i="1"/>
  <c r="K95" i="1"/>
  <c r="J95" i="1"/>
  <c r="B95" i="1"/>
  <c r="N94" i="1"/>
  <c r="M94" i="1"/>
  <c r="K94" i="1"/>
  <c r="J94" i="1"/>
  <c r="B94" i="1"/>
  <c r="N93" i="1"/>
  <c r="M93" i="1"/>
  <c r="K93" i="1"/>
  <c r="J93" i="1"/>
  <c r="B93" i="1"/>
  <c r="N92" i="1"/>
  <c r="M92" i="1"/>
  <c r="K92" i="1"/>
  <c r="J92" i="1"/>
  <c r="B92" i="1"/>
  <c r="N91" i="1"/>
  <c r="M91" i="1"/>
  <c r="K91" i="1"/>
  <c r="J91" i="1"/>
  <c r="B91" i="1"/>
  <c r="N90" i="1"/>
  <c r="M90" i="1"/>
  <c r="K90" i="1"/>
  <c r="J90" i="1"/>
  <c r="B90" i="1"/>
  <c r="N89" i="1"/>
  <c r="M89" i="1"/>
  <c r="K89" i="1"/>
  <c r="J89" i="1"/>
  <c r="B89" i="1"/>
  <c r="N88" i="1"/>
  <c r="M88" i="1"/>
  <c r="K88" i="1"/>
  <c r="J88" i="1"/>
  <c r="B88" i="1"/>
  <c r="N87" i="1"/>
  <c r="M87" i="1"/>
  <c r="K87" i="1"/>
  <c r="J87" i="1"/>
  <c r="B87" i="1"/>
  <c r="N110" i="1"/>
  <c r="M110" i="1"/>
  <c r="K110" i="1"/>
  <c r="J110" i="1"/>
  <c r="B110" i="1"/>
  <c r="N109" i="1"/>
  <c r="M109" i="1"/>
  <c r="K109" i="1"/>
  <c r="J109" i="1"/>
  <c r="B109" i="1"/>
  <c r="N108" i="1"/>
  <c r="M108" i="1"/>
  <c r="K108" i="1"/>
  <c r="J108" i="1"/>
  <c r="B108" i="1"/>
  <c r="N107" i="1"/>
  <c r="M107" i="1"/>
  <c r="K107" i="1"/>
  <c r="J107" i="1"/>
  <c r="B107" i="1"/>
  <c r="N106" i="1"/>
  <c r="M106" i="1"/>
  <c r="K106" i="1"/>
  <c r="J106" i="1"/>
  <c r="B106" i="1"/>
  <c r="N105" i="1"/>
  <c r="M105" i="1"/>
  <c r="K105" i="1"/>
  <c r="J105" i="1"/>
  <c r="B105" i="1"/>
  <c r="N104" i="1"/>
  <c r="M104" i="1"/>
  <c r="K104" i="1"/>
  <c r="J104" i="1"/>
  <c r="B104" i="1"/>
  <c r="N103" i="1"/>
  <c r="M103" i="1"/>
  <c r="K103" i="1"/>
  <c r="J103" i="1"/>
  <c r="B103" i="1"/>
  <c r="N102" i="1"/>
  <c r="M102" i="1"/>
  <c r="K102" i="1"/>
  <c r="J102" i="1"/>
  <c r="B102" i="1"/>
  <c r="N101" i="1"/>
  <c r="M101" i="1"/>
  <c r="K101" i="1"/>
  <c r="J101" i="1"/>
  <c r="B101" i="1"/>
  <c r="N100" i="1"/>
  <c r="M100" i="1"/>
  <c r="K100" i="1"/>
  <c r="J100" i="1"/>
  <c r="B100" i="1"/>
  <c r="N99" i="1"/>
  <c r="M99" i="1"/>
  <c r="K99" i="1"/>
  <c r="J99" i="1"/>
  <c r="B99" i="1"/>
  <c r="N98" i="1"/>
  <c r="M98" i="1"/>
  <c r="K98" i="1"/>
  <c r="J98" i="1"/>
  <c r="B98" i="1"/>
  <c r="N122" i="1"/>
  <c r="M122" i="1"/>
  <c r="K122" i="1"/>
  <c r="J122" i="1"/>
  <c r="B122" i="1"/>
  <c r="N121" i="1"/>
  <c r="M121" i="1"/>
  <c r="K121" i="1"/>
  <c r="J121" i="1"/>
  <c r="B121" i="1"/>
  <c r="N120" i="1"/>
  <c r="M120" i="1"/>
  <c r="K120" i="1"/>
  <c r="J120" i="1"/>
  <c r="B120" i="1"/>
  <c r="N119" i="1"/>
  <c r="M119" i="1"/>
  <c r="K119" i="1"/>
  <c r="J119" i="1"/>
  <c r="B119" i="1"/>
  <c r="N118" i="1"/>
  <c r="M118" i="1"/>
  <c r="K118" i="1"/>
  <c r="J118" i="1"/>
  <c r="B118" i="1"/>
  <c r="N117" i="1"/>
  <c r="M117" i="1"/>
  <c r="K117" i="1"/>
  <c r="J117" i="1"/>
  <c r="B117" i="1"/>
  <c r="N116" i="1"/>
  <c r="M116" i="1"/>
  <c r="K116" i="1"/>
  <c r="J116" i="1"/>
  <c r="B116" i="1"/>
  <c r="N115" i="1"/>
  <c r="M115" i="1"/>
  <c r="K115" i="1"/>
  <c r="J115" i="1"/>
  <c r="B115" i="1"/>
  <c r="N114" i="1"/>
  <c r="M114" i="1"/>
  <c r="K114" i="1"/>
  <c r="J114" i="1"/>
  <c r="B114" i="1"/>
  <c r="N113" i="1"/>
  <c r="M113" i="1"/>
  <c r="K113" i="1"/>
  <c r="J113" i="1"/>
  <c r="B113" i="1"/>
  <c r="N112" i="1"/>
  <c r="M112" i="1"/>
  <c r="K112" i="1"/>
  <c r="J112" i="1"/>
  <c r="B112" i="1"/>
  <c r="N111" i="1"/>
  <c r="M111" i="1"/>
  <c r="K111" i="1"/>
  <c r="J111" i="1"/>
  <c r="B111" i="1"/>
  <c r="N128" i="1"/>
  <c r="M128" i="1"/>
  <c r="K128" i="1"/>
  <c r="J128" i="1"/>
  <c r="B128" i="1"/>
  <c r="N127" i="1"/>
  <c r="M127" i="1"/>
  <c r="K127" i="1"/>
  <c r="J127" i="1"/>
  <c r="B127" i="1"/>
  <c r="N126" i="1"/>
  <c r="M126" i="1"/>
  <c r="K126" i="1"/>
  <c r="J126" i="1"/>
  <c r="B126" i="1"/>
  <c r="N125" i="1"/>
  <c r="M125" i="1"/>
  <c r="K125" i="1"/>
  <c r="J125" i="1"/>
  <c r="B125" i="1"/>
  <c r="N124" i="1"/>
  <c r="M124" i="1"/>
  <c r="K124" i="1"/>
  <c r="J124" i="1"/>
  <c r="B124" i="1"/>
  <c r="N123" i="1"/>
  <c r="M123" i="1"/>
  <c r="K123" i="1"/>
  <c r="J123" i="1"/>
  <c r="B123" i="1"/>
  <c r="N147" i="1"/>
  <c r="M147" i="1"/>
  <c r="K147" i="1"/>
  <c r="J147" i="1"/>
  <c r="B147" i="1"/>
  <c r="N146" i="1"/>
  <c r="M146" i="1"/>
  <c r="K146" i="1"/>
  <c r="J146" i="1"/>
  <c r="B146" i="1"/>
  <c r="N145" i="1"/>
  <c r="M145" i="1"/>
  <c r="K145" i="1"/>
  <c r="J145" i="1"/>
  <c r="B145" i="1"/>
  <c r="N144" i="1"/>
  <c r="M144" i="1"/>
  <c r="K144" i="1"/>
  <c r="J144" i="1"/>
  <c r="B144" i="1"/>
  <c r="N143" i="1"/>
  <c r="M143" i="1"/>
  <c r="K143" i="1"/>
  <c r="J143" i="1"/>
  <c r="B143" i="1"/>
  <c r="N142" i="1"/>
  <c r="M142" i="1"/>
  <c r="K142" i="1"/>
  <c r="J142" i="1"/>
  <c r="B142" i="1"/>
  <c r="N141" i="1"/>
  <c r="M141" i="1"/>
  <c r="K141" i="1"/>
  <c r="J141" i="1"/>
  <c r="B141" i="1"/>
  <c r="N140" i="1"/>
  <c r="M140" i="1"/>
  <c r="K140" i="1"/>
  <c r="J140" i="1"/>
  <c r="B140" i="1"/>
  <c r="N139" i="1"/>
  <c r="M139" i="1"/>
  <c r="K139" i="1"/>
  <c r="J139" i="1"/>
  <c r="B139" i="1"/>
  <c r="N138" i="1"/>
  <c r="M138" i="1"/>
  <c r="K138" i="1"/>
  <c r="J138" i="1"/>
  <c r="B138" i="1"/>
  <c r="N137" i="1"/>
  <c r="M137" i="1"/>
  <c r="K137" i="1"/>
  <c r="J137" i="1"/>
  <c r="B137" i="1"/>
  <c r="N136" i="1"/>
  <c r="M136" i="1"/>
  <c r="K136" i="1"/>
  <c r="J136" i="1"/>
  <c r="B136" i="1"/>
  <c r="N135" i="1"/>
  <c r="M135" i="1"/>
  <c r="K135" i="1"/>
  <c r="J135" i="1"/>
  <c r="B135" i="1"/>
  <c r="N134" i="1"/>
  <c r="M134" i="1"/>
  <c r="K134" i="1"/>
  <c r="J134" i="1"/>
  <c r="B134" i="1"/>
  <c r="N133" i="1"/>
  <c r="M133" i="1"/>
  <c r="K133" i="1"/>
  <c r="J133" i="1"/>
  <c r="B133" i="1"/>
  <c r="N132" i="1"/>
  <c r="M132" i="1"/>
  <c r="K132" i="1"/>
  <c r="J132" i="1"/>
  <c r="B132" i="1"/>
  <c r="N131" i="1"/>
  <c r="M131" i="1"/>
  <c r="K131" i="1"/>
  <c r="J131" i="1"/>
  <c r="B131" i="1"/>
  <c r="N130" i="1"/>
  <c r="M130" i="1"/>
  <c r="K130" i="1"/>
  <c r="J130" i="1"/>
  <c r="B130" i="1"/>
  <c r="N129" i="1"/>
  <c r="M129" i="1"/>
  <c r="K129" i="1"/>
  <c r="J129" i="1"/>
  <c r="B129" i="1"/>
  <c r="N150" i="1"/>
  <c r="M150" i="1"/>
  <c r="K150" i="1"/>
  <c r="J150" i="1"/>
  <c r="B150" i="1"/>
  <c r="N149" i="1"/>
  <c r="M149" i="1"/>
  <c r="K149" i="1"/>
  <c r="J149" i="1"/>
  <c r="B149" i="1"/>
  <c r="N148" i="1"/>
  <c r="M148" i="1"/>
  <c r="K148" i="1"/>
  <c r="J148" i="1"/>
  <c r="B148" i="1"/>
  <c r="N164" i="1"/>
  <c r="M164" i="1"/>
  <c r="K164" i="1"/>
  <c r="J164" i="1"/>
  <c r="B164" i="1"/>
  <c r="N163" i="1"/>
  <c r="M163" i="1"/>
  <c r="K163" i="1"/>
  <c r="J163" i="1"/>
  <c r="B163" i="1"/>
  <c r="N162" i="1"/>
  <c r="M162" i="1"/>
  <c r="K162" i="1"/>
  <c r="J162" i="1"/>
  <c r="B162" i="1"/>
  <c r="N161" i="1"/>
  <c r="M161" i="1"/>
  <c r="K161" i="1"/>
  <c r="J161" i="1"/>
  <c r="B161" i="1"/>
  <c r="N160" i="1"/>
  <c r="M160" i="1"/>
  <c r="K160" i="1"/>
  <c r="J160" i="1"/>
  <c r="B160" i="1"/>
  <c r="N159" i="1"/>
  <c r="M159" i="1"/>
  <c r="K159" i="1"/>
  <c r="J159" i="1"/>
  <c r="B159" i="1"/>
  <c r="N158" i="1"/>
  <c r="M158" i="1"/>
  <c r="K158" i="1"/>
  <c r="J158" i="1"/>
  <c r="B158" i="1"/>
  <c r="N157" i="1"/>
  <c r="M157" i="1"/>
  <c r="K157" i="1"/>
  <c r="J157" i="1"/>
  <c r="B157" i="1"/>
  <c r="N156" i="1"/>
  <c r="M156" i="1"/>
  <c r="K156" i="1"/>
  <c r="J156" i="1"/>
  <c r="B156" i="1"/>
  <c r="N155" i="1"/>
  <c r="M155" i="1"/>
  <c r="K155" i="1"/>
  <c r="J155" i="1"/>
  <c r="B155" i="1"/>
  <c r="N154" i="1"/>
  <c r="M154" i="1"/>
  <c r="K154" i="1"/>
  <c r="J154" i="1"/>
  <c r="B154" i="1"/>
  <c r="N153" i="1"/>
  <c r="M153" i="1"/>
  <c r="K153" i="1"/>
  <c r="J153" i="1"/>
  <c r="B153" i="1"/>
  <c r="N152" i="1"/>
  <c r="M152" i="1"/>
  <c r="K152" i="1"/>
  <c r="J152" i="1"/>
  <c r="B152" i="1"/>
  <c r="N151" i="1"/>
  <c r="M151" i="1"/>
  <c r="K151" i="1"/>
  <c r="J151" i="1"/>
  <c r="B151" i="1"/>
  <c r="N175" i="1"/>
  <c r="M175" i="1"/>
  <c r="K175" i="1"/>
  <c r="J175" i="1"/>
  <c r="B175" i="1"/>
  <c r="N174" i="1"/>
  <c r="M174" i="1"/>
  <c r="K174" i="1"/>
  <c r="J174" i="1"/>
  <c r="B174" i="1"/>
  <c r="N173" i="1"/>
  <c r="M173" i="1"/>
  <c r="K173" i="1"/>
  <c r="J173" i="1"/>
  <c r="B173" i="1"/>
  <c r="N172" i="1"/>
  <c r="M172" i="1"/>
  <c r="K172" i="1"/>
  <c r="J172" i="1"/>
  <c r="B172" i="1"/>
  <c r="N171" i="1"/>
  <c r="M171" i="1"/>
  <c r="K171" i="1"/>
  <c r="J171" i="1"/>
  <c r="B171" i="1"/>
  <c r="N170" i="1"/>
  <c r="M170" i="1"/>
  <c r="K170" i="1"/>
  <c r="J170" i="1"/>
  <c r="B170" i="1"/>
  <c r="N169" i="1"/>
  <c r="M169" i="1"/>
  <c r="K169" i="1"/>
  <c r="J169" i="1"/>
  <c r="B169" i="1"/>
  <c r="N168" i="1"/>
  <c r="M168" i="1"/>
  <c r="K168" i="1"/>
  <c r="J168" i="1"/>
  <c r="B168" i="1"/>
  <c r="N167" i="1"/>
  <c r="M167" i="1"/>
  <c r="K167" i="1"/>
  <c r="J167" i="1"/>
  <c r="B167" i="1"/>
  <c r="N166" i="1"/>
  <c r="M166" i="1"/>
  <c r="K166" i="1"/>
  <c r="J166" i="1"/>
  <c r="B166" i="1"/>
  <c r="N165" i="1"/>
  <c r="M165" i="1"/>
  <c r="K165" i="1"/>
  <c r="J165" i="1"/>
  <c r="B165" i="1"/>
  <c r="N181" i="1"/>
  <c r="M181" i="1"/>
  <c r="K181" i="1"/>
  <c r="J181" i="1"/>
  <c r="B181" i="1"/>
  <c r="N180" i="1"/>
  <c r="M180" i="1"/>
  <c r="K180" i="1"/>
  <c r="J180" i="1"/>
  <c r="B180" i="1"/>
  <c r="N179" i="1"/>
  <c r="M179" i="1"/>
  <c r="K179" i="1"/>
  <c r="J179" i="1"/>
  <c r="B179" i="1"/>
  <c r="N178" i="1"/>
  <c r="M178" i="1"/>
  <c r="K178" i="1"/>
  <c r="J178" i="1"/>
  <c r="B178" i="1"/>
  <c r="N177" i="1"/>
  <c r="M177" i="1"/>
  <c r="K177" i="1"/>
  <c r="J177" i="1"/>
  <c r="B177" i="1"/>
  <c r="N176" i="1"/>
  <c r="M176" i="1"/>
  <c r="K176" i="1"/>
  <c r="J176" i="1"/>
  <c r="B176" i="1"/>
  <c r="N192" i="1"/>
  <c r="M192" i="1"/>
  <c r="K192" i="1"/>
  <c r="J192" i="1"/>
  <c r="B192" i="1"/>
  <c r="N191" i="1"/>
  <c r="M191" i="1"/>
  <c r="K191" i="1"/>
  <c r="J191" i="1"/>
  <c r="B191" i="1"/>
  <c r="N190" i="1"/>
  <c r="M190" i="1"/>
  <c r="K190" i="1"/>
  <c r="J190" i="1"/>
  <c r="B190" i="1"/>
  <c r="N189" i="1"/>
  <c r="M189" i="1"/>
  <c r="K189" i="1"/>
  <c r="J189" i="1"/>
  <c r="B189" i="1"/>
  <c r="N188" i="1"/>
  <c r="M188" i="1"/>
  <c r="K188" i="1"/>
  <c r="J188" i="1"/>
  <c r="B188" i="1"/>
  <c r="N187" i="1"/>
  <c r="M187" i="1"/>
  <c r="K187" i="1"/>
  <c r="J187" i="1"/>
  <c r="B187" i="1"/>
  <c r="N186" i="1"/>
  <c r="M186" i="1"/>
  <c r="K186" i="1"/>
  <c r="J186" i="1"/>
  <c r="B186" i="1"/>
  <c r="N185" i="1"/>
  <c r="M185" i="1"/>
  <c r="K185" i="1"/>
  <c r="J185" i="1"/>
  <c r="B185" i="1"/>
  <c r="N184" i="1"/>
  <c r="M184" i="1"/>
  <c r="K184" i="1"/>
  <c r="J184" i="1"/>
  <c r="B184" i="1"/>
  <c r="N183" i="1"/>
  <c r="M183" i="1"/>
  <c r="K183" i="1"/>
  <c r="J183" i="1"/>
  <c r="B183" i="1"/>
  <c r="N182" i="1"/>
  <c r="M182" i="1"/>
  <c r="K182" i="1"/>
  <c r="J182" i="1"/>
  <c r="B182" i="1"/>
  <c r="N204" i="1"/>
  <c r="M204" i="1"/>
  <c r="K204" i="1"/>
  <c r="J204" i="1"/>
  <c r="B204" i="1"/>
  <c r="N203" i="1"/>
  <c r="M203" i="1"/>
  <c r="K203" i="1"/>
  <c r="J203" i="1"/>
  <c r="B203" i="1"/>
  <c r="N202" i="1"/>
  <c r="M202" i="1"/>
  <c r="K202" i="1"/>
  <c r="J202" i="1"/>
  <c r="B202" i="1"/>
  <c r="N201" i="1"/>
  <c r="M201" i="1"/>
  <c r="K201" i="1"/>
  <c r="J201" i="1"/>
  <c r="B201" i="1"/>
  <c r="N200" i="1"/>
  <c r="M200" i="1"/>
  <c r="K200" i="1"/>
  <c r="J200" i="1"/>
  <c r="B200" i="1"/>
  <c r="N199" i="1"/>
  <c r="M199" i="1"/>
  <c r="K199" i="1"/>
  <c r="J199" i="1"/>
  <c r="B199" i="1"/>
  <c r="N198" i="1"/>
  <c r="M198" i="1"/>
  <c r="K198" i="1"/>
  <c r="J198" i="1"/>
  <c r="B198" i="1"/>
  <c r="N197" i="1"/>
  <c r="M197" i="1"/>
  <c r="K197" i="1"/>
  <c r="J197" i="1"/>
  <c r="B197" i="1"/>
  <c r="N196" i="1"/>
  <c r="M196" i="1"/>
  <c r="K196" i="1"/>
  <c r="J196" i="1"/>
  <c r="B196" i="1"/>
  <c r="N195" i="1"/>
  <c r="M195" i="1"/>
  <c r="K195" i="1"/>
  <c r="J195" i="1"/>
  <c r="B195" i="1"/>
  <c r="N194" i="1"/>
  <c r="M194" i="1"/>
  <c r="K194" i="1"/>
  <c r="J194" i="1"/>
  <c r="B194" i="1"/>
  <c r="N193" i="1"/>
  <c r="M193" i="1"/>
  <c r="K193" i="1"/>
  <c r="J193" i="1"/>
  <c r="B193" i="1"/>
  <c r="N205" i="1"/>
  <c r="M205" i="1"/>
  <c r="K205" i="1"/>
  <c r="J205" i="1"/>
  <c r="B205" i="1"/>
  <c r="N209" i="1"/>
  <c r="M209" i="1"/>
  <c r="K209" i="1"/>
  <c r="J209" i="1"/>
  <c r="B209" i="1"/>
  <c r="N208" i="1"/>
  <c r="M208" i="1"/>
  <c r="K208" i="1"/>
  <c r="J208" i="1"/>
  <c r="B208" i="1"/>
  <c r="N207" i="1"/>
  <c r="M207" i="1"/>
  <c r="K207" i="1"/>
  <c r="J207" i="1"/>
  <c r="B207" i="1"/>
  <c r="N206" i="1"/>
  <c r="M206" i="1"/>
  <c r="K206" i="1"/>
  <c r="J206" i="1"/>
  <c r="B206" i="1"/>
  <c r="N219" i="1"/>
  <c r="M219" i="1"/>
  <c r="K219" i="1"/>
  <c r="J219" i="1"/>
  <c r="B219" i="1"/>
  <c r="N218" i="1"/>
  <c r="M218" i="1"/>
  <c r="K218" i="1"/>
  <c r="J218" i="1"/>
  <c r="B218" i="1"/>
  <c r="N217" i="1"/>
  <c r="M217" i="1"/>
  <c r="K217" i="1"/>
  <c r="J217" i="1"/>
  <c r="B217" i="1"/>
  <c r="N216" i="1"/>
  <c r="M216" i="1"/>
  <c r="K216" i="1"/>
  <c r="J216" i="1"/>
  <c r="B216" i="1"/>
  <c r="N215" i="1"/>
  <c r="M215" i="1"/>
  <c r="K215" i="1"/>
  <c r="J215" i="1"/>
  <c r="B215" i="1"/>
  <c r="N214" i="1"/>
  <c r="M214" i="1"/>
  <c r="K214" i="1"/>
  <c r="J214" i="1"/>
  <c r="B214" i="1"/>
  <c r="N213" i="1"/>
  <c r="M213" i="1"/>
  <c r="K213" i="1"/>
  <c r="J213" i="1"/>
  <c r="B213" i="1"/>
  <c r="N212" i="1"/>
  <c r="M212" i="1"/>
  <c r="K212" i="1"/>
  <c r="J212" i="1"/>
  <c r="B212" i="1"/>
  <c r="N211" i="1"/>
  <c r="M211" i="1"/>
  <c r="K211" i="1"/>
  <c r="J211" i="1"/>
  <c r="B211" i="1"/>
  <c r="N210" i="1"/>
  <c r="M210" i="1"/>
  <c r="K210" i="1"/>
  <c r="J210" i="1"/>
  <c r="B210" i="1"/>
  <c r="N228" i="1"/>
  <c r="M228" i="1"/>
  <c r="K228" i="1"/>
  <c r="J228" i="1"/>
  <c r="B228" i="1"/>
  <c r="N227" i="1"/>
  <c r="M227" i="1"/>
  <c r="K227" i="1"/>
  <c r="J227" i="1"/>
  <c r="B227" i="1"/>
  <c r="N226" i="1"/>
  <c r="M226" i="1"/>
  <c r="K226" i="1"/>
  <c r="J226" i="1"/>
  <c r="B226" i="1"/>
  <c r="N225" i="1"/>
  <c r="M225" i="1"/>
  <c r="K225" i="1"/>
  <c r="J225" i="1"/>
  <c r="B225" i="1"/>
  <c r="N224" i="1"/>
  <c r="M224" i="1"/>
  <c r="K224" i="1"/>
  <c r="J224" i="1"/>
  <c r="B224" i="1"/>
  <c r="N223" i="1"/>
  <c r="M223" i="1"/>
  <c r="K223" i="1"/>
  <c r="J223" i="1"/>
  <c r="B223" i="1"/>
  <c r="N222" i="1"/>
  <c r="M222" i="1"/>
  <c r="K222" i="1"/>
  <c r="J222" i="1"/>
  <c r="B222" i="1"/>
  <c r="N221" i="1"/>
  <c r="M221" i="1"/>
  <c r="K221" i="1"/>
  <c r="J221" i="1"/>
  <c r="B221" i="1"/>
  <c r="N220" i="1"/>
  <c r="M220" i="1"/>
  <c r="K220" i="1"/>
  <c r="J220" i="1"/>
  <c r="B220" i="1"/>
  <c r="N238" i="1"/>
  <c r="M238" i="1"/>
  <c r="K238" i="1"/>
  <c r="J238" i="1"/>
  <c r="B238" i="1"/>
  <c r="N237" i="1"/>
  <c r="M237" i="1"/>
  <c r="K237" i="1"/>
  <c r="J237" i="1"/>
  <c r="B237" i="1"/>
  <c r="N236" i="1"/>
  <c r="M236" i="1"/>
  <c r="K236" i="1"/>
  <c r="J236" i="1"/>
  <c r="B236" i="1"/>
  <c r="N235" i="1"/>
  <c r="M235" i="1"/>
  <c r="K235" i="1"/>
  <c r="J235" i="1"/>
  <c r="B235" i="1"/>
  <c r="N234" i="1"/>
  <c r="M234" i="1"/>
  <c r="K234" i="1"/>
  <c r="J234" i="1"/>
  <c r="B234" i="1"/>
  <c r="N233" i="1"/>
  <c r="M233" i="1"/>
  <c r="K233" i="1"/>
  <c r="J233" i="1"/>
  <c r="B233" i="1"/>
  <c r="N232" i="1"/>
  <c r="M232" i="1"/>
  <c r="K232" i="1"/>
  <c r="J232" i="1"/>
  <c r="B232" i="1"/>
  <c r="N231" i="1"/>
  <c r="M231" i="1"/>
  <c r="K231" i="1"/>
  <c r="J231" i="1"/>
  <c r="B231" i="1"/>
  <c r="N230" i="1"/>
  <c r="M230" i="1"/>
  <c r="K230" i="1"/>
  <c r="J230" i="1"/>
  <c r="B230" i="1"/>
  <c r="N229" i="1"/>
  <c r="M229" i="1"/>
  <c r="K229" i="1"/>
  <c r="J229" i="1"/>
  <c r="B229" i="1"/>
  <c r="N264" i="1"/>
  <c r="M264" i="1"/>
  <c r="K264" i="1"/>
  <c r="J264" i="1"/>
  <c r="B264" i="1"/>
  <c r="N263" i="1"/>
  <c r="M263" i="1"/>
  <c r="K263" i="1"/>
  <c r="J263" i="1"/>
  <c r="B263" i="1"/>
  <c r="N262" i="1"/>
  <c r="M262" i="1"/>
  <c r="K262" i="1"/>
  <c r="J262" i="1"/>
  <c r="B262" i="1"/>
  <c r="N261" i="1"/>
  <c r="M261" i="1"/>
  <c r="K261" i="1"/>
  <c r="J261" i="1"/>
  <c r="B261" i="1"/>
  <c r="N260" i="1"/>
  <c r="M260" i="1"/>
  <c r="K260" i="1"/>
  <c r="J260" i="1"/>
  <c r="B260" i="1"/>
  <c r="N259" i="1"/>
  <c r="M259" i="1"/>
  <c r="K259" i="1"/>
  <c r="J259" i="1"/>
  <c r="B259" i="1"/>
  <c r="N258" i="1"/>
  <c r="M258" i="1"/>
  <c r="K258" i="1"/>
  <c r="J258" i="1"/>
  <c r="B258" i="1"/>
  <c r="N257" i="1"/>
  <c r="M257" i="1"/>
  <c r="K257" i="1"/>
  <c r="J257" i="1"/>
  <c r="B257" i="1"/>
  <c r="N256" i="1"/>
  <c r="M256" i="1"/>
  <c r="K256" i="1"/>
  <c r="J256" i="1"/>
  <c r="B256" i="1"/>
  <c r="N255" i="1"/>
  <c r="M255" i="1"/>
  <c r="K255" i="1"/>
  <c r="J255" i="1"/>
  <c r="B255" i="1"/>
  <c r="N254" i="1"/>
  <c r="M254" i="1"/>
  <c r="K254" i="1"/>
  <c r="J254" i="1"/>
  <c r="B254" i="1"/>
  <c r="N253" i="1"/>
  <c r="M253" i="1"/>
  <c r="K253" i="1"/>
  <c r="J253" i="1"/>
  <c r="B253" i="1"/>
  <c r="N252" i="1"/>
  <c r="M252" i="1"/>
  <c r="K252" i="1"/>
  <c r="J252" i="1"/>
  <c r="B252" i="1"/>
  <c r="N251" i="1"/>
  <c r="M251" i="1"/>
  <c r="K251" i="1"/>
  <c r="J251" i="1"/>
  <c r="B251" i="1"/>
  <c r="N250" i="1"/>
  <c r="M250" i="1"/>
  <c r="K250" i="1"/>
  <c r="J250" i="1"/>
  <c r="B250" i="1"/>
  <c r="N249" i="1"/>
  <c r="M249" i="1"/>
  <c r="K249" i="1"/>
  <c r="J249" i="1"/>
  <c r="B249" i="1"/>
  <c r="N248" i="1"/>
  <c r="M248" i="1"/>
  <c r="K248" i="1"/>
  <c r="J248" i="1"/>
  <c r="B248" i="1"/>
  <c r="N247" i="1"/>
  <c r="M247" i="1"/>
  <c r="K247" i="1"/>
  <c r="J247" i="1"/>
  <c r="B247" i="1"/>
  <c r="N246" i="1"/>
  <c r="M246" i="1"/>
  <c r="K246" i="1"/>
  <c r="J246" i="1"/>
  <c r="B246" i="1"/>
  <c r="N245" i="1"/>
  <c r="M245" i="1"/>
  <c r="K245" i="1"/>
  <c r="J245" i="1"/>
  <c r="B245" i="1"/>
  <c r="N244" i="1"/>
  <c r="M244" i="1"/>
  <c r="K244" i="1"/>
  <c r="J244" i="1"/>
  <c r="B244" i="1"/>
  <c r="N243" i="1"/>
  <c r="M243" i="1"/>
  <c r="K243" i="1"/>
  <c r="J243" i="1"/>
  <c r="B243" i="1"/>
  <c r="N242" i="1"/>
  <c r="M242" i="1"/>
  <c r="K242" i="1"/>
  <c r="J242" i="1"/>
  <c r="B242" i="1"/>
  <c r="N241" i="1"/>
  <c r="M241" i="1"/>
  <c r="K241" i="1"/>
  <c r="J241" i="1"/>
  <c r="B241" i="1"/>
  <c r="N240" i="1"/>
  <c r="M240" i="1"/>
  <c r="K240" i="1"/>
  <c r="J240" i="1"/>
  <c r="B240" i="1"/>
  <c r="N239" i="1"/>
  <c r="M239" i="1"/>
  <c r="K239" i="1"/>
  <c r="J239" i="1"/>
  <c r="B239" i="1"/>
  <c r="N275" i="1"/>
  <c r="M275" i="1"/>
  <c r="K275" i="1"/>
  <c r="J275" i="1"/>
  <c r="B275" i="1"/>
  <c r="N274" i="1"/>
  <c r="M274" i="1"/>
  <c r="K274" i="1"/>
  <c r="J274" i="1"/>
  <c r="B274" i="1"/>
  <c r="N273" i="1"/>
  <c r="M273" i="1"/>
  <c r="K273" i="1"/>
  <c r="J273" i="1"/>
  <c r="B273" i="1"/>
  <c r="N272" i="1"/>
  <c r="M272" i="1"/>
  <c r="K272" i="1"/>
  <c r="J272" i="1"/>
  <c r="B272" i="1"/>
  <c r="N271" i="1"/>
  <c r="M271" i="1"/>
  <c r="K271" i="1"/>
  <c r="J271" i="1"/>
  <c r="B271" i="1"/>
  <c r="N270" i="1"/>
  <c r="M270" i="1"/>
  <c r="K270" i="1"/>
  <c r="J270" i="1"/>
  <c r="B270" i="1"/>
  <c r="N269" i="1"/>
  <c r="M269" i="1"/>
  <c r="K269" i="1"/>
  <c r="J269" i="1"/>
  <c r="B269" i="1"/>
  <c r="N268" i="1"/>
  <c r="M268" i="1"/>
  <c r="K268" i="1"/>
  <c r="J268" i="1"/>
  <c r="B268" i="1"/>
  <c r="N267" i="1"/>
  <c r="M267" i="1"/>
  <c r="K267" i="1"/>
  <c r="J267" i="1"/>
  <c r="B267" i="1"/>
  <c r="N266" i="1"/>
  <c r="M266" i="1"/>
  <c r="K266" i="1"/>
  <c r="J266" i="1"/>
  <c r="B266" i="1"/>
  <c r="N265" i="1"/>
  <c r="M265" i="1"/>
  <c r="K265" i="1"/>
  <c r="J265" i="1"/>
  <c r="B265" i="1"/>
  <c r="N285" i="1"/>
  <c r="M285" i="1"/>
  <c r="K285" i="1"/>
  <c r="J285" i="1"/>
  <c r="B285" i="1"/>
  <c r="N284" i="1"/>
  <c r="M284" i="1"/>
  <c r="K284" i="1"/>
  <c r="J284" i="1"/>
  <c r="B284" i="1"/>
  <c r="N283" i="1"/>
  <c r="M283" i="1"/>
  <c r="K283" i="1"/>
  <c r="J283" i="1"/>
  <c r="B283" i="1"/>
  <c r="N282" i="1"/>
  <c r="M282" i="1"/>
  <c r="K282" i="1"/>
  <c r="J282" i="1"/>
  <c r="B282" i="1"/>
  <c r="N281" i="1"/>
  <c r="M281" i="1"/>
  <c r="K281" i="1"/>
  <c r="J281" i="1"/>
  <c r="B281" i="1"/>
  <c r="N280" i="1"/>
  <c r="M280" i="1"/>
  <c r="K280" i="1"/>
  <c r="J280" i="1"/>
  <c r="B280" i="1"/>
  <c r="N279" i="1"/>
  <c r="M279" i="1"/>
  <c r="K279" i="1"/>
  <c r="J279" i="1"/>
  <c r="B279" i="1"/>
  <c r="N278" i="1"/>
  <c r="M278" i="1"/>
  <c r="K278" i="1"/>
  <c r="J278" i="1"/>
  <c r="B278" i="1"/>
  <c r="N277" i="1"/>
  <c r="M277" i="1"/>
  <c r="K277" i="1"/>
  <c r="J277" i="1"/>
  <c r="B277" i="1"/>
  <c r="N276" i="1"/>
  <c r="M276" i="1"/>
  <c r="K276" i="1"/>
  <c r="J276" i="1"/>
  <c r="B276" i="1"/>
  <c r="N293" i="1"/>
  <c r="M293" i="1"/>
  <c r="K293" i="1"/>
  <c r="J293" i="1"/>
  <c r="B293" i="1"/>
  <c r="N292" i="1"/>
  <c r="M292" i="1"/>
  <c r="K292" i="1"/>
  <c r="J292" i="1"/>
  <c r="B292" i="1"/>
  <c r="N291" i="1"/>
  <c r="M291" i="1"/>
  <c r="K291" i="1"/>
  <c r="J291" i="1"/>
  <c r="B291" i="1"/>
  <c r="N290" i="1"/>
  <c r="M290" i="1"/>
  <c r="K290" i="1"/>
  <c r="J290" i="1"/>
  <c r="B290" i="1"/>
  <c r="N289" i="1"/>
  <c r="M289" i="1"/>
  <c r="K289" i="1"/>
  <c r="J289" i="1"/>
  <c r="B289" i="1"/>
  <c r="N288" i="1"/>
  <c r="M288" i="1"/>
  <c r="K288" i="1"/>
  <c r="J288" i="1"/>
  <c r="B288" i="1"/>
  <c r="N287" i="1"/>
  <c r="M287" i="1"/>
  <c r="K287" i="1"/>
  <c r="J287" i="1"/>
  <c r="B287" i="1"/>
  <c r="N286" i="1"/>
  <c r="M286" i="1"/>
  <c r="K286" i="1"/>
  <c r="J286" i="1"/>
  <c r="B286" i="1"/>
  <c r="N300" i="1"/>
  <c r="M300" i="1"/>
  <c r="K300" i="1"/>
  <c r="J300" i="1"/>
  <c r="B300" i="1"/>
  <c r="N299" i="1"/>
  <c r="M299" i="1"/>
  <c r="K299" i="1"/>
  <c r="J299" i="1"/>
  <c r="B299" i="1"/>
  <c r="N298" i="1"/>
  <c r="M298" i="1"/>
  <c r="K298" i="1"/>
  <c r="J298" i="1"/>
  <c r="B298" i="1"/>
  <c r="N297" i="1"/>
  <c r="M297" i="1"/>
  <c r="K297" i="1"/>
  <c r="J297" i="1"/>
  <c r="B297" i="1"/>
  <c r="N296" i="1"/>
  <c r="M296" i="1"/>
  <c r="K296" i="1"/>
  <c r="J296" i="1"/>
  <c r="B296" i="1"/>
  <c r="N295" i="1"/>
  <c r="M295" i="1"/>
  <c r="K295" i="1"/>
  <c r="J295" i="1"/>
  <c r="B295" i="1"/>
  <c r="N294" i="1"/>
  <c r="M294" i="1"/>
  <c r="K294" i="1"/>
  <c r="J294" i="1"/>
  <c r="B294" i="1"/>
  <c r="N310" i="1"/>
  <c r="M310" i="1"/>
  <c r="K310" i="1"/>
  <c r="J310" i="1"/>
  <c r="B310" i="1"/>
  <c r="N309" i="1"/>
  <c r="M309" i="1"/>
  <c r="K309" i="1"/>
  <c r="J309" i="1"/>
  <c r="B309" i="1"/>
  <c r="N308" i="1"/>
  <c r="M308" i="1"/>
  <c r="K308" i="1"/>
  <c r="J308" i="1"/>
  <c r="B308" i="1"/>
  <c r="N307" i="1"/>
  <c r="M307" i="1"/>
  <c r="K307" i="1"/>
  <c r="J307" i="1"/>
  <c r="B307" i="1"/>
  <c r="N306" i="1"/>
  <c r="M306" i="1"/>
  <c r="K306" i="1"/>
  <c r="J306" i="1"/>
  <c r="B306" i="1"/>
  <c r="N305" i="1"/>
  <c r="M305" i="1"/>
  <c r="K305" i="1"/>
  <c r="J305" i="1"/>
  <c r="B305" i="1"/>
  <c r="N304" i="1"/>
  <c r="M304" i="1"/>
  <c r="K304" i="1"/>
  <c r="J304" i="1"/>
  <c r="B304" i="1"/>
  <c r="N303" i="1"/>
  <c r="M303" i="1"/>
  <c r="K303" i="1"/>
  <c r="J303" i="1"/>
  <c r="B303" i="1"/>
  <c r="N302" i="1"/>
  <c r="M302" i="1"/>
  <c r="K302" i="1"/>
  <c r="J302" i="1"/>
  <c r="B302" i="1"/>
  <c r="N301" i="1"/>
  <c r="M301" i="1"/>
  <c r="K301" i="1"/>
  <c r="J301" i="1"/>
  <c r="B301" i="1"/>
  <c r="N325" i="1"/>
  <c r="M325" i="1"/>
  <c r="K325" i="1"/>
  <c r="J325" i="1"/>
  <c r="B325" i="1"/>
  <c r="N324" i="1"/>
  <c r="M324" i="1"/>
  <c r="K324" i="1"/>
  <c r="J324" i="1"/>
  <c r="B324" i="1"/>
  <c r="N323" i="1"/>
  <c r="M323" i="1"/>
  <c r="K323" i="1"/>
  <c r="J323" i="1"/>
  <c r="B323" i="1"/>
  <c r="N322" i="1"/>
  <c r="M322" i="1"/>
  <c r="K322" i="1"/>
  <c r="J322" i="1"/>
  <c r="B322" i="1"/>
  <c r="N321" i="1"/>
  <c r="M321" i="1"/>
  <c r="K321" i="1"/>
  <c r="J321" i="1"/>
  <c r="B321" i="1"/>
  <c r="N320" i="1"/>
  <c r="M320" i="1"/>
  <c r="K320" i="1"/>
  <c r="J320" i="1"/>
  <c r="B320" i="1"/>
  <c r="N319" i="1"/>
  <c r="M319" i="1"/>
  <c r="K319" i="1"/>
  <c r="J319" i="1"/>
  <c r="B319" i="1"/>
  <c r="N318" i="1"/>
  <c r="M318" i="1"/>
  <c r="K318" i="1"/>
  <c r="J318" i="1"/>
  <c r="B318" i="1"/>
  <c r="N317" i="1"/>
  <c r="M317" i="1"/>
  <c r="K317" i="1"/>
  <c r="J317" i="1"/>
  <c r="B317" i="1"/>
  <c r="N316" i="1"/>
  <c r="M316" i="1"/>
  <c r="K316" i="1"/>
  <c r="J316" i="1"/>
  <c r="B316" i="1"/>
  <c r="N315" i="1"/>
  <c r="M315" i="1"/>
  <c r="K315" i="1"/>
  <c r="J315" i="1"/>
  <c r="B315" i="1"/>
  <c r="N314" i="1"/>
  <c r="M314" i="1"/>
  <c r="K314" i="1"/>
  <c r="J314" i="1"/>
  <c r="B314" i="1"/>
  <c r="N313" i="1"/>
  <c r="M313" i="1"/>
  <c r="K313" i="1"/>
  <c r="J313" i="1"/>
  <c r="B313" i="1"/>
  <c r="N312" i="1"/>
  <c r="M312" i="1"/>
  <c r="K312" i="1"/>
  <c r="J312" i="1"/>
  <c r="B312" i="1"/>
  <c r="N311" i="1"/>
  <c r="M311" i="1"/>
  <c r="K311" i="1"/>
  <c r="J311" i="1"/>
  <c r="B311" i="1"/>
  <c r="N330" i="1"/>
  <c r="M330" i="1"/>
  <c r="K330" i="1"/>
  <c r="J330" i="1"/>
  <c r="B330" i="1"/>
  <c r="N329" i="1"/>
  <c r="M329" i="1"/>
  <c r="K329" i="1"/>
  <c r="J329" i="1"/>
  <c r="B329" i="1"/>
  <c r="N328" i="1"/>
  <c r="M328" i="1"/>
  <c r="K328" i="1"/>
  <c r="J328" i="1"/>
  <c r="B328" i="1"/>
  <c r="N327" i="1"/>
  <c r="M327" i="1"/>
  <c r="K327" i="1"/>
  <c r="J327" i="1"/>
  <c r="B327" i="1"/>
  <c r="N326" i="1"/>
  <c r="M326" i="1"/>
  <c r="K326" i="1"/>
  <c r="J326" i="1"/>
  <c r="B326" i="1"/>
  <c r="N331" i="1"/>
  <c r="M331" i="1"/>
  <c r="K331" i="1"/>
  <c r="J331" i="1"/>
  <c r="B331" i="1"/>
  <c r="N335" i="1"/>
  <c r="M335" i="1"/>
  <c r="K335" i="1"/>
  <c r="J335" i="1"/>
  <c r="B335" i="1"/>
  <c r="N334" i="1"/>
  <c r="M334" i="1"/>
  <c r="K334" i="1"/>
  <c r="J334" i="1"/>
  <c r="B334" i="1"/>
  <c r="N333" i="1"/>
  <c r="M333" i="1"/>
  <c r="K333" i="1"/>
  <c r="J333" i="1"/>
  <c r="B333" i="1"/>
  <c r="N332" i="1"/>
  <c r="M332" i="1"/>
  <c r="K332" i="1"/>
  <c r="J332" i="1"/>
  <c r="B332" i="1"/>
  <c r="N353" i="1"/>
  <c r="M353" i="1"/>
  <c r="K353" i="1"/>
  <c r="J353" i="1"/>
  <c r="B353" i="1"/>
  <c r="N352" i="1"/>
  <c r="M352" i="1"/>
  <c r="K352" i="1"/>
  <c r="J352" i="1"/>
  <c r="B352" i="1"/>
  <c r="N351" i="1"/>
  <c r="M351" i="1"/>
  <c r="K351" i="1"/>
  <c r="J351" i="1"/>
  <c r="B351" i="1"/>
  <c r="N350" i="1"/>
  <c r="M350" i="1"/>
  <c r="K350" i="1"/>
  <c r="J350" i="1"/>
  <c r="B350" i="1"/>
  <c r="N349" i="1"/>
  <c r="M349" i="1"/>
  <c r="K349" i="1"/>
  <c r="J349" i="1"/>
  <c r="B349" i="1"/>
  <c r="N348" i="1"/>
  <c r="M348" i="1"/>
  <c r="K348" i="1"/>
  <c r="J348" i="1"/>
  <c r="B348" i="1"/>
  <c r="N347" i="1"/>
  <c r="M347" i="1"/>
  <c r="K347" i="1"/>
  <c r="J347" i="1"/>
  <c r="B347" i="1"/>
  <c r="N346" i="1"/>
  <c r="M346" i="1"/>
  <c r="K346" i="1"/>
  <c r="J346" i="1"/>
  <c r="B346" i="1"/>
  <c r="N345" i="1"/>
  <c r="M345" i="1"/>
  <c r="K345" i="1"/>
  <c r="J345" i="1"/>
  <c r="B345" i="1"/>
  <c r="N344" i="1"/>
  <c r="M344" i="1"/>
  <c r="K344" i="1"/>
  <c r="J344" i="1"/>
  <c r="B344" i="1"/>
  <c r="N343" i="1"/>
  <c r="M343" i="1"/>
  <c r="K343" i="1"/>
  <c r="J343" i="1"/>
  <c r="B343" i="1"/>
  <c r="N342" i="1"/>
  <c r="M342" i="1"/>
  <c r="K342" i="1"/>
  <c r="J342" i="1"/>
  <c r="B342" i="1"/>
  <c r="N341" i="1"/>
  <c r="M341" i="1"/>
  <c r="K341" i="1"/>
  <c r="J341" i="1"/>
  <c r="B341" i="1"/>
  <c r="N340" i="1"/>
  <c r="M340" i="1"/>
  <c r="K340" i="1"/>
  <c r="J340" i="1"/>
  <c r="B340" i="1"/>
  <c r="N339" i="1"/>
  <c r="M339" i="1"/>
  <c r="K339" i="1"/>
  <c r="J339" i="1"/>
  <c r="B339" i="1"/>
  <c r="N338" i="1"/>
  <c r="M338" i="1"/>
  <c r="K338" i="1"/>
  <c r="J338" i="1"/>
  <c r="B338" i="1"/>
  <c r="N337" i="1"/>
  <c r="M337" i="1"/>
  <c r="K337" i="1"/>
  <c r="J337" i="1"/>
  <c r="B337" i="1"/>
  <c r="N336" i="1"/>
  <c r="M336" i="1"/>
  <c r="K336" i="1"/>
  <c r="J336" i="1"/>
  <c r="B336" i="1"/>
  <c r="N363" i="1"/>
  <c r="M363" i="1"/>
  <c r="K363" i="1"/>
  <c r="J363" i="1"/>
  <c r="B363" i="1"/>
  <c r="N362" i="1"/>
  <c r="M362" i="1"/>
  <c r="K362" i="1"/>
  <c r="J362" i="1"/>
  <c r="B362" i="1"/>
  <c r="N361" i="1"/>
  <c r="M361" i="1"/>
  <c r="K361" i="1"/>
  <c r="J361" i="1"/>
  <c r="B361" i="1"/>
  <c r="N360" i="1"/>
  <c r="M360" i="1"/>
  <c r="K360" i="1"/>
  <c r="J360" i="1"/>
  <c r="B360" i="1"/>
  <c r="N359" i="1"/>
  <c r="M359" i="1"/>
  <c r="K359" i="1"/>
  <c r="J359" i="1"/>
  <c r="B359" i="1"/>
  <c r="N358" i="1"/>
  <c r="M358" i="1"/>
  <c r="K358" i="1"/>
  <c r="J358" i="1"/>
  <c r="B358" i="1"/>
  <c r="N357" i="1"/>
  <c r="M357" i="1"/>
  <c r="K357" i="1"/>
  <c r="J357" i="1"/>
  <c r="B357" i="1"/>
  <c r="N356" i="1"/>
  <c r="M356" i="1"/>
  <c r="K356" i="1"/>
  <c r="J356" i="1"/>
  <c r="B356" i="1"/>
  <c r="N355" i="1"/>
  <c r="M355" i="1"/>
  <c r="K355" i="1"/>
  <c r="J355" i="1"/>
  <c r="B355" i="1"/>
  <c r="N354" i="1"/>
  <c r="M354" i="1"/>
  <c r="K354" i="1"/>
  <c r="J354" i="1"/>
  <c r="B354" i="1"/>
  <c r="N379" i="1"/>
  <c r="M379" i="1"/>
  <c r="K379" i="1"/>
  <c r="J379" i="1"/>
  <c r="B379" i="1"/>
  <c r="N378" i="1"/>
  <c r="M378" i="1"/>
  <c r="K378" i="1"/>
  <c r="J378" i="1"/>
  <c r="B378" i="1"/>
  <c r="N377" i="1"/>
  <c r="M377" i="1"/>
  <c r="K377" i="1"/>
  <c r="J377" i="1"/>
  <c r="B377" i="1"/>
  <c r="N376" i="1"/>
  <c r="M376" i="1"/>
  <c r="K376" i="1"/>
  <c r="J376" i="1"/>
  <c r="B376" i="1"/>
  <c r="N375" i="1"/>
  <c r="M375" i="1"/>
  <c r="K375" i="1"/>
  <c r="J375" i="1"/>
  <c r="B375" i="1"/>
  <c r="N374" i="1"/>
  <c r="M374" i="1"/>
  <c r="K374" i="1"/>
  <c r="J374" i="1"/>
  <c r="B374" i="1"/>
  <c r="N373" i="1"/>
  <c r="M373" i="1"/>
  <c r="K373" i="1"/>
  <c r="J373" i="1"/>
  <c r="B373" i="1"/>
  <c r="N372" i="1"/>
  <c r="M372" i="1"/>
  <c r="K372" i="1"/>
  <c r="J372" i="1"/>
  <c r="B372" i="1"/>
  <c r="N371" i="1"/>
  <c r="M371" i="1"/>
  <c r="K371" i="1"/>
  <c r="J371" i="1"/>
  <c r="B371" i="1"/>
  <c r="N370" i="1"/>
  <c r="M370" i="1"/>
  <c r="K370" i="1"/>
  <c r="J370" i="1"/>
  <c r="B370" i="1"/>
  <c r="N369" i="1"/>
  <c r="M369" i="1"/>
  <c r="K369" i="1"/>
  <c r="J369" i="1"/>
  <c r="B369" i="1"/>
  <c r="N368" i="1"/>
  <c r="M368" i="1"/>
  <c r="K368" i="1"/>
  <c r="J368" i="1"/>
  <c r="B368" i="1"/>
  <c r="N367" i="1"/>
  <c r="M367" i="1"/>
  <c r="K367" i="1"/>
  <c r="J367" i="1"/>
  <c r="B367" i="1"/>
  <c r="N366" i="1"/>
  <c r="M366" i="1"/>
  <c r="K366" i="1"/>
  <c r="J366" i="1"/>
  <c r="B366" i="1"/>
  <c r="N365" i="1"/>
  <c r="M365" i="1"/>
  <c r="K365" i="1"/>
  <c r="J365" i="1"/>
  <c r="B365" i="1"/>
  <c r="N364" i="1"/>
  <c r="M364" i="1"/>
  <c r="K364" i="1"/>
  <c r="J364" i="1"/>
  <c r="B364" i="1"/>
  <c r="N386" i="1"/>
  <c r="M386" i="1"/>
  <c r="K386" i="1"/>
  <c r="J386" i="1"/>
  <c r="B386" i="1"/>
  <c r="N385" i="1"/>
  <c r="M385" i="1"/>
  <c r="K385" i="1"/>
  <c r="J385" i="1"/>
  <c r="B385" i="1"/>
  <c r="N384" i="1"/>
  <c r="M384" i="1"/>
  <c r="K384" i="1"/>
  <c r="J384" i="1"/>
  <c r="B384" i="1"/>
  <c r="N383" i="1"/>
  <c r="M383" i="1"/>
  <c r="K383" i="1"/>
  <c r="J383" i="1"/>
  <c r="B383" i="1"/>
  <c r="N382" i="1"/>
  <c r="M382" i="1"/>
  <c r="K382" i="1"/>
  <c r="J382" i="1"/>
  <c r="B382" i="1"/>
  <c r="N381" i="1"/>
  <c r="M381" i="1"/>
  <c r="K381" i="1"/>
  <c r="J381" i="1"/>
  <c r="B381" i="1"/>
  <c r="N380" i="1"/>
  <c r="M380" i="1"/>
  <c r="K380" i="1"/>
  <c r="J380" i="1"/>
  <c r="B380" i="1"/>
  <c r="N396" i="1"/>
  <c r="M396" i="1"/>
  <c r="K396" i="1"/>
  <c r="J396" i="1"/>
  <c r="B396" i="1"/>
  <c r="N395" i="1"/>
  <c r="M395" i="1"/>
  <c r="K395" i="1"/>
  <c r="J395" i="1"/>
  <c r="B395" i="1"/>
  <c r="N394" i="1"/>
  <c r="M394" i="1"/>
  <c r="K394" i="1"/>
  <c r="J394" i="1"/>
  <c r="B394" i="1"/>
  <c r="N393" i="1"/>
  <c r="M393" i="1"/>
  <c r="K393" i="1"/>
  <c r="J393" i="1"/>
  <c r="B393" i="1"/>
  <c r="N392" i="1"/>
  <c r="M392" i="1"/>
  <c r="K392" i="1"/>
  <c r="J392" i="1"/>
  <c r="B392" i="1"/>
  <c r="N391" i="1"/>
  <c r="M391" i="1"/>
  <c r="K391" i="1"/>
  <c r="J391" i="1"/>
  <c r="B391" i="1"/>
  <c r="N390" i="1"/>
  <c r="M390" i="1"/>
  <c r="K390" i="1"/>
  <c r="J390" i="1"/>
  <c r="B390" i="1"/>
  <c r="N389" i="1"/>
  <c r="M389" i="1"/>
  <c r="K389" i="1"/>
  <c r="J389" i="1"/>
  <c r="B389" i="1"/>
  <c r="N388" i="1"/>
  <c r="M388" i="1"/>
  <c r="K388" i="1"/>
  <c r="J388" i="1"/>
  <c r="B388" i="1"/>
  <c r="N387" i="1"/>
  <c r="M387" i="1"/>
  <c r="K387" i="1"/>
  <c r="J387" i="1"/>
  <c r="B387" i="1"/>
  <c r="N399" i="1"/>
  <c r="M399" i="1"/>
  <c r="K399" i="1"/>
  <c r="J399" i="1"/>
  <c r="B399" i="1"/>
  <c r="N398" i="1"/>
  <c r="M398" i="1"/>
  <c r="K398" i="1"/>
  <c r="J398" i="1"/>
  <c r="B398" i="1"/>
  <c r="N397" i="1"/>
  <c r="M397" i="1"/>
  <c r="K397" i="1"/>
  <c r="J397" i="1"/>
  <c r="B397" i="1"/>
  <c r="N412" i="1"/>
  <c r="M412" i="1"/>
  <c r="K412" i="1"/>
  <c r="J412" i="1"/>
  <c r="B412" i="1"/>
  <c r="N411" i="1"/>
  <c r="M411" i="1"/>
  <c r="K411" i="1"/>
  <c r="J411" i="1"/>
  <c r="B411" i="1"/>
  <c r="N410" i="1"/>
  <c r="M410" i="1"/>
  <c r="K410" i="1"/>
  <c r="J410" i="1"/>
  <c r="B410" i="1"/>
  <c r="N409" i="1"/>
  <c r="M409" i="1"/>
  <c r="K409" i="1"/>
  <c r="J409" i="1"/>
  <c r="B409" i="1"/>
  <c r="N408" i="1"/>
  <c r="M408" i="1"/>
  <c r="K408" i="1"/>
  <c r="J408" i="1"/>
  <c r="B408" i="1"/>
  <c r="N407" i="1"/>
  <c r="M407" i="1"/>
  <c r="K407" i="1"/>
  <c r="J407" i="1"/>
  <c r="B407" i="1"/>
  <c r="N406" i="1"/>
  <c r="M406" i="1"/>
  <c r="K406" i="1"/>
  <c r="J406" i="1"/>
  <c r="B406" i="1"/>
  <c r="N405" i="1"/>
  <c r="M405" i="1"/>
  <c r="K405" i="1"/>
  <c r="J405" i="1"/>
  <c r="B405" i="1"/>
  <c r="N404" i="1"/>
  <c r="M404" i="1"/>
  <c r="K404" i="1"/>
  <c r="J404" i="1"/>
  <c r="B404" i="1"/>
  <c r="N403" i="1"/>
  <c r="M403" i="1"/>
  <c r="K403" i="1"/>
  <c r="J403" i="1"/>
  <c r="B403" i="1"/>
  <c r="N402" i="1"/>
  <c r="M402" i="1"/>
  <c r="K402" i="1"/>
  <c r="J402" i="1"/>
  <c r="B402" i="1"/>
  <c r="N401" i="1"/>
  <c r="M401" i="1"/>
  <c r="K401" i="1"/>
  <c r="J401" i="1"/>
  <c r="B401" i="1"/>
  <c r="N400" i="1"/>
  <c r="M400" i="1"/>
  <c r="K400" i="1"/>
  <c r="J400" i="1"/>
  <c r="B400" i="1"/>
  <c r="N441" i="1"/>
  <c r="M441" i="1"/>
  <c r="K441" i="1"/>
  <c r="J441" i="1"/>
  <c r="B441" i="1"/>
  <c r="N440" i="1"/>
  <c r="M440" i="1"/>
  <c r="K440" i="1"/>
  <c r="J440" i="1"/>
  <c r="B440" i="1"/>
  <c r="N439" i="1"/>
  <c r="M439" i="1"/>
  <c r="K439" i="1"/>
  <c r="J439" i="1"/>
  <c r="B439" i="1"/>
  <c r="N438" i="1"/>
  <c r="M438" i="1"/>
  <c r="K438" i="1"/>
  <c r="J438" i="1"/>
  <c r="B438" i="1"/>
  <c r="N437" i="1"/>
  <c r="M437" i="1"/>
  <c r="K437" i="1"/>
  <c r="J437" i="1"/>
  <c r="B437" i="1"/>
  <c r="N436" i="1"/>
  <c r="M436" i="1"/>
  <c r="K436" i="1"/>
  <c r="J436" i="1"/>
  <c r="B436" i="1"/>
  <c r="N435" i="1"/>
  <c r="M435" i="1"/>
  <c r="K435" i="1"/>
  <c r="J435" i="1"/>
  <c r="B435" i="1"/>
  <c r="N434" i="1"/>
  <c r="M434" i="1"/>
  <c r="K434" i="1"/>
  <c r="J434" i="1"/>
  <c r="B434" i="1"/>
  <c r="N433" i="1"/>
  <c r="M433" i="1"/>
  <c r="K433" i="1"/>
  <c r="J433" i="1"/>
  <c r="B433" i="1"/>
  <c r="N432" i="1"/>
  <c r="M432" i="1"/>
  <c r="K432" i="1"/>
  <c r="J432" i="1"/>
  <c r="B432" i="1"/>
  <c r="N431" i="1"/>
  <c r="M431" i="1"/>
  <c r="K431" i="1"/>
  <c r="J431" i="1"/>
  <c r="B431" i="1"/>
  <c r="N430" i="1"/>
  <c r="M430" i="1"/>
  <c r="K430" i="1"/>
  <c r="J430" i="1"/>
  <c r="B430" i="1"/>
  <c r="N429" i="1"/>
  <c r="M429" i="1"/>
  <c r="K429" i="1"/>
  <c r="J429" i="1"/>
  <c r="B429" i="1"/>
  <c r="N428" i="1"/>
  <c r="M428" i="1"/>
  <c r="K428" i="1"/>
  <c r="J428" i="1"/>
  <c r="B428" i="1"/>
  <c r="N427" i="1"/>
  <c r="M427" i="1"/>
  <c r="K427" i="1"/>
  <c r="J427" i="1"/>
  <c r="B427" i="1"/>
  <c r="N426" i="1"/>
  <c r="M426" i="1"/>
  <c r="K426" i="1"/>
  <c r="J426" i="1"/>
  <c r="B426" i="1"/>
  <c r="N425" i="1"/>
  <c r="M425" i="1"/>
  <c r="K425" i="1"/>
  <c r="J425" i="1"/>
  <c r="B425" i="1"/>
  <c r="N424" i="1"/>
  <c r="M424" i="1"/>
  <c r="K424" i="1"/>
  <c r="J424" i="1"/>
  <c r="B424" i="1"/>
  <c r="N423" i="1"/>
  <c r="M423" i="1"/>
  <c r="K423" i="1"/>
  <c r="J423" i="1"/>
  <c r="B423" i="1"/>
  <c r="N422" i="1"/>
  <c r="M422" i="1"/>
  <c r="K422" i="1"/>
  <c r="J422" i="1"/>
  <c r="B422" i="1"/>
  <c r="N421" i="1"/>
  <c r="M421" i="1"/>
  <c r="K421" i="1"/>
  <c r="J421" i="1"/>
  <c r="B421" i="1"/>
  <c r="N420" i="1"/>
  <c r="M420" i="1"/>
  <c r="K420" i="1"/>
  <c r="J420" i="1"/>
  <c r="B420" i="1"/>
  <c r="N419" i="1"/>
  <c r="M419" i="1"/>
  <c r="K419" i="1"/>
  <c r="J419" i="1"/>
  <c r="B419" i="1"/>
  <c r="N418" i="1"/>
  <c r="M418" i="1"/>
  <c r="K418" i="1"/>
  <c r="J418" i="1"/>
  <c r="B418" i="1"/>
  <c r="N417" i="1"/>
  <c r="M417" i="1"/>
  <c r="K417" i="1"/>
  <c r="J417" i="1"/>
  <c r="B417" i="1"/>
  <c r="N416" i="1"/>
  <c r="M416" i="1"/>
  <c r="K416" i="1"/>
  <c r="J416" i="1"/>
  <c r="B416" i="1"/>
  <c r="N415" i="1"/>
  <c r="M415" i="1"/>
  <c r="K415" i="1"/>
  <c r="J415" i="1"/>
  <c r="B415" i="1"/>
  <c r="N414" i="1"/>
  <c r="M414" i="1"/>
  <c r="K414" i="1"/>
  <c r="J414" i="1"/>
  <c r="B414" i="1"/>
  <c r="N413" i="1"/>
  <c r="M413" i="1"/>
  <c r="K413" i="1"/>
  <c r="J413" i="1"/>
  <c r="B413" i="1"/>
  <c r="N460" i="1"/>
  <c r="M460" i="1"/>
  <c r="K460" i="1"/>
  <c r="J460" i="1"/>
  <c r="B460" i="1"/>
  <c r="N459" i="1"/>
  <c r="M459" i="1"/>
  <c r="K459" i="1"/>
  <c r="J459" i="1"/>
  <c r="B459" i="1"/>
  <c r="N458" i="1"/>
  <c r="M458" i="1"/>
  <c r="K458" i="1"/>
  <c r="J458" i="1"/>
  <c r="B458" i="1"/>
  <c r="N457" i="1"/>
  <c r="M457" i="1"/>
  <c r="K457" i="1"/>
  <c r="J457" i="1"/>
  <c r="B457" i="1"/>
  <c r="N456" i="1"/>
  <c r="M456" i="1"/>
  <c r="K456" i="1"/>
  <c r="J456" i="1"/>
  <c r="B456" i="1"/>
  <c r="N455" i="1"/>
  <c r="M455" i="1"/>
  <c r="K455" i="1"/>
  <c r="J455" i="1"/>
  <c r="B455" i="1"/>
  <c r="N454" i="1"/>
  <c r="M454" i="1"/>
  <c r="K454" i="1"/>
  <c r="J454" i="1"/>
  <c r="B454" i="1"/>
  <c r="N453" i="1"/>
  <c r="M453" i="1"/>
  <c r="K453" i="1"/>
  <c r="J453" i="1"/>
  <c r="B453" i="1"/>
  <c r="N452" i="1"/>
  <c r="M452" i="1"/>
  <c r="K452" i="1"/>
  <c r="J452" i="1"/>
  <c r="B452" i="1"/>
  <c r="N451" i="1"/>
  <c r="M451" i="1"/>
  <c r="K451" i="1"/>
  <c r="J451" i="1"/>
  <c r="B451" i="1"/>
  <c r="N450" i="1"/>
  <c r="M450" i="1"/>
  <c r="K450" i="1"/>
  <c r="J450" i="1"/>
  <c r="B450" i="1"/>
  <c r="N449" i="1"/>
  <c r="M449" i="1"/>
  <c r="K449" i="1"/>
  <c r="J449" i="1"/>
  <c r="B449" i="1"/>
  <c r="N448" i="1"/>
  <c r="M448" i="1"/>
  <c r="K448" i="1"/>
  <c r="J448" i="1"/>
  <c r="B448" i="1"/>
  <c r="N447" i="1"/>
  <c r="M447" i="1"/>
  <c r="K447" i="1"/>
  <c r="J447" i="1"/>
  <c r="B447" i="1"/>
  <c r="N446" i="1"/>
  <c r="M446" i="1"/>
  <c r="K446" i="1"/>
  <c r="J446" i="1"/>
  <c r="B446" i="1"/>
  <c r="N445" i="1"/>
  <c r="M445" i="1"/>
  <c r="K445" i="1"/>
  <c r="J445" i="1"/>
  <c r="B445" i="1"/>
  <c r="N444" i="1"/>
  <c r="M444" i="1"/>
  <c r="K444" i="1"/>
  <c r="J444" i="1"/>
  <c r="B444" i="1"/>
  <c r="N443" i="1"/>
  <c r="M443" i="1"/>
  <c r="K443" i="1"/>
  <c r="J443" i="1"/>
  <c r="B443" i="1"/>
  <c r="N442" i="1"/>
  <c r="M442" i="1"/>
  <c r="K442" i="1"/>
  <c r="J442" i="1"/>
  <c r="B442" i="1"/>
  <c r="N470" i="1"/>
  <c r="M470" i="1"/>
  <c r="K470" i="1"/>
  <c r="J470" i="1"/>
  <c r="B470" i="1"/>
  <c r="N469" i="1"/>
  <c r="M469" i="1"/>
  <c r="K469" i="1"/>
  <c r="J469" i="1"/>
  <c r="B469" i="1"/>
  <c r="N468" i="1"/>
  <c r="M468" i="1"/>
  <c r="K468" i="1"/>
  <c r="J468" i="1"/>
  <c r="B468" i="1"/>
  <c r="N467" i="1"/>
  <c r="M467" i="1"/>
  <c r="K467" i="1"/>
  <c r="J467" i="1"/>
  <c r="B467" i="1"/>
  <c r="N466" i="1"/>
  <c r="M466" i="1"/>
  <c r="K466" i="1"/>
  <c r="J466" i="1"/>
  <c r="B466" i="1"/>
  <c r="N465" i="1"/>
  <c r="M465" i="1"/>
  <c r="K465" i="1"/>
  <c r="J465" i="1"/>
  <c r="B465" i="1"/>
  <c r="N464" i="1"/>
  <c r="M464" i="1"/>
  <c r="K464" i="1"/>
  <c r="J464" i="1"/>
  <c r="B464" i="1"/>
  <c r="N463" i="1"/>
  <c r="M463" i="1"/>
  <c r="K463" i="1"/>
  <c r="J463" i="1"/>
  <c r="B463" i="1"/>
  <c r="N462" i="1"/>
  <c r="M462" i="1"/>
  <c r="K462" i="1"/>
  <c r="J462" i="1"/>
  <c r="B462" i="1"/>
  <c r="N461" i="1"/>
  <c r="M461" i="1"/>
  <c r="K461" i="1"/>
  <c r="J461" i="1"/>
  <c r="B461" i="1"/>
  <c r="N493" i="1"/>
  <c r="M493" i="1"/>
  <c r="K493" i="1"/>
  <c r="J493" i="1"/>
  <c r="B493" i="1"/>
  <c r="N492" i="1"/>
  <c r="M492" i="1"/>
  <c r="K492" i="1"/>
  <c r="J492" i="1"/>
  <c r="B492" i="1"/>
  <c r="N491" i="1"/>
  <c r="M491" i="1"/>
  <c r="K491" i="1"/>
  <c r="J491" i="1"/>
  <c r="B491" i="1"/>
  <c r="N490" i="1"/>
  <c r="M490" i="1"/>
  <c r="K490" i="1"/>
  <c r="J490" i="1"/>
  <c r="B490" i="1"/>
  <c r="N489" i="1"/>
  <c r="M489" i="1"/>
  <c r="K489" i="1"/>
  <c r="J489" i="1"/>
  <c r="B489" i="1"/>
  <c r="N488" i="1"/>
  <c r="M488" i="1"/>
  <c r="K488" i="1"/>
  <c r="J488" i="1"/>
  <c r="B488" i="1"/>
  <c r="N487" i="1"/>
  <c r="M487" i="1"/>
  <c r="K487" i="1"/>
  <c r="J487" i="1"/>
  <c r="B487" i="1"/>
  <c r="N486" i="1"/>
  <c r="M486" i="1"/>
  <c r="K486" i="1"/>
  <c r="J486" i="1"/>
  <c r="B486" i="1"/>
  <c r="N485" i="1"/>
  <c r="M485" i="1"/>
  <c r="K485" i="1"/>
  <c r="J485" i="1"/>
  <c r="B485" i="1"/>
  <c r="N484" i="1"/>
  <c r="M484" i="1"/>
  <c r="K484" i="1"/>
  <c r="J484" i="1"/>
  <c r="B484" i="1"/>
  <c r="N483" i="1"/>
  <c r="M483" i="1"/>
  <c r="K483" i="1"/>
  <c r="J483" i="1"/>
  <c r="B483" i="1"/>
  <c r="N482" i="1"/>
  <c r="M482" i="1"/>
  <c r="K482" i="1"/>
  <c r="J482" i="1"/>
  <c r="B482" i="1"/>
  <c r="N481" i="1"/>
  <c r="M481" i="1"/>
  <c r="K481" i="1"/>
  <c r="J481" i="1"/>
  <c r="B481" i="1"/>
  <c r="N480" i="1"/>
  <c r="M480" i="1"/>
  <c r="K480" i="1"/>
  <c r="J480" i="1"/>
  <c r="B480" i="1"/>
  <c r="N479" i="1"/>
  <c r="M479" i="1"/>
  <c r="K479" i="1"/>
  <c r="J479" i="1"/>
  <c r="B479" i="1"/>
  <c r="N478" i="1"/>
  <c r="M478" i="1"/>
  <c r="K478" i="1"/>
  <c r="J478" i="1"/>
  <c r="B478" i="1"/>
  <c r="N477" i="1"/>
  <c r="M477" i="1"/>
  <c r="K477" i="1"/>
  <c r="J477" i="1"/>
  <c r="B477" i="1"/>
  <c r="N476" i="1"/>
  <c r="M476" i="1"/>
  <c r="K476" i="1"/>
  <c r="J476" i="1"/>
  <c r="B476" i="1"/>
  <c r="N475" i="1"/>
  <c r="M475" i="1"/>
  <c r="K475" i="1"/>
  <c r="J475" i="1"/>
  <c r="B475" i="1"/>
  <c r="N474" i="1"/>
  <c r="M474" i="1"/>
  <c r="K474" i="1"/>
  <c r="J474" i="1"/>
  <c r="B474" i="1"/>
  <c r="N473" i="1"/>
  <c r="M473" i="1"/>
  <c r="K473" i="1"/>
  <c r="J473" i="1"/>
  <c r="B473" i="1"/>
  <c r="N472" i="1"/>
  <c r="M472" i="1"/>
  <c r="K472" i="1"/>
  <c r="J472" i="1"/>
  <c r="B472" i="1"/>
  <c r="N471" i="1"/>
  <c r="M471" i="1"/>
  <c r="K471" i="1"/>
  <c r="J471" i="1"/>
  <c r="B471" i="1"/>
  <c r="N494" i="1"/>
  <c r="M494" i="1"/>
  <c r="K494" i="1"/>
  <c r="J494" i="1"/>
  <c r="B494" i="1"/>
  <c r="N496" i="1"/>
  <c r="M496" i="1"/>
  <c r="K496" i="1"/>
  <c r="J496" i="1"/>
  <c r="B496" i="1"/>
  <c r="N495" i="1"/>
  <c r="M495" i="1"/>
  <c r="K495" i="1"/>
  <c r="J495" i="1"/>
  <c r="B495" i="1"/>
  <c r="N497" i="1"/>
  <c r="M497" i="1"/>
  <c r="K497" i="1"/>
  <c r="J497" i="1"/>
  <c r="B497" i="1"/>
  <c r="N515" i="1"/>
  <c r="M515" i="1"/>
  <c r="K515" i="1"/>
  <c r="J515" i="1"/>
  <c r="B515" i="1"/>
  <c r="N514" i="1"/>
  <c r="M514" i="1"/>
  <c r="K514" i="1"/>
  <c r="J514" i="1"/>
  <c r="B514" i="1"/>
  <c r="N513" i="1"/>
  <c r="M513" i="1"/>
  <c r="K513" i="1"/>
  <c r="J513" i="1"/>
  <c r="B513" i="1"/>
  <c r="N512" i="1"/>
  <c r="M512" i="1"/>
  <c r="K512" i="1"/>
  <c r="J512" i="1"/>
  <c r="B512" i="1"/>
  <c r="N511" i="1"/>
  <c r="M511" i="1"/>
  <c r="K511" i="1"/>
  <c r="J511" i="1"/>
  <c r="B511" i="1"/>
  <c r="N510" i="1"/>
  <c r="M510" i="1"/>
  <c r="K510" i="1"/>
  <c r="J510" i="1"/>
  <c r="B510" i="1"/>
  <c r="N509" i="1"/>
  <c r="M509" i="1"/>
  <c r="K509" i="1"/>
  <c r="J509" i="1"/>
  <c r="B509" i="1"/>
  <c r="N508" i="1"/>
  <c r="M508" i="1"/>
  <c r="K508" i="1"/>
  <c r="J508" i="1"/>
  <c r="B508" i="1"/>
  <c r="N507" i="1"/>
  <c r="M507" i="1"/>
  <c r="K507" i="1"/>
  <c r="J507" i="1"/>
  <c r="B507" i="1"/>
  <c r="N506" i="1"/>
  <c r="M506" i="1"/>
  <c r="K506" i="1"/>
  <c r="J506" i="1"/>
  <c r="B506" i="1"/>
  <c r="N505" i="1"/>
  <c r="M505" i="1"/>
  <c r="K505" i="1"/>
  <c r="J505" i="1"/>
  <c r="B505" i="1"/>
  <c r="N504" i="1"/>
  <c r="M504" i="1"/>
  <c r="K504" i="1"/>
  <c r="J504" i="1"/>
  <c r="B504" i="1"/>
  <c r="N503" i="1"/>
  <c r="M503" i="1"/>
  <c r="K503" i="1"/>
  <c r="J503" i="1"/>
  <c r="B503" i="1"/>
  <c r="N502" i="1"/>
  <c r="M502" i="1"/>
  <c r="K502" i="1"/>
  <c r="J502" i="1"/>
  <c r="B502" i="1"/>
  <c r="N501" i="1"/>
  <c r="M501" i="1"/>
  <c r="K501" i="1"/>
  <c r="J501" i="1"/>
  <c r="B501" i="1"/>
  <c r="N500" i="1"/>
  <c r="M500" i="1"/>
  <c r="K500" i="1"/>
  <c r="J500" i="1"/>
  <c r="B500" i="1"/>
  <c r="N499" i="1"/>
  <c r="M499" i="1"/>
  <c r="K499" i="1"/>
  <c r="J499" i="1"/>
  <c r="B499" i="1"/>
  <c r="N498" i="1"/>
  <c r="M498" i="1"/>
  <c r="K498" i="1"/>
  <c r="J498" i="1"/>
  <c r="B498" i="1"/>
  <c r="N527" i="1"/>
  <c r="M527" i="1"/>
  <c r="K527" i="1"/>
  <c r="J527" i="1"/>
  <c r="B527" i="1"/>
  <c r="N526" i="1"/>
  <c r="M526" i="1"/>
  <c r="K526" i="1"/>
  <c r="J526" i="1"/>
  <c r="B526" i="1"/>
  <c r="N525" i="1"/>
  <c r="M525" i="1"/>
  <c r="K525" i="1"/>
  <c r="J525" i="1"/>
  <c r="B525" i="1"/>
  <c r="N524" i="1"/>
  <c r="M524" i="1"/>
  <c r="K524" i="1"/>
  <c r="J524" i="1"/>
  <c r="B524" i="1"/>
  <c r="N523" i="1"/>
  <c r="M523" i="1"/>
  <c r="K523" i="1"/>
  <c r="J523" i="1"/>
  <c r="B523" i="1"/>
  <c r="N522" i="1"/>
  <c r="M522" i="1"/>
  <c r="K522" i="1"/>
  <c r="J522" i="1"/>
  <c r="B522" i="1"/>
  <c r="N521" i="1"/>
  <c r="M521" i="1"/>
  <c r="K521" i="1"/>
  <c r="J521" i="1"/>
  <c r="B521" i="1"/>
  <c r="N520" i="1"/>
  <c r="M520" i="1"/>
  <c r="K520" i="1"/>
  <c r="J520" i="1"/>
  <c r="B520" i="1"/>
  <c r="N519" i="1"/>
  <c r="M519" i="1"/>
  <c r="K519" i="1"/>
  <c r="J519" i="1"/>
  <c r="B519" i="1"/>
  <c r="N518" i="1"/>
  <c r="M518" i="1"/>
  <c r="K518" i="1"/>
  <c r="J518" i="1"/>
  <c r="B518" i="1"/>
  <c r="N517" i="1"/>
  <c r="M517" i="1"/>
  <c r="K517" i="1"/>
  <c r="J517" i="1"/>
  <c r="B517" i="1"/>
  <c r="N516" i="1"/>
  <c r="M516" i="1"/>
  <c r="K516" i="1"/>
  <c r="J516" i="1"/>
  <c r="B516" i="1"/>
  <c r="N535" i="1"/>
  <c r="M535" i="1"/>
  <c r="K535" i="1"/>
  <c r="J535" i="1"/>
  <c r="B535" i="1"/>
  <c r="N534" i="1"/>
  <c r="M534" i="1"/>
  <c r="K534" i="1"/>
  <c r="J534" i="1"/>
  <c r="B534" i="1"/>
  <c r="N533" i="1"/>
  <c r="M533" i="1"/>
  <c r="K533" i="1"/>
  <c r="J533" i="1"/>
  <c r="B533" i="1"/>
  <c r="N532" i="1"/>
  <c r="M532" i="1"/>
  <c r="K532" i="1"/>
  <c r="J532" i="1"/>
  <c r="B532" i="1"/>
  <c r="N531" i="1"/>
  <c r="M531" i="1"/>
  <c r="K531" i="1"/>
  <c r="J531" i="1"/>
  <c r="B531" i="1"/>
  <c r="N530" i="1"/>
  <c r="M530" i="1"/>
  <c r="K530" i="1"/>
  <c r="J530" i="1"/>
  <c r="B530" i="1"/>
  <c r="N529" i="1"/>
  <c r="M529" i="1"/>
  <c r="K529" i="1"/>
  <c r="J529" i="1"/>
  <c r="B529" i="1"/>
  <c r="N528" i="1"/>
  <c r="M528" i="1"/>
  <c r="K528" i="1"/>
  <c r="J528" i="1"/>
  <c r="B528" i="1"/>
  <c r="N543" i="1"/>
  <c r="M543" i="1"/>
  <c r="K543" i="1"/>
  <c r="J543" i="1"/>
  <c r="B543" i="1"/>
  <c r="N542" i="1"/>
  <c r="M542" i="1"/>
  <c r="K542" i="1"/>
  <c r="J542" i="1"/>
  <c r="B542" i="1"/>
  <c r="N541" i="1"/>
  <c r="M541" i="1"/>
  <c r="K541" i="1"/>
  <c r="J541" i="1"/>
  <c r="B541" i="1"/>
  <c r="N540" i="1"/>
  <c r="M540" i="1"/>
  <c r="K540" i="1"/>
  <c r="J540" i="1"/>
  <c r="B540" i="1"/>
  <c r="N539" i="1"/>
  <c r="M539" i="1"/>
  <c r="K539" i="1"/>
  <c r="J539" i="1"/>
  <c r="B539" i="1"/>
  <c r="N538" i="1"/>
  <c r="M538" i="1"/>
  <c r="K538" i="1"/>
  <c r="J538" i="1"/>
  <c r="B538" i="1"/>
  <c r="N537" i="1"/>
  <c r="M537" i="1"/>
  <c r="K537" i="1"/>
  <c r="J537" i="1"/>
  <c r="B537" i="1"/>
  <c r="N536" i="1"/>
  <c r="M536" i="1"/>
  <c r="K536" i="1"/>
  <c r="J536" i="1"/>
  <c r="B536" i="1"/>
  <c r="N563" i="1"/>
  <c r="M563" i="1"/>
  <c r="K563" i="1"/>
  <c r="J563" i="1"/>
  <c r="B563" i="1"/>
  <c r="N562" i="1"/>
  <c r="M562" i="1"/>
  <c r="K562" i="1"/>
  <c r="J562" i="1"/>
  <c r="B562" i="1"/>
  <c r="N561" i="1"/>
  <c r="M561" i="1"/>
  <c r="K561" i="1"/>
  <c r="J561" i="1"/>
  <c r="B561" i="1"/>
  <c r="N560" i="1"/>
  <c r="M560" i="1"/>
  <c r="K560" i="1"/>
  <c r="J560" i="1"/>
  <c r="B560" i="1"/>
  <c r="N559" i="1"/>
  <c r="M559" i="1"/>
  <c r="K559" i="1"/>
  <c r="J559" i="1"/>
  <c r="B559" i="1"/>
  <c r="N558" i="1"/>
  <c r="M558" i="1"/>
  <c r="K558" i="1"/>
  <c r="J558" i="1"/>
  <c r="B558" i="1"/>
  <c r="N557" i="1"/>
  <c r="M557" i="1"/>
  <c r="K557" i="1"/>
  <c r="J557" i="1"/>
  <c r="B557" i="1"/>
  <c r="N556" i="1"/>
  <c r="M556" i="1"/>
  <c r="K556" i="1"/>
  <c r="J556" i="1"/>
  <c r="B556" i="1"/>
  <c r="N555" i="1"/>
  <c r="M555" i="1"/>
  <c r="K555" i="1"/>
  <c r="J555" i="1"/>
  <c r="B555" i="1"/>
  <c r="N554" i="1"/>
  <c r="M554" i="1"/>
  <c r="K554" i="1"/>
  <c r="J554" i="1"/>
  <c r="B554" i="1"/>
  <c r="N553" i="1"/>
  <c r="M553" i="1"/>
  <c r="K553" i="1"/>
  <c r="J553" i="1"/>
  <c r="B553" i="1"/>
  <c r="N552" i="1"/>
  <c r="M552" i="1"/>
  <c r="K552" i="1"/>
  <c r="J552" i="1"/>
  <c r="B552" i="1"/>
  <c r="N551" i="1"/>
  <c r="M551" i="1"/>
  <c r="K551" i="1"/>
  <c r="J551" i="1"/>
  <c r="B551" i="1"/>
  <c r="N550" i="1"/>
  <c r="M550" i="1"/>
  <c r="K550" i="1"/>
  <c r="J550" i="1"/>
  <c r="B550" i="1"/>
  <c r="N549" i="1"/>
  <c r="M549" i="1"/>
  <c r="K549" i="1"/>
  <c r="J549" i="1"/>
  <c r="B549" i="1"/>
  <c r="N548" i="1"/>
  <c r="M548" i="1"/>
  <c r="K548" i="1"/>
  <c r="J548" i="1"/>
  <c r="B548" i="1"/>
  <c r="N547" i="1"/>
  <c r="M547" i="1"/>
  <c r="K547" i="1"/>
  <c r="J547" i="1"/>
  <c r="B547" i="1"/>
  <c r="N546" i="1"/>
  <c r="M546" i="1"/>
  <c r="K546" i="1"/>
  <c r="J546" i="1"/>
  <c r="B546" i="1"/>
  <c r="N545" i="1"/>
  <c r="M545" i="1"/>
  <c r="K545" i="1"/>
  <c r="J545" i="1"/>
  <c r="B545" i="1"/>
  <c r="N544" i="1"/>
  <c r="M544" i="1"/>
  <c r="K544" i="1"/>
  <c r="J544" i="1"/>
  <c r="B544" i="1"/>
  <c r="N570" i="1"/>
  <c r="M570" i="1"/>
  <c r="K570" i="1"/>
  <c r="J570" i="1"/>
  <c r="B570" i="1"/>
  <c r="N569" i="1"/>
  <c r="M569" i="1"/>
  <c r="K569" i="1"/>
  <c r="J569" i="1"/>
  <c r="B569" i="1"/>
  <c r="N568" i="1"/>
  <c r="M568" i="1"/>
  <c r="K568" i="1"/>
  <c r="J568" i="1"/>
  <c r="B568" i="1"/>
  <c r="N567" i="1"/>
  <c r="M567" i="1"/>
  <c r="K567" i="1"/>
  <c r="J567" i="1"/>
  <c r="B567" i="1"/>
  <c r="N566" i="1"/>
  <c r="M566" i="1"/>
  <c r="K566" i="1"/>
  <c r="J566" i="1"/>
  <c r="B566" i="1"/>
  <c r="N565" i="1"/>
  <c r="M565" i="1"/>
  <c r="K565" i="1"/>
  <c r="J565" i="1"/>
  <c r="B565" i="1"/>
  <c r="N564" i="1"/>
  <c r="M564" i="1"/>
  <c r="K564" i="1"/>
  <c r="J564" i="1"/>
  <c r="B564" i="1"/>
  <c r="N580" i="1"/>
  <c r="M580" i="1"/>
  <c r="K580" i="1"/>
  <c r="J580" i="1"/>
  <c r="B580" i="1"/>
  <c r="N579" i="1"/>
  <c r="M579" i="1"/>
  <c r="K579" i="1"/>
  <c r="J579" i="1"/>
  <c r="B579" i="1"/>
  <c r="N578" i="1"/>
  <c r="M578" i="1"/>
  <c r="K578" i="1"/>
  <c r="J578" i="1"/>
  <c r="B578" i="1"/>
  <c r="N577" i="1"/>
  <c r="M577" i="1"/>
  <c r="K577" i="1"/>
  <c r="J577" i="1"/>
  <c r="B577" i="1"/>
  <c r="N576" i="1"/>
  <c r="M576" i="1"/>
  <c r="K576" i="1"/>
  <c r="J576" i="1"/>
  <c r="B576" i="1"/>
  <c r="N575" i="1"/>
  <c r="M575" i="1"/>
  <c r="K575" i="1"/>
  <c r="J575" i="1"/>
  <c r="B575" i="1"/>
  <c r="N574" i="1"/>
  <c r="M574" i="1"/>
  <c r="K574" i="1"/>
  <c r="J574" i="1"/>
  <c r="B574" i="1"/>
  <c r="N573" i="1"/>
  <c r="M573" i="1"/>
  <c r="K573" i="1"/>
  <c r="J573" i="1"/>
  <c r="B573" i="1"/>
  <c r="N572" i="1"/>
  <c r="M572" i="1"/>
  <c r="K572" i="1"/>
  <c r="J572" i="1"/>
  <c r="B572" i="1"/>
  <c r="N571" i="1"/>
  <c r="M571" i="1"/>
  <c r="K571" i="1"/>
  <c r="J571" i="1"/>
  <c r="B571" i="1"/>
  <c r="N593" i="1"/>
  <c r="M593" i="1"/>
  <c r="K593" i="1"/>
  <c r="J593" i="1"/>
  <c r="B593" i="1"/>
  <c r="N592" i="1"/>
  <c r="M592" i="1"/>
  <c r="K592" i="1"/>
  <c r="J592" i="1"/>
  <c r="B592" i="1"/>
  <c r="N591" i="1"/>
  <c r="M591" i="1"/>
  <c r="K591" i="1"/>
  <c r="J591" i="1"/>
  <c r="B591" i="1"/>
  <c r="N590" i="1"/>
  <c r="M590" i="1"/>
  <c r="K590" i="1"/>
  <c r="J590" i="1"/>
  <c r="B590" i="1"/>
  <c r="N589" i="1"/>
  <c r="M589" i="1"/>
  <c r="K589" i="1"/>
  <c r="J589" i="1"/>
  <c r="B589" i="1"/>
  <c r="N588" i="1"/>
  <c r="M588" i="1"/>
  <c r="K588" i="1"/>
  <c r="J588" i="1"/>
  <c r="B588" i="1"/>
  <c r="N587" i="1"/>
  <c r="M587" i="1"/>
  <c r="K587" i="1"/>
  <c r="J587" i="1"/>
  <c r="B587" i="1"/>
  <c r="N586" i="1"/>
  <c r="M586" i="1"/>
  <c r="K586" i="1"/>
  <c r="J586" i="1"/>
  <c r="B586" i="1"/>
  <c r="N585" i="1"/>
  <c r="M585" i="1"/>
  <c r="K585" i="1"/>
  <c r="J585" i="1"/>
  <c r="B585" i="1"/>
  <c r="N584" i="1"/>
  <c r="M584" i="1"/>
  <c r="K584" i="1"/>
  <c r="J584" i="1"/>
  <c r="B584" i="1"/>
  <c r="N583" i="1"/>
  <c r="M583" i="1"/>
  <c r="K583" i="1"/>
  <c r="J583" i="1"/>
  <c r="B583" i="1"/>
  <c r="N582" i="1"/>
  <c r="M582" i="1"/>
  <c r="K582" i="1"/>
  <c r="J582" i="1"/>
  <c r="B582" i="1"/>
  <c r="N581" i="1"/>
  <c r="M581" i="1"/>
  <c r="K581" i="1"/>
  <c r="J581" i="1"/>
  <c r="B581" i="1"/>
  <c r="N607" i="1"/>
  <c r="M607" i="1"/>
  <c r="K607" i="1"/>
  <c r="J607" i="1"/>
  <c r="B607" i="1"/>
  <c r="N606" i="1"/>
  <c r="M606" i="1"/>
  <c r="K606" i="1"/>
  <c r="J606" i="1"/>
  <c r="B606" i="1"/>
  <c r="N605" i="1"/>
  <c r="M605" i="1"/>
  <c r="K605" i="1"/>
  <c r="J605" i="1"/>
  <c r="B605" i="1"/>
  <c r="N604" i="1"/>
  <c r="M604" i="1"/>
  <c r="K604" i="1"/>
  <c r="J604" i="1"/>
  <c r="B604" i="1"/>
  <c r="N603" i="1"/>
  <c r="M603" i="1"/>
  <c r="K603" i="1"/>
  <c r="J603" i="1"/>
  <c r="B603" i="1"/>
  <c r="N602" i="1"/>
  <c r="M602" i="1"/>
  <c r="K602" i="1"/>
  <c r="J602" i="1"/>
  <c r="B602" i="1"/>
  <c r="N601" i="1"/>
  <c r="M601" i="1"/>
  <c r="K601" i="1"/>
  <c r="J601" i="1"/>
  <c r="B601" i="1"/>
  <c r="N600" i="1"/>
  <c r="M600" i="1"/>
  <c r="K600" i="1"/>
  <c r="J600" i="1"/>
  <c r="B600" i="1"/>
  <c r="N599" i="1"/>
  <c r="M599" i="1"/>
  <c r="K599" i="1"/>
  <c r="J599" i="1"/>
  <c r="B599" i="1"/>
  <c r="N598" i="1"/>
  <c r="M598" i="1"/>
  <c r="K598" i="1"/>
  <c r="J598" i="1"/>
  <c r="B598" i="1"/>
  <c r="N597" i="1"/>
  <c r="M597" i="1"/>
  <c r="K597" i="1"/>
  <c r="J597" i="1"/>
  <c r="B597" i="1"/>
  <c r="N596" i="1"/>
  <c r="M596" i="1"/>
  <c r="K596" i="1"/>
  <c r="J596" i="1"/>
  <c r="B596" i="1"/>
  <c r="N595" i="1"/>
  <c r="M595" i="1"/>
  <c r="K595" i="1"/>
  <c r="J595" i="1"/>
  <c r="B595" i="1"/>
  <c r="N594" i="1"/>
  <c r="M594" i="1"/>
  <c r="K594" i="1"/>
  <c r="J594" i="1"/>
  <c r="B594" i="1"/>
  <c r="N616" i="1"/>
  <c r="M616" i="1"/>
  <c r="K616" i="1"/>
  <c r="J616" i="1"/>
  <c r="B616" i="1"/>
  <c r="N615" i="1"/>
  <c r="M615" i="1"/>
  <c r="K615" i="1"/>
  <c r="J615" i="1"/>
  <c r="B615" i="1"/>
  <c r="N614" i="1"/>
  <c r="M614" i="1"/>
  <c r="K614" i="1"/>
  <c r="J614" i="1"/>
  <c r="B614" i="1"/>
  <c r="N613" i="1"/>
  <c r="M613" i="1"/>
  <c r="K613" i="1"/>
  <c r="J613" i="1"/>
  <c r="B613" i="1"/>
  <c r="N612" i="1"/>
  <c r="M612" i="1"/>
  <c r="K612" i="1"/>
  <c r="J612" i="1"/>
  <c r="B612" i="1"/>
  <c r="N611" i="1"/>
  <c r="M611" i="1"/>
  <c r="K611" i="1"/>
  <c r="J611" i="1"/>
  <c r="B611" i="1"/>
  <c r="N610" i="1"/>
  <c r="M610" i="1"/>
  <c r="K610" i="1"/>
  <c r="J610" i="1"/>
  <c r="B610" i="1"/>
  <c r="N609" i="1"/>
  <c r="M609" i="1"/>
  <c r="K609" i="1"/>
  <c r="J609" i="1"/>
  <c r="B609" i="1"/>
  <c r="N608" i="1"/>
  <c r="M608" i="1"/>
  <c r="K608" i="1"/>
  <c r="J608" i="1"/>
  <c r="B608" i="1"/>
  <c r="N629" i="1"/>
  <c r="M629" i="1"/>
  <c r="K629" i="1"/>
  <c r="J629" i="1"/>
  <c r="B629" i="1"/>
  <c r="N628" i="1"/>
  <c r="M628" i="1"/>
  <c r="K628" i="1"/>
  <c r="J628" i="1"/>
  <c r="B628" i="1"/>
  <c r="N627" i="1"/>
  <c r="M627" i="1"/>
  <c r="K627" i="1"/>
  <c r="J627" i="1"/>
  <c r="B627" i="1"/>
  <c r="N626" i="1"/>
  <c r="M626" i="1"/>
  <c r="K626" i="1"/>
  <c r="J626" i="1"/>
  <c r="B626" i="1"/>
  <c r="N625" i="1"/>
  <c r="M625" i="1"/>
  <c r="K625" i="1"/>
  <c r="J625" i="1"/>
  <c r="B625" i="1"/>
  <c r="N624" i="1"/>
  <c r="M624" i="1"/>
  <c r="K624" i="1"/>
  <c r="J624" i="1"/>
  <c r="B624" i="1"/>
  <c r="N623" i="1"/>
  <c r="M623" i="1"/>
  <c r="K623" i="1"/>
  <c r="J623" i="1"/>
  <c r="B623" i="1"/>
  <c r="N622" i="1"/>
  <c r="M622" i="1"/>
  <c r="K622" i="1"/>
  <c r="J622" i="1"/>
  <c r="B622" i="1"/>
  <c r="N621" i="1"/>
  <c r="M621" i="1"/>
  <c r="K621" i="1"/>
  <c r="J621" i="1"/>
  <c r="B621" i="1"/>
  <c r="N620" i="1"/>
  <c r="M620" i="1"/>
  <c r="K620" i="1"/>
  <c r="J620" i="1"/>
  <c r="B620" i="1"/>
  <c r="N619" i="1"/>
  <c r="M619" i="1"/>
  <c r="K619" i="1"/>
  <c r="J619" i="1"/>
  <c r="B619" i="1"/>
  <c r="N618" i="1"/>
  <c r="M618" i="1"/>
  <c r="K618" i="1"/>
  <c r="J618" i="1"/>
  <c r="B618" i="1"/>
  <c r="N617" i="1"/>
  <c r="M617" i="1"/>
  <c r="K617" i="1"/>
  <c r="J617" i="1"/>
  <c r="B617" i="1"/>
  <c r="N630" i="1"/>
  <c r="M630" i="1"/>
  <c r="K630" i="1"/>
  <c r="J630" i="1"/>
  <c r="B630" i="1"/>
  <c r="N634" i="1"/>
  <c r="M634" i="1"/>
  <c r="K634" i="1"/>
  <c r="J634" i="1"/>
  <c r="B634" i="1"/>
  <c r="N633" i="1"/>
  <c r="M633" i="1"/>
  <c r="K633" i="1"/>
  <c r="J633" i="1"/>
  <c r="B633" i="1"/>
  <c r="N632" i="1"/>
  <c r="M632" i="1"/>
  <c r="K632" i="1"/>
  <c r="J632" i="1"/>
  <c r="B632" i="1"/>
  <c r="N631" i="1"/>
  <c r="M631" i="1"/>
  <c r="K631" i="1"/>
  <c r="J631" i="1"/>
  <c r="B631" i="1"/>
  <c r="N642" i="1"/>
  <c r="M642" i="1"/>
  <c r="K642" i="1"/>
  <c r="J642" i="1"/>
  <c r="B642" i="1"/>
  <c r="N641" i="1"/>
  <c r="M641" i="1"/>
  <c r="K641" i="1"/>
  <c r="J641" i="1"/>
  <c r="B641" i="1"/>
  <c r="N640" i="1"/>
  <c r="M640" i="1"/>
  <c r="K640" i="1"/>
  <c r="J640" i="1"/>
  <c r="B640" i="1"/>
  <c r="N639" i="1"/>
  <c r="M639" i="1"/>
  <c r="K639" i="1"/>
  <c r="J639" i="1"/>
  <c r="B639" i="1"/>
  <c r="N638" i="1"/>
  <c r="M638" i="1"/>
  <c r="K638" i="1"/>
  <c r="J638" i="1"/>
  <c r="B638" i="1"/>
  <c r="N637" i="1"/>
  <c r="M637" i="1"/>
  <c r="K637" i="1"/>
  <c r="J637" i="1"/>
  <c r="B637" i="1"/>
  <c r="N636" i="1"/>
  <c r="M636" i="1"/>
  <c r="K636" i="1"/>
  <c r="J636" i="1"/>
  <c r="B636" i="1"/>
  <c r="N635" i="1"/>
  <c r="M635" i="1"/>
  <c r="K635" i="1"/>
  <c r="J635" i="1"/>
  <c r="B635" i="1"/>
  <c r="N653" i="1"/>
  <c r="M653" i="1"/>
  <c r="K653" i="1"/>
  <c r="J653" i="1"/>
  <c r="B653" i="1"/>
  <c r="N652" i="1"/>
  <c r="M652" i="1"/>
  <c r="K652" i="1"/>
  <c r="J652" i="1"/>
  <c r="B652" i="1"/>
  <c r="N651" i="1"/>
  <c r="M651" i="1"/>
  <c r="K651" i="1"/>
  <c r="J651" i="1"/>
  <c r="B651" i="1"/>
  <c r="N650" i="1"/>
  <c r="M650" i="1"/>
  <c r="K650" i="1"/>
  <c r="J650" i="1"/>
  <c r="B650" i="1"/>
  <c r="N649" i="1"/>
  <c r="M649" i="1"/>
  <c r="K649" i="1"/>
  <c r="J649" i="1"/>
  <c r="B649" i="1"/>
  <c r="N648" i="1"/>
  <c r="M648" i="1"/>
  <c r="K648" i="1"/>
  <c r="J648" i="1"/>
  <c r="B648" i="1"/>
  <c r="N647" i="1"/>
  <c r="M647" i="1"/>
  <c r="K647" i="1"/>
  <c r="J647" i="1"/>
  <c r="B647" i="1"/>
  <c r="N646" i="1"/>
  <c r="M646" i="1"/>
  <c r="K646" i="1"/>
  <c r="J646" i="1"/>
  <c r="B646" i="1"/>
  <c r="N645" i="1"/>
  <c r="M645" i="1"/>
  <c r="K645" i="1"/>
  <c r="J645" i="1"/>
  <c r="B645" i="1"/>
  <c r="N644" i="1"/>
  <c r="M644" i="1"/>
  <c r="K644" i="1"/>
  <c r="J644" i="1"/>
  <c r="B644" i="1"/>
  <c r="N643" i="1"/>
  <c r="M643" i="1"/>
  <c r="K643" i="1"/>
  <c r="J643" i="1"/>
  <c r="B643" i="1"/>
  <c r="N665" i="1"/>
  <c r="M665" i="1"/>
  <c r="K665" i="1"/>
  <c r="J665" i="1"/>
  <c r="B665" i="1"/>
  <c r="N664" i="1"/>
  <c r="M664" i="1"/>
  <c r="K664" i="1"/>
  <c r="J664" i="1"/>
  <c r="B664" i="1"/>
  <c r="N663" i="1"/>
  <c r="M663" i="1"/>
  <c r="K663" i="1"/>
  <c r="J663" i="1"/>
  <c r="B663" i="1"/>
  <c r="N662" i="1"/>
  <c r="M662" i="1"/>
  <c r="K662" i="1"/>
  <c r="J662" i="1"/>
  <c r="B662" i="1"/>
  <c r="N661" i="1"/>
  <c r="M661" i="1"/>
  <c r="K661" i="1"/>
  <c r="J661" i="1"/>
  <c r="B661" i="1"/>
  <c r="N660" i="1"/>
  <c r="M660" i="1"/>
  <c r="K660" i="1"/>
  <c r="J660" i="1"/>
  <c r="B660" i="1"/>
  <c r="N659" i="1"/>
  <c r="M659" i="1"/>
  <c r="K659" i="1"/>
  <c r="J659" i="1"/>
  <c r="B659" i="1"/>
  <c r="N658" i="1"/>
  <c r="M658" i="1"/>
  <c r="K658" i="1"/>
  <c r="J658" i="1"/>
  <c r="B658" i="1"/>
  <c r="N657" i="1"/>
  <c r="M657" i="1"/>
  <c r="K657" i="1"/>
  <c r="J657" i="1"/>
  <c r="B657" i="1"/>
  <c r="N656" i="1"/>
  <c r="M656" i="1"/>
  <c r="K656" i="1"/>
  <c r="J656" i="1"/>
  <c r="B656" i="1"/>
  <c r="N655" i="1"/>
  <c r="M655" i="1"/>
  <c r="K655" i="1"/>
  <c r="J655" i="1"/>
  <c r="B655" i="1"/>
  <c r="N654" i="1"/>
  <c r="M654" i="1"/>
  <c r="K654" i="1"/>
  <c r="J654" i="1"/>
  <c r="B654" i="1"/>
  <c r="N680" i="1"/>
  <c r="M680" i="1"/>
  <c r="K680" i="1"/>
  <c r="J680" i="1"/>
  <c r="B680" i="1"/>
  <c r="N679" i="1"/>
  <c r="M679" i="1"/>
  <c r="K679" i="1"/>
  <c r="J679" i="1"/>
  <c r="B679" i="1"/>
  <c r="N678" i="1"/>
  <c r="M678" i="1"/>
  <c r="K678" i="1"/>
  <c r="J678" i="1"/>
  <c r="B678" i="1"/>
  <c r="N677" i="1"/>
  <c r="M677" i="1"/>
  <c r="K677" i="1"/>
  <c r="J677" i="1"/>
  <c r="B677" i="1"/>
  <c r="N676" i="1"/>
  <c r="M676" i="1"/>
  <c r="K676" i="1"/>
  <c r="J676" i="1"/>
  <c r="B676" i="1"/>
  <c r="N675" i="1"/>
  <c r="M675" i="1"/>
  <c r="K675" i="1"/>
  <c r="J675" i="1"/>
  <c r="B675" i="1"/>
  <c r="N674" i="1"/>
  <c r="M674" i="1"/>
  <c r="K674" i="1"/>
  <c r="J674" i="1"/>
  <c r="B674" i="1"/>
  <c r="N673" i="1"/>
  <c r="M673" i="1"/>
  <c r="K673" i="1"/>
  <c r="J673" i="1"/>
  <c r="B673" i="1"/>
  <c r="N672" i="1"/>
  <c r="M672" i="1"/>
  <c r="K672" i="1"/>
  <c r="J672" i="1"/>
  <c r="B672" i="1"/>
  <c r="N671" i="1"/>
  <c r="M671" i="1"/>
  <c r="K671" i="1"/>
  <c r="J671" i="1"/>
  <c r="B671" i="1"/>
  <c r="N670" i="1"/>
  <c r="M670" i="1"/>
  <c r="K670" i="1"/>
  <c r="J670" i="1"/>
  <c r="B670" i="1"/>
  <c r="N669" i="1"/>
  <c r="M669" i="1"/>
  <c r="K669" i="1"/>
  <c r="J669" i="1"/>
  <c r="B669" i="1"/>
  <c r="N668" i="1"/>
  <c r="M668" i="1"/>
  <c r="K668" i="1"/>
  <c r="J668" i="1"/>
  <c r="B668" i="1"/>
  <c r="N667" i="1"/>
  <c r="M667" i="1"/>
  <c r="K667" i="1"/>
  <c r="J667" i="1"/>
  <c r="B667" i="1"/>
  <c r="N666" i="1"/>
  <c r="M666" i="1"/>
  <c r="K666" i="1"/>
  <c r="J666" i="1"/>
  <c r="B666" i="1"/>
  <c r="N692" i="1"/>
  <c r="M692" i="1"/>
  <c r="K692" i="1"/>
  <c r="J692" i="1"/>
  <c r="B692" i="1"/>
  <c r="N691" i="1"/>
  <c r="M691" i="1"/>
  <c r="K691" i="1"/>
  <c r="J691" i="1"/>
  <c r="B691" i="1"/>
  <c r="N690" i="1"/>
  <c r="M690" i="1"/>
  <c r="K690" i="1"/>
  <c r="J690" i="1"/>
  <c r="B690" i="1"/>
  <c r="N689" i="1"/>
  <c r="M689" i="1"/>
  <c r="K689" i="1"/>
  <c r="J689" i="1"/>
  <c r="B689" i="1"/>
  <c r="N688" i="1"/>
  <c r="M688" i="1"/>
  <c r="K688" i="1"/>
  <c r="J688" i="1"/>
  <c r="B688" i="1"/>
  <c r="N687" i="1"/>
  <c r="M687" i="1"/>
  <c r="K687" i="1"/>
  <c r="J687" i="1"/>
  <c r="B687" i="1"/>
  <c r="N686" i="1"/>
  <c r="M686" i="1"/>
  <c r="K686" i="1"/>
  <c r="J686" i="1"/>
  <c r="B686" i="1"/>
  <c r="N685" i="1"/>
  <c r="M685" i="1"/>
  <c r="K685" i="1"/>
  <c r="J685" i="1"/>
  <c r="B685" i="1"/>
  <c r="N684" i="1"/>
  <c r="M684" i="1"/>
  <c r="K684" i="1"/>
  <c r="J684" i="1"/>
  <c r="B684" i="1"/>
  <c r="N683" i="1"/>
  <c r="M683" i="1"/>
  <c r="K683" i="1"/>
  <c r="J683" i="1"/>
  <c r="B683" i="1"/>
  <c r="N682" i="1"/>
  <c r="M682" i="1"/>
  <c r="K682" i="1"/>
  <c r="J682" i="1"/>
  <c r="B682" i="1"/>
  <c r="N681" i="1"/>
  <c r="M681" i="1"/>
  <c r="K681" i="1"/>
  <c r="J681" i="1"/>
  <c r="B681" i="1"/>
  <c r="N693" i="1"/>
  <c r="M693" i="1"/>
  <c r="K693" i="1"/>
  <c r="J693" i="1"/>
  <c r="B693" i="1"/>
  <c r="N704" i="1"/>
  <c r="M704" i="1"/>
  <c r="K704" i="1"/>
  <c r="J704" i="1"/>
  <c r="B704" i="1"/>
  <c r="N703" i="1"/>
  <c r="M703" i="1"/>
  <c r="K703" i="1"/>
  <c r="J703" i="1"/>
  <c r="B703" i="1"/>
  <c r="N702" i="1"/>
  <c r="M702" i="1"/>
  <c r="K702" i="1"/>
  <c r="J702" i="1"/>
  <c r="B702" i="1"/>
  <c r="N701" i="1"/>
  <c r="M701" i="1"/>
  <c r="K701" i="1"/>
  <c r="J701" i="1"/>
  <c r="B701" i="1"/>
  <c r="N700" i="1"/>
  <c r="M700" i="1"/>
  <c r="K700" i="1"/>
  <c r="J700" i="1"/>
  <c r="B700" i="1"/>
  <c r="N699" i="1"/>
  <c r="M699" i="1"/>
  <c r="K699" i="1"/>
  <c r="J699" i="1"/>
  <c r="B699" i="1"/>
  <c r="N698" i="1"/>
  <c r="M698" i="1"/>
  <c r="K698" i="1"/>
  <c r="J698" i="1"/>
  <c r="B698" i="1"/>
  <c r="N697" i="1"/>
  <c r="M697" i="1"/>
  <c r="K697" i="1"/>
  <c r="J697" i="1"/>
  <c r="B697" i="1"/>
  <c r="N696" i="1"/>
  <c r="M696" i="1"/>
  <c r="K696" i="1"/>
  <c r="J696" i="1"/>
  <c r="B696" i="1"/>
  <c r="N695" i="1"/>
  <c r="M695" i="1"/>
  <c r="K695" i="1"/>
  <c r="J695" i="1"/>
  <c r="B695" i="1"/>
  <c r="N694" i="1"/>
  <c r="M694" i="1"/>
  <c r="K694" i="1"/>
  <c r="J694" i="1"/>
  <c r="B694" i="1"/>
  <c r="N720" i="1"/>
  <c r="M720" i="1"/>
  <c r="K720" i="1"/>
  <c r="J720" i="1"/>
  <c r="B720" i="1"/>
  <c r="N719" i="1"/>
  <c r="M719" i="1"/>
  <c r="K719" i="1"/>
  <c r="J719" i="1"/>
  <c r="B719" i="1"/>
  <c r="N718" i="1"/>
  <c r="M718" i="1"/>
  <c r="K718" i="1"/>
  <c r="J718" i="1"/>
  <c r="B718" i="1"/>
  <c r="N717" i="1"/>
  <c r="M717" i="1"/>
  <c r="K717" i="1"/>
  <c r="J717" i="1"/>
  <c r="B717" i="1"/>
  <c r="N716" i="1"/>
  <c r="M716" i="1"/>
  <c r="K716" i="1"/>
  <c r="J716" i="1"/>
  <c r="B716" i="1"/>
  <c r="N715" i="1"/>
  <c r="M715" i="1"/>
  <c r="K715" i="1"/>
  <c r="J715" i="1"/>
  <c r="B715" i="1"/>
  <c r="N714" i="1"/>
  <c r="M714" i="1"/>
  <c r="K714" i="1"/>
  <c r="J714" i="1"/>
  <c r="B714" i="1"/>
  <c r="N713" i="1"/>
  <c r="M713" i="1"/>
  <c r="K713" i="1"/>
  <c r="J713" i="1"/>
  <c r="B713" i="1"/>
  <c r="N712" i="1"/>
  <c r="M712" i="1"/>
  <c r="K712" i="1"/>
  <c r="J712" i="1"/>
  <c r="B712" i="1"/>
  <c r="N711" i="1"/>
  <c r="M711" i="1"/>
  <c r="K711" i="1"/>
  <c r="J711" i="1"/>
  <c r="B711" i="1"/>
  <c r="N710" i="1"/>
  <c r="M710" i="1"/>
  <c r="K710" i="1"/>
  <c r="J710" i="1"/>
  <c r="B710" i="1"/>
  <c r="N709" i="1"/>
  <c r="M709" i="1"/>
  <c r="K709" i="1"/>
  <c r="J709" i="1"/>
  <c r="B709" i="1"/>
  <c r="N708" i="1"/>
  <c r="M708" i="1"/>
  <c r="K708" i="1"/>
  <c r="J708" i="1"/>
  <c r="B708" i="1"/>
  <c r="N707" i="1"/>
  <c r="M707" i="1"/>
  <c r="K707" i="1"/>
  <c r="J707" i="1"/>
  <c r="B707" i="1"/>
  <c r="N706" i="1"/>
  <c r="M706" i="1"/>
  <c r="K706" i="1"/>
  <c r="J706" i="1"/>
  <c r="B706" i="1"/>
  <c r="N705" i="1"/>
  <c r="M705" i="1"/>
  <c r="K705" i="1"/>
  <c r="J705" i="1"/>
  <c r="B705" i="1"/>
  <c r="N725" i="1"/>
  <c r="M725" i="1"/>
  <c r="K725" i="1"/>
  <c r="J725" i="1"/>
  <c r="B725" i="1"/>
  <c r="N724" i="1"/>
  <c r="M724" i="1"/>
  <c r="K724" i="1"/>
  <c r="J724" i="1"/>
  <c r="B724" i="1"/>
  <c r="N723" i="1"/>
  <c r="M723" i="1"/>
  <c r="K723" i="1"/>
  <c r="J723" i="1"/>
  <c r="B723" i="1"/>
  <c r="N722" i="1"/>
  <c r="M722" i="1"/>
  <c r="K722" i="1"/>
  <c r="J722" i="1"/>
  <c r="B722" i="1"/>
  <c r="N721" i="1"/>
  <c r="M721" i="1"/>
  <c r="K721" i="1"/>
  <c r="J721" i="1"/>
  <c r="B721" i="1"/>
  <c r="N737" i="1"/>
  <c r="M737" i="1"/>
  <c r="K737" i="1"/>
  <c r="J737" i="1"/>
  <c r="B737" i="1"/>
  <c r="N736" i="1"/>
  <c r="M736" i="1"/>
  <c r="K736" i="1"/>
  <c r="J736" i="1"/>
  <c r="B736" i="1"/>
  <c r="N735" i="1"/>
  <c r="M735" i="1"/>
  <c r="K735" i="1"/>
  <c r="J735" i="1"/>
  <c r="B735" i="1"/>
  <c r="N734" i="1"/>
  <c r="M734" i="1"/>
  <c r="K734" i="1"/>
  <c r="J734" i="1"/>
  <c r="B734" i="1"/>
  <c r="N733" i="1"/>
  <c r="M733" i="1"/>
  <c r="K733" i="1"/>
  <c r="J733" i="1"/>
  <c r="B733" i="1"/>
  <c r="N732" i="1"/>
  <c r="M732" i="1"/>
  <c r="K732" i="1"/>
  <c r="J732" i="1"/>
  <c r="B732" i="1"/>
  <c r="N731" i="1"/>
  <c r="M731" i="1"/>
  <c r="K731" i="1"/>
  <c r="J731" i="1"/>
  <c r="B731" i="1"/>
  <c r="N730" i="1"/>
  <c r="M730" i="1"/>
  <c r="K730" i="1"/>
  <c r="J730" i="1"/>
  <c r="B730" i="1"/>
  <c r="N729" i="1"/>
  <c r="M729" i="1"/>
  <c r="K729" i="1"/>
  <c r="J729" i="1"/>
  <c r="B729" i="1"/>
  <c r="N728" i="1"/>
  <c r="M728" i="1"/>
  <c r="K728" i="1"/>
  <c r="J728" i="1"/>
  <c r="B728" i="1"/>
  <c r="N727" i="1"/>
  <c r="M727" i="1"/>
  <c r="K727" i="1"/>
  <c r="J727" i="1"/>
  <c r="B727" i="1"/>
  <c r="N726" i="1"/>
  <c r="M726" i="1"/>
  <c r="K726" i="1"/>
  <c r="J726" i="1"/>
  <c r="B726" i="1"/>
  <c r="N747" i="1"/>
  <c r="M747" i="1"/>
  <c r="K747" i="1"/>
  <c r="J747" i="1"/>
  <c r="B747" i="1"/>
  <c r="N746" i="1"/>
  <c r="M746" i="1"/>
  <c r="K746" i="1"/>
  <c r="J746" i="1"/>
  <c r="B746" i="1"/>
  <c r="N745" i="1"/>
  <c r="M745" i="1"/>
  <c r="K745" i="1"/>
  <c r="J745" i="1"/>
  <c r="B745" i="1"/>
  <c r="N744" i="1"/>
  <c r="M744" i="1"/>
  <c r="K744" i="1"/>
  <c r="J744" i="1"/>
  <c r="B744" i="1"/>
  <c r="N743" i="1"/>
  <c r="M743" i="1"/>
  <c r="K743" i="1"/>
  <c r="J743" i="1"/>
  <c r="B743" i="1"/>
  <c r="N742" i="1"/>
  <c r="M742" i="1"/>
  <c r="K742" i="1"/>
  <c r="J742" i="1"/>
  <c r="B742" i="1"/>
  <c r="N741" i="1"/>
  <c r="M741" i="1"/>
  <c r="K741" i="1"/>
  <c r="J741" i="1"/>
  <c r="B741" i="1"/>
  <c r="N740" i="1"/>
  <c r="M740" i="1"/>
  <c r="K740" i="1"/>
  <c r="J740" i="1"/>
  <c r="B740" i="1"/>
  <c r="N739" i="1"/>
  <c r="M739" i="1"/>
  <c r="K739" i="1"/>
  <c r="J739" i="1"/>
  <c r="B739" i="1"/>
  <c r="N738" i="1"/>
  <c r="M738" i="1"/>
  <c r="K738" i="1"/>
  <c r="J738" i="1"/>
  <c r="B738" i="1"/>
  <c r="N754" i="1"/>
  <c r="M754" i="1"/>
  <c r="K754" i="1"/>
  <c r="J754" i="1"/>
  <c r="B754" i="1"/>
  <c r="N753" i="1"/>
  <c r="M753" i="1"/>
  <c r="K753" i="1"/>
  <c r="J753" i="1"/>
  <c r="B753" i="1"/>
  <c r="N752" i="1"/>
  <c r="M752" i="1"/>
  <c r="K752" i="1"/>
  <c r="J752" i="1"/>
  <c r="B752" i="1"/>
  <c r="N751" i="1"/>
  <c r="M751" i="1"/>
  <c r="K751" i="1"/>
  <c r="J751" i="1"/>
  <c r="B751" i="1"/>
  <c r="N750" i="1"/>
  <c r="M750" i="1"/>
  <c r="K750" i="1"/>
  <c r="J750" i="1"/>
  <c r="B750" i="1"/>
  <c r="N749" i="1"/>
  <c r="M749" i="1"/>
  <c r="K749" i="1"/>
  <c r="J749" i="1"/>
  <c r="B749" i="1"/>
  <c r="N748" i="1"/>
  <c r="M748" i="1"/>
  <c r="K748" i="1"/>
  <c r="J748" i="1"/>
  <c r="B748" i="1"/>
  <c r="N766" i="1"/>
  <c r="M766" i="1"/>
  <c r="K766" i="1"/>
  <c r="J766" i="1"/>
  <c r="B766" i="1"/>
  <c r="N765" i="1"/>
  <c r="M765" i="1"/>
  <c r="K765" i="1"/>
  <c r="J765" i="1"/>
  <c r="B765" i="1"/>
  <c r="N764" i="1"/>
  <c r="M764" i="1"/>
  <c r="K764" i="1"/>
  <c r="J764" i="1"/>
  <c r="B764" i="1"/>
  <c r="N763" i="1"/>
  <c r="M763" i="1"/>
  <c r="K763" i="1"/>
  <c r="J763" i="1"/>
  <c r="B763" i="1"/>
  <c r="N762" i="1"/>
  <c r="M762" i="1"/>
  <c r="K762" i="1"/>
  <c r="J762" i="1"/>
  <c r="B762" i="1"/>
  <c r="N761" i="1"/>
  <c r="M761" i="1"/>
  <c r="K761" i="1"/>
  <c r="J761" i="1"/>
  <c r="B761" i="1"/>
  <c r="N760" i="1"/>
  <c r="M760" i="1"/>
  <c r="K760" i="1"/>
  <c r="J760" i="1"/>
  <c r="B760" i="1"/>
  <c r="N759" i="1"/>
  <c r="M759" i="1"/>
  <c r="K759" i="1"/>
  <c r="J759" i="1"/>
  <c r="B759" i="1"/>
  <c r="N758" i="1"/>
  <c r="M758" i="1"/>
  <c r="K758" i="1"/>
  <c r="J758" i="1"/>
  <c r="B758" i="1"/>
  <c r="N757" i="1"/>
  <c r="M757" i="1"/>
  <c r="K757" i="1"/>
  <c r="J757" i="1"/>
  <c r="B757" i="1"/>
  <c r="N756" i="1"/>
  <c r="M756" i="1"/>
  <c r="K756" i="1"/>
  <c r="J756" i="1"/>
  <c r="B756" i="1"/>
  <c r="N755" i="1"/>
  <c r="M755" i="1"/>
  <c r="K755" i="1"/>
  <c r="J755" i="1"/>
  <c r="B755" i="1"/>
  <c r="N781" i="1"/>
  <c r="M781" i="1"/>
  <c r="K781" i="1"/>
  <c r="J781" i="1"/>
  <c r="B781" i="1"/>
  <c r="N780" i="1"/>
  <c r="M780" i="1"/>
  <c r="K780" i="1"/>
  <c r="J780" i="1"/>
  <c r="B780" i="1"/>
  <c r="N779" i="1"/>
  <c r="M779" i="1"/>
  <c r="K779" i="1"/>
  <c r="J779" i="1"/>
  <c r="B779" i="1"/>
  <c r="N778" i="1"/>
  <c r="M778" i="1"/>
  <c r="K778" i="1"/>
  <c r="J778" i="1"/>
  <c r="B778" i="1"/>
  <c r="N777" i="1"/>
  <c r="M777" i="1"/>
  <c r="K777" i="1"/>
  <c r="J777" i="1"/>
  <c r="B777" i="1"/>
  <c r="N776" i="1"/>
  <c r="M776" i="1"/>
  <c r="K776" i="1"/>
  <c r="J776" i="1"/>
  <c r="B776" i="1"/>
  <c r="N775" i="1"/>
  <c r="M775" i="1"/>
  <c r="K775" i="1"/>
  <c r="J775" i="1"/>
  <c r="B775" i="1"/>
  <c r="N774" i="1"/>
  <c r="M774" i="1"/>
  <c r="K774" i="1"/>
  <c r="J774" i="1"/>
  <c r="B774" i="1"/>
  <c r="N773" i="1"/>
  <c r="M773" i="1"/>
  <c r="K773" i="1"/>
  <c r="J773" i="1"/>
  <c r="B773" i="1"/>
  <c r="N772" i="1"/>
  <c r="M772" i="1"/>
  <c r="K772" i="1"/>
  <c r="J772" i="1"/>
  <c r="B772" i="1"/>
  <c r="N771" i="1"/>
  <c r="M771" i="1"/>
  <c r="K771" i="1"/>
  <c r="J771" i="1"/>
  <c r="B771" i="1"/>
  <c r="N770" i="1"/>
  <c r="M770" i="1"/>
  <c r="K770" i="1"/>
  <c r="J770" i="1"/>
  <c r="B770" i="1"/>
  <c r="N769" i="1"/>
  <c r="M769" i="1"/>
  <c r="K769" i="1"/>
  <c r="J769" i="1"/>
  <c r="B769" i="1"/>
  <c r="N768" i="1"/>
  <c r="M768" i="1"/>
  <c r="K768" i="1"/>
  <c r="J768" i="1"/>
  <c r="B768" i="1"/>
  <c r="N767" i="1"/>
  <c r="M767" i="1"/>
  <c r="K767" i="1"/>
  <c r="J767" i="1"/>
  <c r="B767" i="1"/>
  <c r="N796" i="1"/>
  <c r="M796" i="1"/>
  <c r="K796" i="1"/>
  <c r="J796" i="1"/>
  <c r="B796" i="1"/>
  <c r="N795" i="1"/>
  <c r="M795" i="1"/>
  <c r="K795" i="1"/>
  <c r="J795" i="1"/>
  <c r="B795" i="1"/>
  <c r="N794" i="1"/>
  <c r="M794" i="1"/>
  <c r="K794" i="1"/>
  <c r="J794" i="1"/>
  <c r="B794" i="1"/>
  <c r="N793" i="1"/>
  <c r="M793" i="1"/>
  <c r="K793" i="1"/>
  <c r="J793" i="1"/>
  <c r="B793" i="1"/>
  <c r="N792" i="1"/>
  <c r="M792" i="1"/>
  <c r="K792" i="1"/>
  <c r="J792" i="1"/>
  <c r="B792" i="1"/>
  <c r="N791" i="1"/>
  <c r="M791" i="1"/>
  <c r="K791" i="1"/>
  <c r="J791" i="1"/>
  <c r="B791" i="1"/>
  <c r="N790" i="1"/>
  <c r="M790" i="1"/>
  <c r="K790" i="1"/>
  <c r="J790" i="1"/>
  <c r="B790" i="1"/>
  <c r="N789" i="1"/>
  <c r="M789" i="1"/>
  <c r="K789" i="1"/>
  <c r="J789" i="1"/>
  <c r="B789" i="1"/>
  <c r="N788" i="1"/>
  <c r="M788" i="1"/>
  <c r="K788" i="1"/>
  <c r="J788" i="1"/>
  <c r="B788" i="1"/>
  <c r="N787" i="1"/>
  <c r="M787" i="1"/>
  <c r="K787" i="1"/>
  <c r="J787" i="1"/>
  <c r="B787" i="1"/>
  <c r="N786" i="1"/>
  <c r="M786" i="1"/>
  <c r="K786" i="1"/>
  <c r="J786" i="1"/>
  <c r="B786" i="1"/>
  <c r="N785" i="1"/>
  <c r="M785" i="1"/>
  <c r="K785" i="1"/>
  <c r="J785" i="1"/>
  <c r="B785" i="1"/>
  <c r="N784" i="1"/>
  <c r="M784" i="1"/>
  <c r="K784" i="1"/>
  <c r="J784" i="1"/>
  <c r="B784" i="1"/>
  <c r="N783" i="1"/>
  <c r="M783" i="1"/>
  <c r="K783" i="1"/>
  <c r="J783" i="1"/>
  <c r="B783" i="1"/>
  <c r="N782" i="1"/>
  <c r="M782" i="1"/>
  <c r="K782" i="1"/>
  <c r="J782" i="1"/>
  <c r="B782" i="1"/>
  <c r="N804" i="1"/>
  <c r="M804" i="1"/>
  <c r="K804" i="1"/>
  <c r="J804" i="1"/>
  <c r="B804" i="1"/>
  <c r="N803" i="1"/>
  <c r="M803" i="1"/>
  <c r="K803" i="1"/>
  <c r="J803" i="1"/>
  <c r="B803" i="1"/>
  <c r="N802" i="1"/>
  <c r="M802" i="1"/>
  <c r="K802" i="1"/>
  <c r="J802" i="1"/>
  <c r="B802" i="1"/>
  <c r="N801" i="1"/>
  <c r="M801" i="1"/>
  <c r="K801" i="1"/>
  <c r="J801" i="1"/>
  <c r="B801" i="1"/>
  <c r="N800" i="1"/>
  <c r="M800" i="1"/>
  <c r="K800" i="1"/>
  <c r="J800" i="1"/>
  <c r="B800" i="1"/>
  <c r="N799" i="1"/>
  <c r="M799" i="1"/>
  <c r="K799" i="1"/>
  <c r="J799" i="1"/>
  <c r="B799" i="1"/>
  <c r="N798" i="1"/>
  <c r="M798" i="1"/>
  <c r="K798" i="1"/>
  <c r="J798" i="1"/>
  <c r="B798" i="1"/>
  <c r="N797" i="1"/>
  <c r="M797" i="1"/>
  <c r="K797" i="1"/>
  <c r="J797" i="1"/>
  <c r="B797" i="1"/>
  <c r="N815" i="1"/>
  <c r="M815" i="1"/>
  <c r="K815" i="1"/>
  <c r="J815" i="1"/>
  <c r="B815" i="1"/>
  <c r="N814" i="1"/>
  <c r="M814" i="1"/>
  <c r="K814" i="1"/>
  <c r="J814" i="1"/>
  <c r="B814" i="1"/>
  <c r="N813" i="1"/>
  <c r="M813" i="1"/>
  <c r="K813" i="1"/>
  <c r="J813" i="1"/>
  <c r="B813" i="1"/>
  <c r="N812" i="1"/>
  <c r="M812" i="1"/>
  <c r="K812" i="1"/>
  <c r="J812" i="1"/>
  <c r="B812" i="1"/>
  <c r="N811" i="1"/>
  <c r="M811" i="1"/>
  <c r="K811" i="1"/>
  <c r="J811" i="1"/>
  <c r="B811" i="1"/>
  <c r="N810" i="1"/>
  <c r="M810" i="1"/>
  <c r="K810" i="1"/>
  <c r="J810" i="1"/>
  <c r="B810" i="1"/>
  <c r="N809" i="1"/>
  <c r="M809" i="1"/>
  <c r="K809" i="1"/>
  <c r="J809" i="1"/>
  <c r="B809" i="1"/>
  <c r="N808" i="1"/>
  <c r="M808" i="1"/>
  <c r="K808" i="1"/>
  <c r="J808" i="1"/>
  <c r="B808" i="1"/>
  <c r="N807" i="1"/>
  <c r="M807" i="1"/>
  <c r="K807" i="1"/>
  <c r="J807" i="1"/>
  <c r="B807" i="1"/>
  <c r="N806" i="1"/>
  <c r="M806" i="1"/>
  <c r="K806" i="1"/>
  <c r="J806" i="1"/>
  <c r="B806" i="1"/>
  <c r="N805" i="1"/>
  <c r="M805" i="1"/>
  <c r="K805" i="1"/>
  <c r="J805" i="1"/>
  <c r="B805" i="1"/>
  <c r="N818" i="1"/>
  <c r="M818" i="1"/>
  <c r="K818" i="1"/>
  <c r="J818" i="1"/>
  <c r="B818" i="1"/>
  <c r="N817" i="1"/>
  <c r="M817" i="1"/>
  <c r="K817" i="1"/>
  <c r="J817" i="1"/>
  <c r="B817" i="1"/>
  <c r="N816" i="1"/>
  <c r="M816" i="1"/>
  <c r="K816" i="1"/>
  <c r="J816" i="1"/>
  <c r="B816" i="1"/>
  <c r="N827" i="1"/>
  <c r="M827" i="1"/>
  <c r="K827" i="1"/>
  <c r="J827" i="1"/>
  <c r="B827" i="1"/>
  <c r="N826" i="1"/>
  <c r="M826" i="1"/>
  <c r="K826" i="1"/>
  <c r="J826" i="1"/>
  <c r="B826" i="1"/>
  <c r="N825" i="1"/>
  <c r="M825" i="1"/>
  <c r="K825" i="1"/>
  <c r="J825" i="1"/>
  <c r="B825" i="1"/>
  <c r="N824" i="1"/>
  <c r="M824" i="1"/>
  <c r="K824" i="1"/>
  <c r="J824" i="1"/>
  <c r="B824" i="1"/>
  <c r="N823" i="1"/>
  <c r="M823" i="1"/>
  <c r="K823" i="1"/>
  <c r="J823" i="1"/>
  <c r="B823" i="1"/>
  <c r="N822" i="1"/>
  <c r="M822" i="1"/>
  <c r="K822" i="1"/>
  <c r="J822" i="1"/>
  <c r="B822" i="1"/>
  <c r="N821" i="1"/>
  <c r="M821" i="1"/>
  <c r="K821" i="1"/>
  <c r="J821" i="1"/>
  <c r="B821" i="1"/>
  <c r="N820" i="1"/>
  <c r="M820" i="1"/>
  <c r="K820" i="1"/>
  <c r="J820" i="1"/>
  <c r="B820" i="1"/>
  <c r="N819" i="1"/>
  <c r="M819" i="1"/>
  <c r="K819" i="1"/>
  <c r="J819" i="1"/>
  <c r="B819" i="1"/>
  <c r="N841" i="1"/>
  <c r="M841" i="1"/>
  <c r="K841" i="1"/>
  <c r="J841" i="1"/>
  <c r="B841" i="1"/>
  <c r="N840" i="1"/>
  <c r="M840" i="1"/>
  <c r="K840" i="1"/>
  <c r="J840" i="1"/>
  <c r="B840" i="1"/>
  <c r="N839" i="1"/>
  <c r="M839" i="1"/>
  <c r="K839" i="1"/>
  <c r="J839" i="1"/>
  <c r="B839" i="1"/>
  <c r="N838" i="1"/>
  <c r="M838" i="1"/>
  <c r="K838" i="1"/>
  <c r="J838" i="1"/>
  <c r="B838" i="1"/>
  <c r="N837" i="1"/>
  <c r="M837" i="1"/>
  <c r="K837" i="1"/>
  <c r="J837" i="1"/>
  <c r="B837" i="1"/>
  <c r="N836" i="1"/>
  <c r="M836" i="1"/>
  <c r="K836" i="1"/>
  <c r="J836" i="1"/>
  <c r="B836" i="1"/>
  <c r="N835" i="1"/>
  <c r="M835" i="1"/>
  <c r="K835" i="1"/>
  <c r="J835" i="1"/>
  <c r="B835" i="1"/>
  <c r="N834" i="1"/>
  <c r="M834" i="1"/>
  <c r="K834" i="1"/>
  <c r="J834" i="1"/>
  <c r="B834" i="1"/>
  <c r="N833" i="1"/>
  <c r="M833" i="1"/>
  <c r="K833" i="1"/>
  <c r="J833" i="1"/>
  <c r="B833" i="1"/>
  <c r="N832" i="1"/>
  <c r="M832" i="1"/>
  <c r="K832" i="1"/>
  <c r="J832" i="1"/>
  <c r="B832" i="1"/>
  <c r="N831" i="1"/>
  <c r="M831" i="1"/>
  <c r="K831" i="1"/>
  <c r="J831" i="1"/>
  <c r="B831" i="1"/>
  <c r="N830" i="1"/>
  <c r="M830" i="1"/>
  <c r="K830" i="1"/>
  <c r="J830" i="1"/>
  <c r="B830" i="1"/>
  <c r="N829" i="1"/>
  <c r="M829" i="1"/>
  <c r="K829" i="1"/>
  <c r="J829" i="1"/>
  <c r="B829" i="1"/>
  <c r="N828" i="1"/>
  <c r="M828" i="1"/>
  <c r="K828" i="1"/>
  <c r="J828" i="1"/>
  <c r="B828" i="1"/>
  <c r="N849" i="1"/>
  <c r="M849" i="1"/>
  <c r="K849" i="1"/>
  <c r="J849" i="1"/>
  <c r="B849" i="1"/>
  <c r="N848" i="1"/>
  <c r="M848" i="1"/>
  <c r="K848" i="1"/>
  <c r="J848" i="1"/>
  <c r="B848" i="1"/>
  <c r="N847" i="1"/>
  <c r="M847" i="1"/>
  <c r="K847" i="1"/>
  <c r="J847" i="1"/>
  <c r="B847" i="1"/>
  <c r="N846" i="1"/>
  <c r="M846" i="1"/>
  <c r="K846" i="1"/>
  <c r="J846" i="1"/>
  <c r="B846" i="1"/>
  <c r="N845" i="1"/>
  <c r="M845" i="1"/>
  <c r="K845" i="1"/>
  <c r="J845" i="1"/>
  <c r="B845" i="1"/>
  <c r="N844" i="1"/>
  <c r="M844" i="1"/>
  <c r="K844" i="1"/>
  <c r="J844" i="1"/>
  <c r="B844" i="1"/>
  <c r="N843" i="1"/>
  <c r="M843" i="1"/>
  <c r="K843" i="1"/>
  <c r="J843" i="1"/>
  <c r="B843" i="1"/>
  <c r="N842" i="1"/>
  <c r="M842" i="1"/>
  <c r="K842" i="1"/>
  <c r="J842" i="1"/>
  <c r="B842" i="1"/>
  <c r="N864" i="1"/>
  <c r="M864" i="1"/>
  <c r="K864" i="1"/>
  <c r="J864" i="1"/>
  <c r="B864" i="1"/>
  <c r="N863" i="1"/>
  <c r="M863" i="1"/>
  <c r="K863" i="1"/>
  <c r="J863" i="1"/>
  <c r="B863" i="1"/>
  <c r="N862" i="1"/>
  <c r="M862" i="1"/>
  <c r="K862" i="1"/>
  <c r="J862" i="1"/>
  <c r="B862" i="1"/>
  <c r="N861" i="1"/>
  <c r="M861" i="1"/>
  <c r="K861" i="1"/>
  <c r="J861" i="1"/>
  <c r="B861" i="1"/>
  <c r="N860" i="1"/>
  <c r="M860" i="1"/>
  <c r="K860" i="1"/>
  <c r="J860" i="1"/>
  <c r="B860" i="1"/>
  <c r="N859" i="1"/>
  <c r="M859" i="1"/>
  <c r="K859" i="1"/>
  <c r="J859" i="1"/>
  <c r="B859" i="1"/>
  <c r="N858" i="1"/>
  <c r="M858" i="1"/>
  <c r="K858" i="1"/>
  <c r="J858" i="1"/>
  <c r="B858" i="1"/>
  <c r="N857" i="1"/>
  <c r="M857" i="1"/>
  <c r="K857" i="1"/>
  <c r="J857" i="1"/>
  <c r="B857" i="1"/>
  <c r="N856" i="1"/>
  <c r="M856" i="1"/>
  <c r="K856" i="1"/>
  <c r="J856" i="1"/>
  <c r="B856" i="1"/>
  <c r="N855" i="1"/>
  <c r="M855" i="1"/>
  <c r="K855" i="1"/>
  <c r="J855" i="1"/>
  <c r="B855" i="1"/>
  <c r="N854" i="1"/>
  <c r="M854" i="1"/>
  <c r="K854" i="1"/>
  <c r="J854" i="1"/>
  <c r="B854" i="1"/>
  <c r="N853" i="1"/>
  <c r="M853" i="1"/>
  <c r="K853" i="1"/>
  <c r="J853" i="1"/>
  <c r="B853" i="1"/>
  <c r="N852" i="1"/>
  <c r="M852" i="1"/>
  <c r="K852" i="1"/>
  <c r="J852" i="1"/>
  <c r="B852" i="1"/>
  <c r="N851" i="1"/>
  <c r="M851" i="1"/>
  <c r="K851" i="1"/>
  <c r="J851" i="1"/>
  <c r="B851" i="1"/>
  <c r="N850" i="1"/>
  <c r="M850" i="1"/>
  <c r="K850" i="1"/>
  <c r="J850" i="1"/>
  <c r="B850" i="1"/>
  <c r="N876" i="1"/>
  <c r="M876" i="1"/>
  <c r="K876" i="1"/>
  <c r="J876" i="1"/>
  <c r="B876" i="1"/>
  <c r="N875" i="1"/>
  <c r="M875" i="1"/>
  <c r="K875" i="1"/>
  <c r="J875" i="1"/>
  <c r="B875" i="1"/>
  <c r="N874" i="1"/>
  <c r="M874" i="1"/>
  <c r="K874" i="1"/>
  <c r="J874" i="1"/>
  <c r="B874" i="1"/>
  <c r="N873" i="1"/>
  <c r="M873" i="1"/>
  <c r="K873" i="1"/>
  <c r="J873" i="1"/>
  <c r="B873" i="1"/>
  <c r="N872" i="1"/>
  <c r="M872" i="1"/>
  <c r="K872" i="1"/>
  <c r="J872" i="1"/>
  <c r="B872" i="1"/>
  <c r="N871" i="1"/>
  <c r="M871" i="1"/>
  <c r="K871" i="1"/>
  <c r="J871" i="1"/>
  <c r="B871" i="1"/>
  <c r="N870" i="1"/>
  <c r="M870" i="1"/>
  <c r="K870" i="1"/>
  <c r="J870" i="1"/>
  <c r="B870" i="1"/>
  <c r="N869" i="1"/>
  <c r="M869" i="1"/>
  <c r="K869" i="1"/>
  <c r="J869" i="1"/>
  <c r="B869" i="1"/>
  <c r="N868" i="1"/>
  <c r="M868" i="1"/>
  <c r="K868" i="1"/>
  <c r="J868" i="1"/>
  <c r="B868" i="1"/>
  <c r="N867" i="1"/>
  <c r="M867" i="1"/>
  <c r="K867" i="1"/>
  <c r="J867" i="1"/>
  <c r="B867" i="1"/>
  <c r="N866" i="1"/>
  <c r="M866" i="1"/>
  <c r="K866" i="1"/>
  <c r="J866" i="1"/>
  <c r="B866" i="1"/>
  <c r="N865" i="1"/>
  <c r="M865" i="1"/>
  <c r="K865" i="1"/>
  <c r="J865" i="1"/>
  <c r="B865" i="1"/>
  <c r="N878" i="1"/>
  <c r="M878" i="1"/>
  <c r="K878" i="1"/>
  <c r="J878" i="1"/>
  <c r="B878" i="1"/>
  <c r="N877" i="1"/>
  <c r="M877" i="1"/>
  <c r="K877" i="1"/>
  <c r="J877" i="1"/>
  <c r="B877" i="1"/>
  <c r="N885" i="1"/>
  <c r="M885" i="1"/>
  <c r="K885" i="1"/>
  <c r="J885" i="1"/>
  <c r="B885" i="1"/>
  <c r="N884" i="1"/>
  <c r="M884" i="1"/>
  <c r="K884" i="1"/>
  <c r="J884" i="1"/>
  <c r="B884" i="1"/>
  <c r="N883" i="1"/>
  <c r="M883" i="1"/>
  <c r="K883" i="1"/>
  <c r="J883" i="1"/>
  <c r="B883" i="1"/>
  <c r="N882" i="1"/>
  <c r="M882" i="1"/>
  <c r="K882" i="1"/>
  <c r="J882" i="1"/>
  <c r="B882" i="1"/>
  <c r="N881" i="1"/>
  <c r="M881" i="1"/>
  <c r="K881" i="1"/>
  <c r="J881" i="1"/>
  <c r="B881" i="1"/>
  <c r="N880" i="1"/>
  <c r="M880" i="1"/>
  <c r="K880" i="1"/>
  <c r="J880" i="1"/>
  <c r="B880" i="1"/>
  <c r="N879" i="1"/>
  <c r="M879" i="1"/>
  <c r="K879" i="1"/>
  <c r="J879" i="1"/>
  <c r="B879" i="1"/>
  <c r="N892" i="1"/>
  <c r="M892" i="1"/>
  <c r="K892" i="1"/>
  <c r="J892" i="1"/>
  <c r="B892" i="1"/>
  <c r="N891" i="1"/>
  <c r="M891" i="1"/>
  <c r="K891" i="1"/>
  <c r="J891" i="1"/>
  <c r="B891" i="1"/>
  <c r="N890" i="1"/>
  <c r="M890" i="1"/>
  <c r="K890" i="1"/>
  <c r="J890" i="1"/>
  <c r="B890" i="1"/>
  <c r="N889" i="1"/>
  <c r="M889" i="1"/>
  <c r="K889" i="1"/>
  <c r="J889" i="1"/>
  <c r="B889" i="1"/>
  <c r="N888" i="1"/>
  <c r="M888" i="1"/>
  <c r="K888" i="1"/>
  <c r="J888" i="1"/>
  <c r="B888" i="1"/>
  <c r="N887" i="1"/>
  <c r="M887" i="1"/>
  <c r="K887" i="1"/>
  <c r="J887" i="1"/>
  <c r="B887" i="1"/>
  <c r="N886" i="1"/>
  <c r="M886" i="1"/>
  <c r="K886" i="1"/>
  <c r="J886" i="1"/>
  <c r="B886" i="1"/>
  <c r="N897" i="1"/>
  <c r="M897" i="1"/>
  <c r="K897" i="1"/>
  <c r="J897" i="1"/>
  <c r="B897" i="1"/>
  <c r="N896" i="1"/>
  <c r="M896" i="1"/>
  <c r="K896" i="1"/>
  <c r="J896" i="1"/>
  <c r="B896" i="1"/>
  <c r="N895" i="1"/>
  <c r="M895" i="1"/>
  <c r="K895" i="1"/>
  <c r="J895" i="1"/>
  <c r="B895" i="1"/>
  <c r="N894" i="1"/>
  <c r="M894" i="1"/>
  <c r="K894" i="1"/>
  <c r="J894" i="1"/>
  <c r="B894" i="1"/>
  <c r="N893" i="1"/>
  <c r="M893" i="1"/>
  <c r="K893" i="1"/>
  <c r="J893" i="1"/>
  <c r="B893" i="1"/>
  <c r="N901" i="1"/>
  <c r="M901" i="1"/>
  <c r="K901" i="1"/>
  <c r="J901" i="1"/>
  <c r="B901" i="1"/>
  <c r="N900" i="1"/>
  <c r="M900" i="1"/>
  <c r="K900" i="1"/>
  <c r="J900" i="1"/>
  <c r="B900" i="1"/>
  <c r="N899" i="1"/>
  <c r="M899" i="1"/>
  <c r="K899" i="1"/>
  <c r="J899" i="1"/>
  <c r="B899" i="1"/>
  <c r="N898" i="1"/>
  <c r="M898" i="1"/>
  <c r="K898" i="1"/>
  <c r="J898" i="1"/>
  <c r="B898" i="1"/>
  <c r="N912" i="1"/>
  <c r="M912" i="1"/>
  <c r="K912" i="1"/>
  <c r="J912" i="1"/>
  <c r="B912" i="1"/>
  <c r="N911" i="1"/>
  <c r="M911" i="1"/>
  <c r="K911" i="1"/>
  <c r="J911" i="1"/>
  <c r="B911" i="1"/>
  <c r="N910" i="1"/>
  <c r="M910" i="1"/>
  <c r="K910" i="1"/>
  <c r="J910" i="1"/>
  <c r="B910" i="1"/>
  <c r="N909" i="1"/>
  <c r="M909" i="1"/>
  <c r="K909" i="1"/>
  <c r="J909" i="1"/>
  <c r="B909" i="1"/>
  <c r="N908" i="1"/>
  <c r="M908" i="1"/>
  <c r="K908" i="1"/>
  <c r="J908" i="1"/>
  <c r="B908" i="1"/>
  <c r="N907" i="1"/>
  <c r="M907" i="1"/>
  <c r="K907" i="1"/>
  <c r="J907" i="1"/>
  <c r="B907" i="1"/>
  <c r="N906" i="1"/>
  <c r="M906" i="1"/>
  <c r="K906" i="1"/>
  <c r="J906" i="1"/>
  <c r="B906" i="1"/>
  <c r="N905" i="1"/>
  <c r="M905" i="1"/>
  <c r="K905" i="1"/>
  <c r="J905" i="1"/>
  <c r="B905" i="1"/>
  <c r="N904" i="1"/>
  <c r="M904" i="1"/>
  <c r="K904" i="1"/>
  <c r="J904" i="1"/>
  <c r="B904" i="1"/>
  <c r="N903" i="1"/>
  <c r="M903" i="1"/>
  <c r="K903" i="1"/>
  <c r="J903" i="1"/>
  <c r="B903" i="1"/>
  <c r="N902" i="1"/>
  <c r="M902" i="1"/>
  <c r="K902" i="1"/>
  <c r="J902" i="1"/>
  <c r="B902" i="1"/>
  <c r="N916" i="1"/>
  <c r="M916" i="1"/>
  <c r="K916" i="1"/>
  <c r="J916" i="1"/>
  <c r="B916" i="1"/>
  <c r="N915" i="1"/>
  <c r="M915" i="1"/>
  <c r="K915" i="1"/>
  <c r="J915" i="1"/>
  <c r="B915" i="1"/>
  <c r="N914" i="1"/>
  <c r="M914" i="1"/>
  <c r="K914" i="1"/>
  <c r="J914" i="1"/>
  <c r="B914" i="1"/>
  <c r="N913" i="1"/>
  <c r="M913" i="1"/>
  <c r="K913" i="1"/>
  <c r="J913" i="1"/>
  <c r="B913" i="1"/>
  <c r="N923" i="1"/>
  <c r="M923" i="1"/>
  <c r="K923" i="1"/>
  <c r="J923" i="1"/>
  <c r="B923" i="1"/>
  <c r="N922" i="1"/>
  <c r="M922" i="1"/>
  <c r="K922" i="1"/>
  <c r="J922" i="1"/>
  <c r="B922" i="1"/>
  <c r="N921" i="1"/>
  <c r="M921" i="1"/>
  <c r="K921" i="1"/>
  <c r="J921" i="1"/>
  <c r="B921" i="1"/>
  <c r="N920" i="1"/>
  <c r="M920" i="1"/>
  <c r="K920" i="1"/>
  <c r="J920" i="1"/>
  <c r="B920" i="1"/>
  <c r="N919" i="1"/>
  <c r="M919" i="1"/>
  <c r="K919" i="1"/>
  <c r="J919" i="1"/>
  <c r="B919" i="1"/>
  <c r="N918" i="1"/>
  <c r="M918" i="1"/>
  <c r="K918" i="1"/>
  <c r="J918" i="1"/>
  <c r="B918" i="1"/>
  <c r="N917" i="1"/>
  <c r="M917" i="1"/>
  <c r="K917" i="1"/>
  <c r="J917" i="1"/>
  <c r="B917" i="1"/>
  <c r="N931" i="1"/>
  <c r="M931" i="1"/>
  <c r="K931" i="1"/>
  <c r="J931" i="1"/>
  <c r="B931" i="1"/>
  <c r="N930" i="1"/>
  <c r="M930" i="1"/>
  <c r="K930" i="1"/>
  <c r="J930" i="1"/>
  <c r="B930" i="1"/>
  <c r="N929" i="1"/>
  <c r="M929" i="1"/>
  <c r="K929" i="1"/>
  <c r="J929" i="1"/>
  <c r="B929" i="1"/>
  <c r="N928" i="1"/>
  <c r="M928" i="1"/>
  <c r="K928" i="1"/>
  <c r="J928" i="1"/>
  <c r="B928" i="1"/>
  <c r="N927" i="1"/>
  <c r="M927" i="1"/>
  <c r="K927" i="1"/>
  <c r="J927" i="1"/>
  <c r="B927" i="1"/>
  <c r="N926" i="1"/>
  <c r="M926" i="1"/>
  <c r="K926" i="1"/>
  <c r="J926" i="1"/>
  <c r="B926" i="1"/>
  <c r="N925" i="1"/>
  <c r="M925" i="1"/>
  <c r="K925" i="1"/>
  <c r="J925" i="1"/>
  <c r="B925" i="1"/>
  <c r="N924" i="1"/>
  <c r="M924" i="1"/>
  <c r="K924" i="1"/>
  <c r="J924" i="1"/>
  <c r="B924" i="1"/>
  <c r="N938" i="1"/>
  <c r="M938" i="1"/>
  <c r="K938" i="1"/>
  <c r="J938" i="1"/>
  <c r="B938" i="1"/>
  <c r="N937" i="1"/>
  <c r="M937" i="1"/>
  <c r="K937" i="1"/>
  <c r="J937" i="1"/>
  <c r="B937" i="1"/>
  <c r="N936" i="1"/>
  <c r="M936" i="1"/>
  <c r="K936" i="1"/>
  <c r="J936" i="1"/>
  <c r="B936" i="1"/>
  <c r="N935" i="1"/>
  <c r="M935" i="1"/>
  <c r="K935" i="1"/>
  <c r="J935" i="1"/>
  <c r="B935" i="1"/>
  <c r="N934" i="1"/>
  <c r="M934" i="1"/>
  <c r="K934" i="1"/>
  <c r="J934" i="1"/>
  <c r="B934" i="1"/>
  <c r="N933" i="1"/>
  <c r="M933" i="1"/>
  <c r="K933" i="1"/>
  <c r="J933" i="1"/>
  <c r="B933" i="1"/>
  <c r="N932" i="1"/>
  <c r="M932" i="1"/>
  <c r="K932" i="1"/>
  <c r="J932" i="1"/>
  <c r="B932" i="1"/>
  <c r="N952" i="1"/>
  <c r="M952" i="1"/>
  <c r="K952" i="1"/>
  <c r="J952" i="1"/>
  <c r="B952" i="1"/>
  <c r="N951" i="1"/>
  <c r="M951" i="1"/>
  <c r="K951" i="1"/>
  <c r="J951" i="1"/>
  <c r="B951" i="1"/>
  <c r="N950" i="1"/>
  <c r="M950" i="1"/>
  <c r="K950" i="1"/>
  <c r="J950" i="1"/>
  <c r="B950" i="1"/>
  <c r="N949" i="1"/>
  <c r="M949" i="1"/>
  <c r="K949" i="1"/>
  <c r="J949" i="1"/>
  <c r="B949" i="1"/>
  <c r="N948" i="1"/>
  <c r="M948" i="1"/>
  <c r="K948" i="1"/>
  <c r="J948" i="1"/>
  <c r="B948" i="1"/>
  <c r="N947" i="1"/>
  <c r="M947" i="1"/>
  <c r="K947" i="1"/>
  <c r="J947" i="1"/>
  <c r="B947" i="1"/>
  <c r="N946" i="1"/>
  <c r="M946" i="1"/>
  <c r="K946" i="1"/>
  <c r="J946" i="1"/>
  <c r="B946" i="1"/>
  <c r="N945" i="1"/>
  <c r="M945" i="1"/>
  <c r="K945" i="1"/>
  <c r="J945" i="1"/>
  <c r="B945" i="1"/>
  <c r="N944" i="1"/>
  <c r="M944" i="1"/>
  <c r="K944" i="1"/>
  <c r="J944" i="1"/>
  <c r="B944" i="1"/>
  <c r="N943" i="1"/>
  <c r="M943" i="1"/>
  <c r="K943" i="1"/>
  <c r="J943" i="1"/>
  <c r="B943" i="1"/>
  <c r="N942" i="1"/>
  <c r="M942" i="1"/>
  <c r="K942" i="1"/>
  <c r="J942" i="1"/>
  <c r="B942" i="1"/>
  <c r="N941" i="1"/>
  <c r="M941" i="1"/>
  <c r="K941" i="1"/>
  <c r="J941" i="1"/>
  <c r="B941" i="1"/>
  <c r="N940" i="1"/>
  <c r="M940" i="1"/>
  <c r="K940" i="1"/>
  <c r="J940" i="1"/>
  <c r="B940" i="1"/>
  <c r="N939" i="1"/>
  <c r="M939" i="1"/>
  <c r="K939" i="1"/>
  <c r="J939" i="1"/>
  <c r="B939" i="1"/>
  <c r="N960" i="1"/>
  <c r="M960" i="1"/>
  <c r="K960" i="1"/>
  <c r="J960" i="1"/>
  <c r="B960" i="1"/>
  <c r="N959" i="1"/>
  <c r="M959" i="1"/>
  <c r="K959" i="1"/>
  <c r="J959" i="1"/>
  <c r="B959" i="1"/>
  <c r="N958" i="1"/>
  <c r="M958" i="1"/>
  <c r="K958" i="1"/>
  <c r="J958" i="1"/>
  <c r="B958" i="1"/>
  <c r="N957" i="1"/>
  <c r="M957" i="1"/>
  <c r="K957" i="1"/>
  <c r="J957" i="1"/>
  <c r="B957" i="1"/>
  <c r="N956" i="1"/>
  <c r="M956" i="1"/>
  <c r="K956" i="1"/>
  <c r="J956" i="1"/>
  <c r="B956" i="1"/>
  <c r="N955" i="1"/>
  <c r="M955" i="1"/>
  <c r="K955" i="1"/>
  <c r="J955" i="1"/>
  <c r="B955" i="1"/>
  <c r="N954" i="1"/>
  <c r="M954" i="1"/>
  <c r="K954" i="1"/>
  <c r="J954" i="1"/>
  <c r="B954" i="1"/>
  <c r="N953" i="1"/>
  <c r="M953" i="1"/>
  <c r="K953" i="1"/>
  <c r="J953" i="1"/>
  <c r="B953" i="1"/>
  <c r="N964" i="1"/>
  <c r="M964" i="1"/>
  <c r="K964" i="1"/>
  <c r="J964" i="1"/>
  <c r="B964" i="1"/>
  <c r="N963" i="1"/>
  <c r="M963" i="1"/>
  <c r="K963" i="1"/>
  <c r="J963" i="1"/>
  <c r="B963" i="1"/>
  <c r="N962" i="1"/>
  <c r="M962" i="1"/>
  <c r="K962" i="1"/>
  <c r="J962" i="1"/>
  <c r="B962" i="1"/>
  <c r="N961" i="1"/>
  <c r="M961" i="1"/>
  <c r="K961" i="1"/>
  <c r="J961" i="1"/>
  <c r="B961" i="1"/>
  <c r="N972" i="1"/>
  <c r="M972" i="1"/>
  <c r="K972" i="1"/>
  <c r="J972" i="1"/>
  <c r="B972" i="1"/>
  <c r="N971" i="1"/>
  <c r="M971" i="1"/>
  <c r="K971" i="1"/>
  <c r="J971" i="1"/>
  <c r="B971" i="1"/>
  <c r="N970" i="1"/>
  <c r="M970" i="1"/>
  <c r="K970" i="1"/>
  <c r="J970" i="1"/>
  <c r="B970" i="1"/>
  <c r="N969" i="1"/>
  <c r="M969" i="1"/>
  <c r="K969" i="1"/>
  <c r="J969" i="1"/>
  <c r="B969" i="1"/>
  <c r="N968" i="1"/>
  <c r="M968" i="1"/>
  <c r="K968" i="1"/>
  <c r="J968" i="1"/>
  <c r="B968" i="1"/>
  <c r="N967" i="1"/>
  <c r="M967" i="1"/>
  <c r="K967" i="1"/>
  <c r="J967" i="1"/>
  <c r="B967" i="1"/>
  <c r="N966" i="1"/>
  <c r="M966" i="1"/>
  <c r="K966" i="1"/>
  <c r="J966" i="1"/>
  <c r="B966" i="1"/>
  <c r="N965" i="1"/>
  <c r="M965" i="1"/>
  <c r="K965" i="1"/>
  <c r="J965" i="1"/>
  <c r="B965" i="1"/>
  <c r="N988" i="1"/>
  <c r="M988" i="1"/>
  <c r="K988" i="1"/>
  <c r="J988" i="1"/>
  <c r="B988" i="1"/>
  <c r="N987" i="1"/>
  <c r="M987" i="1"/>
  <c r="K987" i="1"/>
  <c r="J987" i="1"/>
  <c r="B987" i="1"/>
  <c r="N986" i="1"/>
  <c r="M986" i="1"/>
  <c r="K986" i="1"/>
  <c r="J986" i="1"/>
  <c r="B986" i="1"/>
  <c r="N985" i="1"/>
  <c r="M985" i="1"/>
  <c r="K985" i="1"/>
  <c r="J985" i="1"/>
  <c r="B985" i="1"/>
  <c r="N984" i="1"/>
  <c r="M984" i="1"/>
  <c r="K984" i="1"/>
  <c r="J984" i="1"/>
  <c r="B984" i="1"/>
  <c r="N983" i="1"/>
  <c r="M983" i="1"/>
  <c r="K983" i="1"/>
  <c r="J983" i="1"/>
  <c r="B983" i="1"/>
  <c r="N982" i="1"/>
  <c r="M982" i="1"/>
  <c r="K982" i="1"/>
  <c r="J982" i="1"/>
  <c r="B982" i="1"/>
  <c r="N981" i="1"/>
  <c r="M981" i="1"/>
  <c r="K981" i="1"/>
  <c r="J981" i="1"/>
  <c r="B981" i="1"/>
  <c r="N980" i="1"/>
  <c r="M980" i="1"/>
  <c r="K980" i="1"/>
  <c r="J980" i="1"/>
  <c r="B980" i="1"/>
  <c r="N979" i="1"/>
  <c r="M979" i="1"/>
  <c r="K979" i="1"/>
  <c r="J979" i="1"/>
  <c r="B979" i="1"/>
  <c r="N978" i="1"/>
  <c r="M978" i="1"/>
  <c r="K978" i="1"/>
  <c r="J978" i="1"/>
  <c r="B978" i="1"/>
  <c r="N977" i="1"/>
  <c r="M977" i="1"/>
  <c r="K977" i="1"/>
  <c r="J977" i="1"/>
  <c r="B977" i="1"/>
  <c r="N976" i="1"/>
  <c r="M976" i="1"/>
  <c r="K976" i="1"/>
  <c r="J976" i="1"/>
  <c r="B976" i="1"/>
  <c r="N975" i="1"/>
  <c r="M975" i="1"/>
  <c r="K975" i="1"/>
  <c r="J975" i="1"/>
  <c r="B975" i="1"/>
  <c r="N974" i="1"/>
  <c r="M974" i="1"/>
  <c r="K974" i="1"/>
  <c r="J974" i="1"/>
  <c r="B974" i="1"/>
  <c r="N973" i="1"/>
  <c r="M973" i="1"/>
  <c r="K973" i="1"/>
  <c r="J973" i="1"/>
  <c r="B973" i="1"/>
  <c r="N999" i="1"/>
  <c r="M999" i="1"/>
  <c r="K999" i="1"/>
  <c r="J999" i="1"/>
  <c r="B999" i="1"/>
  <c r="N998" i="1"/>
  <c r="M998" i="1"/>
  <c r="K998" i="1"/>
  <c r="J998" i="1"/>
  <c r="B998" i="1"/>
  <c r="N997" i="1"/>
  <c r="M997" i="1"/>
  <c r="K997" i="1"/>
  <c r="J997" i="1"/>
  <c r="B997" i="1"/>
  <c r="N996" i="1"/>
  <c r="M996" i="1"/>
  <c r="K996" i="1"/>
  <c r="J996" i="1"/>
  <c r="B996" i="1"/>
  <c r="N995" i="1"/>
  <c r="M995" i="1"/>
  <c r="K995" i="1"/>
  <c r="J995" i="1"/>
  <c r="B995" i="1"/>
  <c r="N994" i="1"/>
  <c r="M994" i="1"/>
  <c r="K994" i="1"/>
  <c r="J994" i="1"/>
  <c r="B994" i="1"/>
  <c r="N993" i="1"/>
  <c r="M993" i="1"/>
  <c r="K993" i="1"/>
  <c r="J993" i="1"/>
  <c r="B993" i="1"/>
  <c r="N992" i="1"/>
  <c r="M992" i="1"/>
  <c r="K992" i="1"/>
  <c r="J992" i="1"/>
  <c r="B992" i="1"/>
  <c r="N991" i="1"/>
  <c r="M991" i="1"/>
  <c r="K991" i="1"/>
  <c r="J991" i="1"/>
  <c r="B991" i="1"/>
  <c r="N990" i="1"/>
  <c r="M990" i="1"/>
  <c r="K990" i="1"/>
  <c r="J990" i="1"/>
  <c r="B990" i="1"/>
  <c r="N989" i="1"/>
  <c r="M989" i="1"/>
  <c r="K989" i="1"/>
  <c r="J989" i="1"/>
  <c r="B989" i="1"/>
  <c r="N1007" i="1"/>
  <c r="M1007" i="1"/>
  <c r="K1007" i="1"/>
  <c r="J1007" i="1"/>
  <c r="B1007" i="1"/>
  <c r="N1006" i="1"/>
  <c r="M1006" i="1"/>
  <c r="K1006" i="1"/>
  <c r="J1006" i="1"/>
  <c r="B1006" i="1"/>
  <c r="N1005" i="1"/>
  <c r="M1005" i="1"/>
  <c r="K1005" i="1"/>
  <c r="J1005" i="1"/>
  <c r="B1005" i="1"/>
  <c r="N1004" i="1"/>
  <c r="M1004" i="1"/>
  <c r="K1004" i="1"/>
  <c r="J1004" i="1"/>
  <c r="B1004" i="1"/>
  <c r="N1003" i="1"/>
  <c r="M1003" i="1"/>
  <c r="K1003" i="1"/>
  <c r="J1003" i="1"/>
  <c r="B1003" i="1"/>
  <c r="N1002" i="1"/>
  <c r="M1002" i="1"/>
  <c r="K1002" i="1"/>
  <c r="J1002" i="1"/>
  <c r="B1002" i="1"/>
  <c r="N1001" i="1"/>
  <c r="M1001" i="1"/>
  <c r="K1001" i="1"/>
  <c r="J1001" i="1"/>
  <c r="B1001" i="1"/>
  <c r="N1000" i="1"/>
  <c r="M1000" i="1"/>
  <c r="K1000" i="1"/>
  <c r="J1000" i="1"/>
  <c r="B1000" i="1"/>
  <c r="N1013" i="1"/>
  <c r="M1013" i="1"/>
  <c r="K1013" i="1"/>
  <c r="J1013" i="1"/>
  <c r="B1013" i="1"/>
  <c r="N1012" i="1"/>
  <c r="M1012" i="1"/>
  <c r="K1012" i="1"/>
  <c r="J1012" i="1"/>
  <c r="B1012" i="1"/>
  <c r="N1011" i="1"/>
  <c r="M1011" i="1"/>
  <c r="K1011" i="1"/>
  <c r="J1011" i="1"/>
  <c r="B1011" i="1"/>
  <c r="N1010" i="1"/>
  <c r="M1010" i="1"/>
  <c r="K1010" i="1"/>
  <c r="J1010" i="1"/>
  <c r="B1010" i="1"/>
  <c r="N1009" i="1"/>
  <c r="M1009" i="1"/>
  <c r="K1009" i="1"/>
  <c r="J1009" i="1"/>
  <c r="B1009" i="1"/>
  <c r="N1008" i="1"/>
  <c r="M1008" i="1"/>
  <c r="K1008" i="1"/>
  <c r="J1008" i="1"/>
  <c r="B1008" i="1"/>
  <c r="N1030" i="1"/>
  <c r="M1030" i="1"/>
  <c r="K1030" i="1"/>
  <c r="J1030" i="1"/>
  <c r="B1030" i="1"/>
  <c r="N1029" i="1"/>
  <c r="M1029" i="1"/>
  <c r="K1029" i="1"/>
  <c r="J1029" i="1"/>
  <c r="B1029" i="1"/>
  <c r="N1028" i="1"/>
  <c r="M1028" i="1"/>
  <c r="K1028" i="1"/>
  <c r="J1028" i="1"/>
  <c r="B1028" i="1"/>
  <c r="N1027" i="1"/>
  <c r="M1027" i="1"/>
  <c r="K1027" i="1"/>
  <c r="J1027" i="1"/>
  <c r="B1027" i="1"/>
  <c r="N1026" i="1"/>
  <c r="M1026" i="1"/>
  <c r="K1026" i="1"/>
  <c r="J1026" i="1"/>
  <c r="B1026" i="1"/>
  <c r="N1025" i="1"/>
  <c r="M1025" i="1"/>
  <c r="K1025" i="1"/>
  <c r="J1025" i="1"/>
  <c r="B1025" i="1"/>
  <c r="N1024" i="1"/>
  <c r="M1024" i="1"/>
  <c r="K1024" i="1"/>
  <c r="J1024" i="1"/>
  <c r="B1024" i="1"/>
  <c r="N1023" i="1"/>
  <c r="M1023" i="1"/>
  <c r="K1023" i="1"/>
  <c r="J1023" i="1"/>
  <c r="B1023" i="1"/>
  <c r="N1022" i="1"/>
  <c r="M1022" i="1"/>
  <c r="K1022" i="1"/>
  <c r="J1022" i="1"/>
  <c r="B1022" i="1"/>
  <c r="N1021" i="1"/>
  <c r="M1021" i="1"/>
  <c r="K1021" i="1"/>
  <c r="J1021" i="1"/>
  <c r="B1021" i="1"/>
  <c r="N1020" i="1"/>
  <c r="M1020" i="1"/>
  <c r="K1020" i="1"/>
  <c r="J1020" i="1"/>
  <c r="B1020" i="1"/>
  <c r="N1019" i="1"/>
  <c r="M1019" i="1"/>
  <c r="K1019" i="1"/>
  <c r="J1019" i="1"/>
  <c r="B1019" i="1"/>
  <c r="N1018" i="1"/>
  <c r="M1018" i="1"/>
  <c r="K1018" i="1"/>
  <c r="J1018" i="1"/>
  <c r="B1018" i="1"/>
  <c r="N1017" i="1"/>
  <c r="M1017" i="1"/>
  <c r="K1017" i="1"/>
  <c r="J1017" i="1"/>
  <c r="B1017" i="1"/>
  <c r="N1016" i="1"/>
  <c r="M1016" i="1"/>
  <c r="K1016" i="1"/>
  <c r="J1016" i="1"/>
  <c r="B1016" i="1"/>
  <c r="N1015" i="1"/>
  <c r="M1015" i="1"/>
  <c r="K1015" i="1"/>
  <c r="J1015" i="1"/>
  <c r="B1015" i="1"/>
  <c r="N1014" i="1"/>
  <c r="M1014" i="1"/>
  <c r="K1014" i="1"/>
  <c r="J1014" i="1"/>
  <c r="B1014" i="1"/>
  <c r="N1040" i="1"/>
  <c r="M1040" i="1"/>
  <c r="K1040" i="1"/>
  <c r="J1040" i="1"/>
  <c r="B1040" i="1"/>
  <c r="N1039" i="1"/>
  <c r="M1039" i="1"/>
  <c r="K1039" i="1"/>
  <c r="J1039" i="1"/>
  <c r="B1039" i="1"/>
  <c r="N1038" i="1"/>
  <c r="M1038" i="1"/>
  <c r="K1038" i="1"/>
  <c r="J1038" i="1"/>
  <c r="B1038" i="1"/>
  <c r="N1037" i="1"/>
  <c r="M1037" i="1"/>
  <c r="K1037" i="1"/>
  <c r="J1037" i="1"/>
  <c r="B1037" i="1"/>
  <c r="N1036" i="1"/>
  <c r="M1036" i="1"/>
  <c r="K1036" i="1"/>
  <c r="J1036" i="1"/>
  <c r="B1036" i="1"/>
  <c r="N1035" i="1"/>
  <c r="M1035" i="1"/>
  <c r="K1035" i="1"/>
  <c r="J1035" i="1"/>
  <c r="B1035" i="1"/>
  <c r="N1034" i="1"/>
  <c r="M1034" i="1"/>
  <c r="K1034" i="1"/>
  <c r="J1034" i="1"/>
  <c r="B1034" i="1"/>
  <c r="N1033" i="1"/>
  <c r="M1033" i="1"/>
  <c r="K1033" i="1"/>
  <c r="J1033" i="1"/>
  <c r="B1033" i="1"/>
  <c r="N1032" i="1"/>
  <c r="M1032" i="1"/>
  <c r="K1032" i="1"/>
  <c r="J1032" i="1"/>
  <c r="B1032" i="1"/>
  <c r="N1031" i="1"/>
  <c r="M1031" i="1"/>
  <c r="K1031" i="1"/>
  <c r="J1031" i="1"/>
  <c r="B1031" i="1"/>
  <c r="N1062" i="1"/>
  <c r="M1062" i="1"/>
  <c r="K1062" i="1"/>
  <c r="J1062" i="1"/>
  <c r="B1062" i="1"/>
  <c r="N1061" i="1"/>
  <c r="M1061" i="1"/>
  <c r="K1061" i="1"/>
  <c r="J1061" i="1"/>
  <c r="B1061" i="1"/>
  <c r="N1060" i="1"/>
  <c r="M1060" i="1"/>
  <c r="K1060" i="1"/>
  <c r="J1060" i="1"/>
  <c r="B1060" i="1"/>
  <c r="N1059" i="1"/>
  <c r="M1059" i="1"/>
  <c r="K1059" i="1"/>
  <c r="J1059" i="1"/>
  <c r="B1059" i="1"/>
  <c r="N1058" i="1"/>
  <c r="M1058" i="1"/>
  <c r="K1058" i="1"/>
  <c r="J1058" i="1"/>
  <c r="B1058" i="1"/>
  <c r="N1057" i="1"/>
  <c r="M1057" i="1"/>
  <c r="K1057" i="1"/>
  <c r="J1057" i="1"/>
  <c r="B1057" i="1"/>
  <c r="N1056" i="1"/>
  <c r="M1056" i="1"/>
  <c r="K1056" i="1"/>
  <c r="J1056" i="1"/>
  <c r="B1056" i="1"/>
  <c r="N1055" i="1"/>
  <c r="M1055" i="1"/>
  <c r="K1055" i="1"/>
  <c r="J1055" i="1"/>
  <c r="B1055" i="1"/>
  <c r="N1054" i="1"/>
  <c r="M1054" i="1"/>
  <c r="K1054" i="1"/>
  <c r="J1054" i="1"/>
  <c r="B1054" i="1"/>
  <c r="N1053" i="1"/>
  <c r="M1053" i="1"/>
  <c r="K1053" i="1"/>
  <c r="J1053" i="1"/>
  <c r="B1053" i="1"/>
  <c r="N1052" i="1"/>
  <c r="M1052" i="1"/>
  <c r="K1052" i="1"/>
  <c r="J1052" i="1"/>
  <c r="B1052" i="1"/>
  <c r="N1051" i="1"/>
  <c r="M1051" i="1"/>
  <c r="K1051" i="1"/>
  <c r="J1051" i="1"/>
  <c r="B1051" i="1"/>
  <c r="N1050" i="1"/>
  <c r="M1050" i="1"/>
  <c r="K1050" i="1"/>
  <c r="J1050" i="1"/>
  <c r="B1050" i="1"/>
  <c r="N1049" i="1"/>
  <c r="M1049" i="1"/>
  <c r="K1049" i="1"/>
  <c r="J1049" i="1"/>
  <c r="B1049" i="1"/>
  <c r="N1048" i="1"/>
  <c r="M1048" i="1"/>
  <c r="K1048" i="1"/>
  <c r="J1048" i="1"/>
  <c r="B1048" i="1"/>
  <c r="N1047" i="1"/>
  <c r="M1047" i="1"/>
  <c r="K1047" i="1"/>
  <c r="J1047" i="1"/>
  <c r="B1047" i="1"/>
  <c r="N1046" i="1"/>
  <c r="M1046" i="1"/>
  <c r="K1046" i="1"/>
  <c r="J1046" i="1"/>
  <c r="B1046" i="1"/>
  <c r="N1045" i="1"/>
  <c r="M1045" i="1"/>
  <c r="K1045" i="1"/>
  <c r="J1045" i="1"/>
  <c r="B1045" i="1"/>
  <c r="N1044" i="1"/>
  <c r="M1044" i="1"/>
  <c r="K1044" i="1"/>
  <c r="J1044" i="1"/>
  <c r="B1044" i="1"/>
  <c r="N1043" i="1"/>
  <c r="M1043" i="1"/>
  <c r="K1043" i="1"/>
  <c r="J1043" i="1"/>
  <c r="B1043" i="1"/>
  <c r="N1042" i="1"/>
  <c r="M1042" i="1"/>
  <c r="K1042" i="1"/>
  <c r="J1042" i="1"/>
  <c r="B1042" i="1"/>
  <c r="N1041" i="1"/>
  <c r="M1041" i="1"/>
  <c r="K1041" i="1"/>
  <c r="J1041" i="1"/>
  <c r="B1041" i="1"/>
  <c r="N1068" i="1"/>
  <c r="M1068" i="1"/>
  <c r="K1068" i="1"/>
  <c r="J1068" i="1"/>
  <c r="B1068" i="1"/>
  <c r="N1067" i="1"/>
  <c r="M1067" i="1"/>
  <c r="K1067" i="1"/>
  <c r="J1067" i="1"/>
  <c r="B1067" i="1"/>
  <c r="N1066" i="1"/>
  <c r="M1066" i="1"/>
  <c r="K1066" i="1"/>
  <c r="J1066" i="1"/>
  <c r="B1066" i="1"/>
  <c r="N1065" i="1"/>
  <c r="M1065" i="1"/>
  <c r="K1065" i="1"/>
  <c r="J1065" i="1"/>
  <c r="B1065" i="1"/>
  <c r="N1064" i="1"/>
  <c r="M1064" i="1"/>
  <c r="K1064" i="1"/>
  <c r="J1064" i="1"/>
  <c r="B1064" i="1"/>
  <c r="N1063" i="1"/>
  <c r="M1063" i="1"/>
  <c r="K1063" i="1"/>
  <c r="J1063" i="1"/>
  <c r="B1063" i="1"/>
  <c r="N1083" i="1"/>
  <c r="M1083" i="1"/>
  <c r="K1083" i="1"/>
  <c r="J1083" i="1"/>
  <c r="B1083" i="1"/>
  <c r="N1082" i="1"/>
  <c r="M1082" i="1"/>
  <c r="K1082" i="1"/>
  <c r="J1082" i="1"/>
  <c r="B1082" i="1"/>
  <c r="N1081" i="1"/>
  <c r="M1081" i="1"/>
  <c r="K1081" i="1"/>
  <c r="J1081" i="1"/>
  <c r="B1081" i="1"/>
  <c r="N1080" i="1"/>
  <c r="M1080" i="1"/>
  <c r="K1080" i="1"/>
  <c r="J1080" i="1"/>
  <c r="B1080" i="1"/>
  <c r="N1079" i="1"/>
  <c r="M1079" i="1"/>
  <c r="K1079" i="1"/>
  <c r="J1079" i="1"/>
  <c r="B1079" i="1"/>
  <c r="N1078" i="1"/>
  <c r="M1078" i="1"/>
  <c r="K1078" i="1"/>
  <c r="J1078" i="1"/>
  <c r="B1078" i="1"/>
  <c r="N1077" i="1"/>
  <c r="M1077" i="1"/>
  <c r="K1077" i="1"/>
  <c r="J1077" i="1"/>
  <c r="B1077" i="1"/>
  <c r="N1076" i="1"/>
  <c r="M1076" i="1"/>
  <c r="K1076" i="1"/>
  <c r="J1076" i="1"/>
  <c r="B1076" i="1"/>
  <c r="N1075" i="1"/>
  <c r="M1075" i="1"/>
  <c r="K1075" i="1"/>
  <c r="J1075" i="1"/>
  <c r="B1075" i="1"/>
  <c r="N1074" i="1"/>
  <c r="M1074" i="1"/>
  <c r="K1074" i="1"/>
  <c r="J1074" i="1"/>
  <c r="B1074" i="1"/>
  <c r="N1073" i="1"/>
  <c r="M1073" i="1"/>
  <c r="K1073" i="1"/>
  <c r="J1073" i="1"/>
  <c r="B1073" i="1"/>
  <c r="N1072" i="1"/>
  <c r="M1072" i="1"/>
  <c r="K1072" i="1"/>
  <c r="J1072" i="1"/>
  <c r="B1072" i="1"/>
  <c r="N1071" i="1"/>
  <c r="M1071" i="1"/>
  <c r="K1071" i="1"/>
  <c r="J1071" i="1"/>
  <c r="B1071" i="1"/>
  <c r="N1070" i="1"/>
  <c r="M1070" i="1"/>
  <c r="K1070" i="1"/>
  <c r="J1070" i="1"/>
  <c r="B1070" i="1"/>
  <c r="N1069" i="1"/>
  <c r="M1069" i="1"/>
  <c r="K1069" i="1"/>
  <c r="J1069" i="1"/>
  <c r="B1069" i="1"/>
  <c r="N1093" i="1"/>
  <c r="M1093" i="1"/>
  <c r="K1093" i="1"/>
  <c r="J1093" i="1"/>
  <c r="B1093" i="1"/>
  <c r="N1092" i="1"/>
  <c r="M1092" i="1"/>
  <c r="K1092" i="1"/>
  <c r="J1092" i="1"/>
  <c r="B1092" i="1"/>
  <c r="N1091" i="1"/>
  <c r="M1091" i="1"/>
  <c r="K1091" i="1"/>
  <c r="J1091" i="1"/>
  <c r="B1091" i="1"/>
  <c r="N1090" i="1"/>
  <c r="M1090" i="1"/>
  <c r="K1090" i="1"/>
  <c r="J1090" i="1"/>
  <c r="B1090" i="1"/>
  <c r="N1089" i="1"/>
  <c r="M1089" i="1"/>
  <c r="K1089" i="1"/>
  <c r="J1089" i="1"/>
  <c r="B1089" i="1"/>
  <c r="N1088" i="1"/>
  <c r="M1088" i="1"/>
  <c r="K1088" i="1"/>
  <c r="J1088" i="1"/>
  <c r="B1088" i="1"/>
  <c r="N1087" i="1"/>
  <c r="M1087" i="1"/>
  <c r="K1087" i="1"/>
  <c r="J1087" i="1"/>
  <c r="B1087" i="1"/>
  <c r="N1086" i="1"/>
  <c r="M1086" i="1"/>
  <c r="K1086" i="1"/>
  <c r="J1086" i="1"/>
  <c r="B1086" i="1"/>
  <c r="N1085" i="1"/>
  <c r="M1085" i="1"/>
  <c r="K1085" i="1"/>
  <c r="J1085" i="1"/>
  <c r="B1085" i="1"/>
  <c r="N1084" i="1"/>
  <c r="M1084" i="1"/>
  <c r="K1084" i="1"/>
  <c r="J1084" i="1"/>
  <c r="B1084" i="1"/>
  <c r="N1107" i="1"/>
  <c r="M1107" i="1"/>
  <c r="K1107" i="1"/>
  <c r="J1107" i="1"/>
  <c r="B1107" i="1"/>
  <c r="N1106" i="1"/>
  <c r="M1106" i="1"/>
  <c r="K1106" i="1"/>
  <c r="J1106" i="1"/>
  <c r="B1106" i="1"/>
  <c r="N1105" i="1"/>
  <c r="M1105" i="1"/>
  <c r="K1105" i="1"/>
  <c r="J1105" i="1"/>
  <c r="B1105" i="1"/>
  <c r="N1104" i="1"/>
  <c r="M1104" i="1"/>
  <c r="K1104" i="1"/>
  <c r="J1104" i="1"/>
  <c r="B1104" i="1"/>
  <c r="N1103" i="1"/>
  <c r="M1103" i="1"/>
  <c r="K1103" i="1"/>
  <c r="J1103" i="1"/>
  <c r="B1103" i="1"/>
  <c r="N1102" i="1"/>
  <c r="M1102" i="1"/>
  <c r="K1102" i="1"/>
  <c r="J1102" i="1"/>
  <c r="B1102" i="1"/>
  <c r="N1101" i="1"/>
  <c r="M1101" i="1"/>
  <c r="K1101" i="1"/>
  <c r="J1101" i="1"/>
  <c r="B1101" i="1"/>
  <c r="N1100" i="1"/>
  <c r="M1100" i="1"/>
  <c r="K1100" i="1"/>
  <c r="J1100" i="1"/>
  <c r="B1100" i="1"/>
  <c r="N1099" i="1"/>
  <c r="M1099" i="1"/>
  <c r="K1099" i="1"/>
  <c r="J1099" i="1"/>
  <c r="B1099" i="1"/>
  <c r="N1098" i="1"/>
  <c r="M1098" i="1"/>
  <c r="K1098" i="1"/>
  <c r="J1098" i="1"/>
  <c r="B1098" i="1"/>
  <c r="N1097" i="1"/>
  <c r="M1097" i="1"/>
  <c r="K1097" i="1"/>
  <c r="J1097" i="1"/>
  <c r="B1097" i="1"/>
  <c r="N1096" i="1"/>
  <c r="M1096" i="1"/>
  <c r="K1096" i="1"/>
  <c r="J1096" i="1"/>
  <c r="B1096" i="1"/>
  <c r="N1095" i="1"/>
  <c r="M1095" i="1"/>
  <c r="K1095" i="1"/>
  <c r="J1095" i="1"/>
  <c r="B1095" i="1"/>
  <c r="N1094" i="1"/>
  <c r="M1094" i="1"/>
  <c r="K1094" i="1"/>
  <c r="J1094" i="1"/>
  <c r="B1094" i="1"/>
  <c r="N1117" i="1"/>
  <c r="M1117" i="1"/>
  <c r="K1117" i="1"/>
  <c r="J1117" i="1"/>
  <c r="B1117" i="1"/>
  <c r="N1116" i="1"/>
  <c r="M1116" i="1"/>
  <c r="K1116" i="1"/>
  <c r="J1116" i="1"/>
  <c r="B1116" i="1"/>
  <c r="N1115" i="1"/>
  <c r="M1115" i="1"/>
  <c r="K1115" i="1"/>
  <c r="J1115" i="1"/>
  <c r="B1115" i="1"/>
  <c r="N1114" i="1"/>
  <c r="M1114" i="1"/>
  <c r="K1114" i="1"/>
  <c r="J1114" i="1"/>
  <c r="B1114" i="1"/>
  <c r="N1113" i="1"/>
  <c r="M1113" i="1"/>
  <c r="K1113" i="1"/>
  <c r="J1113" i="1"/>
  <c r="B1113" i="1"/>
  <c r="N1112" i="1"/>
  <c r="M1112" i="1"/>
  <c r="K1112" i="1"/>
  <c r="J1112" i="1"/>
  <c r="B1112" i="1"/>
  <c r="N1111" i="1"/>
  <c r="M1111" i="1"/>
  <c r="K1111" i="1"/>
  <c r="J1111" i="1"/>
  <c r="B1111" i="1"/>
  <c r="N1110" i="1"/>
  <c r="M1110" i="1"/>
  <c r="K1110" i="1"/>
  <c r="J1110" i="1"/>
  <c r="B1110" i="1"/>
  <c r="N1109" i="1"/>
  <c r="M1109" i="1"/>
  <c r="K1109" i="1"/>
  <c r="J1109" i="1"/>
  <c r="B1109" i="1"/>
  <c r="N1108" i="1"/>
  <c r="M1108" i="1"/>
  <c r="K1108" i="1"/>
  <c r="J1108" i="1"/>
  <c r="B1108" i="1"/>
  <c r="N1128" i="1"/>
  <c r="M1128" i="1"/>
  <c r="K1128" i="1"/>
  <c r="J1128" i="1"/>
  <c r="B1128" i="1"/>
  <c r="N1127" i="1"/>
  <c r="M1127" i="1"/>
  <c r="K1127" i="1"/>
  <c r="J1127" i="1"/>
  <c r="B1127" i="1"/>
  <c r="N1126" i="1"/>
  <c r="M1126" i="1"/>
  <c r="K1126" i="1"/>
  <c r="J1126" i="1"/>
  <c r="B1126" i="1"/>
  <c r="N1125" i="1"/>
  <c r="M1125" i="1"/>
  <c r="K1125" i="1"/>
  <c r="J1125" i="1"/>
  <c r="B1125" i="1"/>
  <c r="N1124" i="1"/>
  <c r="M1124" i="1"/>
  <c r="K1124" i="1"/>
  <c r="J1124" i="1"/>
  <c r="B1124" i="1"/>
  <c r="N1123" i="1"/>
  <c r="M1123" i="1"/>
  <c r="K1123" i="1"/>
  <c r="J1123" i="1"/>
  <c r="B1123" i="1"/>
  <c r="N1122" i="1"/>
  <c r="M1122" i="1"/>
  <c r="K1122" i="1"/>
  <c r="J1122" i="1"/>
  <c r="B1122" i="1"/>
  <c r="N1121" i="1"/>
  <c r="M1121" i="1"/>
  <c r="K1121" i="1"/>
  <c r="J1121" i="1"/>
  <c r="B1121" i="1"/>
  <c r="N1120" i="1"/>
  <c r="M1120" i="1"/>
  <c r="K1120" i="1"/>
  <c r="J1120" i="1"/>
  <c r="B1120" i="1"/>
  <c r="N1119" i="1"/>
  <c r="M1119" i="1"/>
  <c r="K1119" i="1"/>
  <c r="J1119" i="1"/>
  <c r="B1119" i="1"/>
  <c r="N1118" i="1"/>
  <c r="M1118" i="1"/>
  <c r="K1118" i="1"/>
  <c r="J1118" i="1"/>
  <c r="B1118" i="1"/>
  <c r="N1141" i="1"/>
  <c r="M1141" i="1"/>
  <c r="K1141" i="1"/>
  <c r="J1141" i="1"/>
  <c r="B1141" i="1"/>
  <c r="N1140" i="1"/>
  <c r="M1140" i="1"/>
  <c r="K1140" i="1"/>
  <c r="J1140" i="1"/>
  <c r="B1140" i="1"/>
  <c r="N1139" i="1"/>
  <c r="M1139" i="1"/>
  <c r="K1139" i="1"/>
  <c r="J1139" i="1"/>
  <c r="B1139" i="1"/>
  <c r="N1138" i="1"/>
  <c r="M1138" i="1"/>
  <c r="K1138" i="1"/>
  <c r="J1138" i="1"/>
  <c r="B1138" i="1"/>
  <c r="N1137" i="1"/>
  <c r="M1137" i="1"/>
  <c r="K1137" i="1"/>
  <c r="J1137" i="1"/>
  <c r="B1137" i="1"/>
  <c r="N1136" i="1"/>
  <c r="M1136" i="1"/>
  <c r="K1136" i="1"/>
  <c r="J1136" i="1"/>
  <c r="B1136" i="1"/>
  <c r="N1135" i="1"/>
  <c r="M1135" i="1"/>
  <c r="K1135" i="1"/>
  <c r="J1135" i="1"/>
  <c r="B1135" i="1"/>
  <c r="N1134" i="1"/>
  <c r="M1134" i="1"/>
  <c r="K1134" i="1"/>
  <c r="J1134" i="1"/>
  <c r="B1134" i="1"/>
  <c r="N1133" i="1"/>
  <c r="M1133" i="1"/>
  <c r="K1133" i="1"/>
  <c r="J1133" i="1"/>
  <c r="B1133" i="1"/>
  <c r="N1132" i="1"/>
  <c r="M1132" i="1"/>
  <c r="K1132" i="1"/>
  <c r="J1132" i="1"/>
  <c r="B1132" i="1"/>
  <c r="N1131" i="1"/>
  <c r="M1131" i="1"/>
  <c r="K1131" i="1"/>
  <c r="J1131" i="1"/>
  <c r="B1131" i="1"/>
  <c r="N1130" i="1"/>
  <c r="M1130" i="1"/>
  <c r="K1130" i="1"/>
  <c r="J1130" i="1"/>
  <c r="B1130" i="1"/>
  <c r="N1129" i="1"/>
  <c r="M1129" i="1"/>
  <c r="K1129" i="1"/>
  <c r="J1129" i="1"/>
  <c r="B1129" i="1"/>
  <c r="N1167" i="1"/>
  <c r="M1167" i="1"/>
  <c r="K1167" i="1"/>
  <c r="J1167" i="1"/>
  <c r="B1167" i="1"/>
  <c r="N1166" i="1"/>
  <c r="M1166" i="1"/>
  <c r="K1166" i="1"/>
  <c r="J1166" i="1"/>
  <c r="B1166" i="1"/>
  <c r="N1165" i="1"/>
  <c r="M1165" i="1"/>
  <c r="K1165" i="1"/>
  <c r="J1165" i="1"/>
  <c r="B1165" i="1"/>
  <c r="N1164" i="1"/>
  <c r="M1164" i="1"/>
  <c r="K1164" i="1"/>
  <c r="J1164" i="1"/>
  <c r="B1164" i="1"/>
  <c r="N1163" i="1"/>
  <c r="M1163" i="1"/>
  <c r="K1163" i="1"/>
  <c r="J1163" i="1"/>
  <c r="B1163" i="1"/>
  <c r="N1162" i="1"/>
  <c r="M1162" i="1"/>
  <c r="K1162" i="1"/>
  <c r="J1162" i="1"/>
  <c r="B1162" i="1"/>
  <c r="N1161" i="1"/>
  <c r="M1161" i="1"/>
  <c r="K1161" i="1"/>
  <c r="J1161" i="1"/>
  <c r="B1161" i="1"/>
  <c r="N1160" i="1"/>
  <c r="M1160" i="1"/>
  <c r="K1160" i="1"/>
  <c r="J1160" i="1"/>
  <c r="B1160" i="1"/>
  <c r="N1159" i="1"/>
  <c r="M1159" i="1"/>
  <c r="K1159" i="1"/>
  <c r="J1159" i="1"/>
  <c r="B1159" i="1"/>
  <c r="N1158" i="1"/>
  <c r="M1158" i="1"/>
  <c r="K1158" i="1"/>
  <c r="J1158" i="1"/>
  <c r="B1158" i="1"/>
  <c r="N1157" i="1"/>
  <c r="M1157" i="1"/>
  <c r="K1157" i="1"/>
  <c r="J1157" i="1"/>
  <c r="B1157" i="1"/>
  <c r="N1156" i="1"/>
  <c r="M1156" i="1"/>
  <c r="K1156" i="1"/>
  <c r="J1156" i="1"/>
  <c r="B1156" i="1"/>
  <c r="N1155" i="1"/>
  <c r="M1155" i="1"/>
  <c r="K1155" i="1"/>
  <c r="J1155" i="1"/>
  <c r="B1155" i="1"/>
  <c r="N1154" i="1"/>
  <c r="M1154" i="1"/>
  <c r="K1154" i="1"/>
  <c r="J1154" i="1"/>
  <c r="B1154" i="1"/>
  <c r="N1153" i="1"/>
  <c r="M1153" i="1"/>
  <c r="K1153" i="1"/>
  <c r="J1153" i="1"/>
  <c r="B1153" i="1"/>
  <c r="N1152" i="1"/>
  <c r="M1152" i="1"/>
  <c r="K1152" i="1"/>
  <c r="J1152" i="1"/>
  <c r="B1152" i="1"/>
  <c r="N1151" i="1"/>
  <c r="M1151" i="1"/>
  <c r="K1151" i="1"/>
  <c r="J1151" i="1"/>
  <c r="B1151" i="1"/>
  <c r="N1150" i="1"/>
  <c r="M1150" i="1"/>
  <c r="K1150" i="1"/>
  <c r="J1150" i="1"/>
  <c r="B1150" i="1"/>
  <c r="N1149" i="1"/>
  <c r="M1149" i="1"/>
  <c r="K1149" i="1"/>
  <c r="J1149" i="1"/>
  <c r="B1149" i="1"/>
  <c r="N1148" i="1"/>
  <c r="M1148" i="1"/>
  <c r="K1148" i="1"/>
  <c r="J1148" i="1"/>
  <c r="B1148" i="1"/>
  <c r="N1147" i="1"/>
  <c r="M1147" i="1"/>
  <c r="K1147" i="1"/>
  <c r="J1147" i="1"/>
  <c r="B1147" i="1"/>
  <c r="N1146" i="1"/>
  <c r="M1146" i="1"/>
  <c r="K1146" i="1"/>
  <c r="J1146" i="1"/>
  <c r="B1146" i="1"/>
  <c r="N1145" i="1"/>
  <c r="M1145" i="1"/>
  <c r="K1145" i="1"/>
  <c r="J1145" i="1"/>
  <c r="B1145" i="1"/>
  <c r="N1144" i="1"/>
  <c r="M1144" i="1"/>
  <c r="K1144" i="1"/>
  <c r="J1144" i="1"/>
  <c r="B1144" i="1"/>
  <c r="N1143" i="1"/>
  <c r="M1143" i="1"/>
  <c r="K1143" i="1"/>
  <c r="J1143" i="1"/>
  <c r="B1143" i="1"/>
  <c r="N1142" i="1"/>
  <c r="M1142" i="1"/>
  <c r="K1142" i="1"/>
  <c r="J1142" i="1"/>
  <c r="B1142" i="1"/>
  <c r="N1179" i="1"/>
  <c r="M1179" i="1"/>
  <c r="K1179" i="1"/>
  <c r="J1179" i="1"/>
  <c r="B1179" i="1"/>
  <c r="N1178" i="1"/>
  <c r="M1178" i="1"/>
  <c r="K1178" i="1"/>
  <c r="J1178" i="1"/>
  <c r="B1178" i="1"/>
  <c r="N1177" i="1"/>
  <c r="M1177" i="1"/>
  <c r="K1177" i="1"/>
  <c r="J1177" i="1"/>
  <c r="B1177" i="1"/>
  <c r="N1176" i="1"/>
  <c r="M1176" i="1"/>
  <c r="K1176" i="1"/>
  <c r="J1176" i="1"/>
  <c r="B1176" i="1"/>
  <c r="N1175" i="1"/>
  <c r="M1175" i="1"/>
  <c r="K1175" i="1"/>
  <c r="J1175" i="1"/>
  <c r="B1175" i="1"/>
  <c r="N1174" i="1"/>
  <c r="M1174" i="1"/>
  <c r="K1174" i="1"/>
  <c r="J1174" i="1"/>
  <c r="B1174" i="1"/>
  <c r="N1173" i="1"/>
  <c r="M1173" i="1"/>
  <c r="K1173" i="1"/>
  <c r="J1173" i="1"/>
  <c r="B1173" i="1"/>
  <c r="N1172" i="1"/>
  <c r="M1172" i="1"/>
  <c r="K1172" i="1"/>
  <c r="J1172" i="1"/>
  <c r="B1172" i="1"/>
  <c r="N1171" i="1"/>
  <c r="M1171" i="1"/>
  <c r="K1171" i="1"/>
  <c r="J1171" i="1"/>
  <c r="B1171" i="1"/>
  <c r="N1170" i="1"/>
  <c r="M1170" i="1"/>
  <c r="K1170" i="1"/>
  <c r="J1170" i="1"/>
  <c r="B1170" i="1"/>
  <c r="N1169" i="1"/>
  <c r="M1169" i="1"/>
  <c r="K1169" i="1"/>
  <c r="J1169" i="1"/>
  <c r="B1169" i="1"/>
  <c r="N1168" i="1"/>
  <c r="M1168" i="1"/>
  <c r="K1168" i="1"/>
  <c r="J1168" i="1"/>
  <c r="B1168" i="1"/>
  <c r="N1189" i="1"/>
  <c r="M1189" i="1"/>
  <c r="K1189" i="1"/>
  <c r="J1189" i="1"/>
  <c r="B1189" i="1"/>
  <c r="N1188" i="1"/>
  <c r="M1188" i="1"/>
  <c r="K1188" i="1"/>
  <c r="J1188" i="1"/>
  <c r="B1188" i="1"/>
  <c r="N1187" i="1"/>
  <c r="M1187" i="1"/>
  <c r="K1187" i="1"/>
  <c r="J1187" i="1"/>
  <c r="B1187" i="1"/>
  <c r="N1186" i="1"/>
  <c r="M1186" i="1"/>
  <c r="K1186" i="1"/>
  <c r="J1186" i="1"/>
  <c r="B1186" i="1"/>
  <c r="N1185" i="1"/>
  <c r="M1185" i="1"/>
  <c r="K1185" i="1"/>
  <c r="J1185" i="1"/>
  <c r="B1185" i="1"/>
  <c r="N1184" i="1"/>
  <c r="M1184" i="1"/>
  <c r="K1184" i="1"/>
  <c r="J1184" i="1"/>
  <c r="B1184" i="1"/>
  <c r="N1183" i="1"/>
  <c r="M1183" i="1"/>
  <c r="K1183" i="1"/>
  <c r="J1183" i="1"/>
  <c r="B1183" i="1"/>
  <c r="N1182" i="1"/>
  <c r="M1182" i="1"/>
  <c r="K1182" i="1"/>
  <c r="J1182" i="1"/>
  <c r="B1182" i="1"/>
  <c r="N1181" i="1"/>
  <c r="M1181" i="1"/>
  <c r="K1181" i="1"/>
  <c r="J1181" i="1"/>
  <c r="B1181" i="1"/>
  <c r="N1180" i="1"/>
  <c r="M1180" i="1"/>
  <c r="K1180" i="1"/>
  <c r="J1180" i="1"/>
  <c r="B1180" i="1"/>
  <c r="N1208" i="1"/>
  <c r="M1208" i="1"/>
  <c r="K1208" i="1"/>
  <c r="J1208" i="1"/>
  <c r="B1208" i="1"/>
  <c r="N1207" i="1"/>
  <c r="M1207" i="1"/>
  <c r="K1207" i="1"/>
  <c r="J1207" i="1"/>
  <c r="B1207" i="1"/>
  <c r="N1206" i="1"/>
  <c r="M1206" i="1"/>
  <c r="K1206" i="1"/>
  <c r="J1206" i="1"/>
  <c r="B1206" i="1"/>
  <c r="N1205" i="1"/>
  <c r="M1205" i="1"/>
  <c r="K1205" i="1"/>
  <c r="J1205" i="1"/>
  <c r="B1205" i="1"/>
  <c r="N1204" i="1"/>
  <c r="M1204" i="1"/>
  <c r="K1204" i="1"/>
  <c r="J1204" i="1"/>
  <c r="B1204" i="1"/>
  <c r="N1203" i="1"/>
  <c r="M1203" i="1"/>
  <c r="K1203" i="1"/>
  <c r="J1203" i="1"/>
  <c r="B1203" i="1"/>
  <c r="N1202" i="1"/>
  <c r="M1202" i="1"/>
  <c r="K1202" i="1"/>
  <c r="J1202" i="1"/>
  <c r="B1202" i="1"/>
  <c r="N1201" i="1"/>
  <c r="M1201" i="1"/>
  <c r="K1201" i="1"/>
  <c r="J1201" i="1"/>
  <c r="B1201" i="1"/>
  <c r="N1200" i="1"/>
  <c r="M1200" i="1"/>
  <c r="K1200" i="1"/>
  <c r="J1200" i="1"/>
  <c r="B1200" i="1"/>
  <c r="N1199" i="1"/>
  <c r="M1199" i="1"/>
  <c r="K1199" i="1"/>
  <c r="J1199" i="1"/>
  <c r="B1199" i="1"/>
  <c r="N1198" i="1"/>
  <c r="M1198" i="1"/>
  <c r="K1198" i="1"/>
  <c r="J1198" i="1"/>
  <c r="B1198" i="1"/>
  <c r="N1197" i="1"/>
  <c r="M1197" i="1"/>
  <c r="K1197" i="1"/>
  <c r="J1197" i="1"/>
  <c r="B1197" i="1"/>
  <c r="N1196" i="1"/>
  <c r="M1196" i="1"/>
  <c r="K1196" i="1"/>
  <c r="J1196" i="1"/>
  <c r="B1196" i="1"/>
  <c r="N1195" i="1"/>
  <c r="M1195" i="1"/>
  <c r="K1195" i="1"/>
  <c r="J1195" i="1"/>
  <c r="B1195" i="1"/>
  <c r="N1194" i="1"/>
  <c r="M1194" i="1"/>
  <c r="K1194" i="1"/>
  <c r="J1194" i="1"/>
  <c r="B1194" i="1"/>
  <c r="N1193" i="1"/>
  <c r="M1193" i="1"/>
  <c r="K1193" i="1"/>
  <c r="J1193" i="1"/>
  <c r="B1193" i="1"/>
  <c r="N1192" i="1"/>
  <c r="M1192" i="1"/>
  <c r="K1192" i="1"/>
  <c r="J1192" i="1"/>
  <c r="B1192" i="1"/>
  <c r="N1191" i="1"/>
  <c r="M1191" i="1"/>
  <c r="K1191" i="1"/>
  <c r="J1191" i="1"/>
  <c r="B1191" i="1"/>
  <c r="N1190" i="1"/>
  <c r="M1190" i="1"/>
  <c r="K1190" i="1"/>
  <c r="J1190" i="1"/>
  <c r="B1190" i="1"/>
  <c r="N1221" i="1"/>
  <c r="M1221" i="1"/>
  <c r="K1221" i="1"/>
  <c r="J1221" i="1"/>
  <c r="B1221" i="1"/>
  <c r="N1220" i="1"/>
  <c r="M1220" i="1"/>
  <c r="K1220" i="1"/>
  <c r="J1220" i="1"/>
  <c r="B1220" i="1"/>
  <c r="N1219" i="1"/>
  <c r="M1219" i="1"/>
  <c r="K1219" i="1"/>
  <c r="J1219" i="1"/>
  <c r="B1219" i="1"/>
  <c r="N1218" i="1"/>
  <c r="M1218" i="1"/>
  <c r="K1218" i="1"/>
  <c r="J1218" i="1"/>
  <c r="B1218" i="1"/>
  <c r="N1217" i="1"/>
  <c r="M1217" i="1"/>
  <c r="K1217" i="1"/>
  <c r="J1217" i="1"/>
  <c r="B1217" i="1"/>
  <c r="N1216" i="1"/>
  <c r="M1216" i="1"/>
  <c r="K1216" i="1"/>
  <c r="J1216" i="1"/>
  <c r="B1216" i="1"/>
  <c r="N1215" i="1"/>
  <c r="M1215" i="1"/>
  <c r="K1215" i="1"/>
  <c r="J1215" i="1"/>
  <c r="B1215" i="1"/>
  <c r="N1214" i="1"/>
  <c r="M1214" i="1"/>
  <c r="K1214" i="1"/>
  <c r="J1214" i="1"/>
  <c r="B1214" i="1"/>
  <c r="N1213" i="1"/>
  <c r="M1213" i="1"/>
  <c r="K1213" i="1"/>
  <c r="J1213" i="1"/>
  <c r="B1213" i="1"/>
  <c r="N1212" i="1"/>
  <c r="M1212" i="1"/>
  <c r="K1212" i="1"/>
  <c r="J1212" i="1"/>
  <c r="B1212" i="1"/>
  <c r="N1211" i="1"/>
  <c r="M1211" i="1"/>
  <c r="K1211" i="1"/>
  <c r="J1211" i="1"/>
  <c r="B1211" i="1"/>
  <c r="N1210" i="1"/>
  <c r="M1210" i="1"/>
  <c r="K1210" i="1"/>
  <c r="J1210" i="1"/>
  <c r="B1210" i="1"/>
  <c r="N1209" i="1"/>
  <c r="M1209" i="1"/>
  <c r="K1209" i="1"/>
  <c r="J1209" i="1"/>
  <c r="B1209" i="1"/>
  <c r="N1236" i="1"/>
  <c r="M1236" i="1"/>
  <c r="K1236" i="1"/>
  <c r="J1236" i="1"/>
  <c r="B1236" i="1"/>
  <c r="N1235" i="1"/>
  <c r="M1235" i="1"/>
  <c r="K1235" i="1"/>
  <c r="J1235" i="1"/>
  <c r="B1235" i="1"/>
  <c r="N1234" i="1"/>
  <c r="M1234" i="1"/>
  <c r="K1234" i="1"/>
  <c r="J1234" i="1"/>
  <c r="B1234" i="1"/>
  <c r="N1233" i="1"/>
  <c r="M1233" i="1"/>
  <c r="K1233" i="1"/>
  <c r="J1233" i="1"/>
  <c r="B1233" i="1"/>
  <c r="N1232" i="1"/>
  <c r="M1232" i="1"/>
  <c r="K1232" i="1"/>
  <c r="J1232" i="1"/>
  <c r="B1232" i="1"/>
  <c r="N1231" i="1"/>
  <c r="M1231" i="1"/>
  <c r="K1231" i="1"/>
  <c r="J1231" i="1"/>
  <c r="B1231" i="1"/>
  <c r="N1230" i="1"/>
  <c r="M1230" i="1"/>
  <c r="K1230" i="1"/>
  <c r="J1230" i="1"/>
  <c r="B1230" i="1"/>
  <c r="N1229" i="1"/>
  <c r="M1229" i="1"/>
  <c r="K1229" i="1"/>
  <c r="J1229" i="1"/>
  <c r="B1229" i="1"/>
  <c r="N1228" i="1"/>
  <c r="M1228" i="1"/>
  <c r="K1228" i="1"/>
  <c r="J1228" i="1"/>
  <c r="B1228" i="1"/>
  <c r="N1227" i="1"/>
  <c r="M1227" i="1"/>
  <c r="K1227" i="1"/>
  <c r="J1227" i="1"/>
  <c r="B1227" i="1"/>
  <c r="N1226" i="1"/>
  <c r="M1226" i="1"/>
  <c r="K1226" i="1"/>
  <c r="J1226" i="1"/>
  <c r="B1226" i="1"/>
  <c r="N1225" i="1"/>
  <c r="M1225" i="1"/>
  <c r="K1225" i="1"/>
  <c r="J1225" i="1"/>
  <c r="B1225" i="1"/>
  <c r="N1224" i="1"/>
  <c r="M1224" i="1"/>
  <c r="K1224" i="1"/>
  <c r="J1224" i="1"/>
  <c r="B1224" i="1"/>
  <c r="N1223" i="1"/>
  <c r="M1223" i="1"/>
  <c r="K1223" i="1"/>
  <c r="J1223" i="1"/>
  <c r="B1223" i="1"/>
  <c r="N1222" i="1"/>
  <c r="M1222" i="1"/>
  <c r="K1222" i="1"/>
  <c r="J1222" i="1"/>
  <c r="B1222" i="1"/>
  <c r="N1249" i="1"/>
  <c r="M1249" i="1"/>
  <c r="K1249" i="1"/>
  <c r="J1249" i="1"/>
  <c r="B1249" i="1"/>
  <c r="N1248" i="1"/>
  <c r="M1248" i="1"/>
  <c r="K1248" i="1"/>
  <c r="J1248" i="1"/>
  <c r="B1248" i="1"/>
  <c r="N1247" i="1"/>
  <c r="M1247" i="1"/>
  <c r="K1247" i="1"/>
  <c r="J1247" i="1"/>
  <c r="B1247" i="1"/>
  <c r="N1246" i="1"/>
  <c r="M1246" i="1"/>
  <c r="K1246" i="1"/>
  <c r="J1246" i="1"/>
  <c r="B1246" i="1"/>
  <c r="N1245" i="1"/>
  <c r="M1245" i="1"/>
  <c r="K1245" i="1"/>
  <c r="J1245" i="1"/>
  <c r="B1245" i="1"/>
  <c r="N1244" i="1"/>
  <c r="M1244" i="1"/>
  <c r="K1244" i="1"/>
  <c r="J1244" i="1"/>
  <c r="B1244" i="1"/>
  <c r="N1243" i="1"/>
  <c r="M1243" i="1"/>
  <c r="K1243" i="1"/>
  <c r="J1243" i="1"/>
  <c r="B1243" i="1"/>
  <c r="N1242" i="1"/>
  <c r="M1242" i="1"/>
  <c r="K1242" i="1"/>
  <c r="J1242" i="1"/>
  <c r="B1242" i="1"/>
  <c r="N1241" i="1"/>
  <c r="M1241" i="1"/>
  <c r="K1241" i="1"/>
  <c r="J1241" i="1"/>
  <c r="B1241" i="1"/>
  <c r="N1240" i="1"/>
  <c r="M1240" i="1"/>
  <c r="K1240" i="1"/>
  <c r="J1240" i="1"/>
  <c r="B1240" i="1"/>
  <c r="N1239" i="1"/>
  <c r="M1239" i="1"/>
  <c r="K1239" i="1"/>
  <c r="J1239" i="1"/>
  <c r="B1239" i="1"/>
  <c r="N1238" i="1"/>
  <c r="M1238" i="1"/>
  <c r="K1238" i="1"/>
  <c r="J1238" i="1"/>
  <c r="B1238" i="1"/>
  <c r="N1237" i="1"/>
  <c r="M1237" i="1"/>
  <c r="K1237" i="1"/>
  <c r="J1237" i="1"/>
  <c r="B1237" i="1"/>
  <c r="N1254" i="1"/>
  <c r="M1254" i="1"/>
  <c r="K1254" i="1"/>
  <c r="J1254" i="1"/>
  <c r="B1254" i="1"/>
  <c r="N1253" i="1"/>
  <c r="M1253" i="1"/>
  <c r="K1253" i="1"/>
  <c r="J1253" i="1"/>
  <c r="B1253" i="1"/>
  <c r="N1252" i="1"/>
  <c r="M1252" i="1"/>
  <c r="K1252" i="1"/>
  <c r="J1252" i="1"/>
  <c r="B1252" i="1"/>
  <c r="N1251" i="1"/>
  <c r="M1251" i="1"/>
  <c r="K1251" i="1"/>
  <c r="J1251" i="1"/>
  <c r="B1251" i="1"/>
  <c r="N1250" i="1"/>
  <c r="M1250" i="1"/>
  <c r="K1250" i="1"/>
  <c r="J1250" i="1"/>
  <c r="B1250" i="1"/>
  <c r="N1275" i="1"/>
  <c r="M1275" i="1"/>
  <c r="K1275" i="1"/>
  <c r="J1275" i="1"/>
  <c r="B1275" i="1"/>
  <c r="N1274" i="1"/>
  <c r="M1274" i="1"/>
  <c r="K1274" i="1"/>
  <c r="J1274" i="1"/>
  <c r="B1274" i="1"/>
  <c r="N1273" i="1"/>
  <c r="M1273" i="1"/>
  <c r="K1273" i="1"/>
  <c r="J1273" i="1"/>
  <c r="B1273" i="1"/>
  <c r="N1272" i="1"/>
  <c r="M1272" i="1"/>
  <c r="K1272" i="1"/>
  <c r="J1272" i="1"/>
  <c r="B1272" i="1"/>
  <c r="N1271" i="1"/>
  <c r="M1271" i="1"/>
  <c r="K1271" i="1"/>
  <c r="J1271" i="1"/>
  <c r="B1271" i="1"/>
  <c r="N1270" i="1"/>
  <c r="M1270" i="1"/>
  <c r="K1270" i="1"/>
  <c r="J1270" i="1"/>
  <c r="B1270" i="1"/>
  <c r="N1269" i="1"/>
  <c r="M1269" i="1"/>
  <c r="K1269" i="1"/>
  <c r="J1269" i="1"/>
  <c r="B1269" i="1"/>
  <c r="N1268" i="1"/>
  <c r="M1268" i="1"/>
  <c r="K1268" i="1"/>
  <c r="J1268" i="1"/>
  <c r="B1268" i="1"/>
  <c r="N1267" i="1"/>
  <c r="M1267" i="1"/>
  <c r="K1267" i="1"/>
  <c r="J1267" i="1"/>
  <c r="B1267" i="1"/>
  <c r="N1266" i="1"/>
  <c r="M1266" i="1"/>
  <c r="K1266" i="1"/>
  <c r="J1266" i="1"/>
  <c r="B1266" i="1"/>
  <c r="N1265" i="1"/>
  <c r="M1265" i="1"/>
  <c r="K1265" i="1"/>
  <c r="J1265" i="1"/>
  <c r="B1265" i="1"/>
  <c r="N1264" i="1"/>
  <c r="M1264" i="1"/>
  <c r="K1264" i="1"/>
  <c r="J1264" i="1"/>
  <c r="B1264" i="1"/>
  <c r="N1263" i="1"/>
  <c r="M1263" i="1"/>
  <c r="K1263" i="1"/>
  <c r="J1263" i="1"/>
  <c r="B1263" i="1"/>
  <c r="N1262" i="1"/>
  <c r="M1262" i="1"/>
  <c r="K1262" i="1"/>
  <c r="J1262" i="1"/>
  <c r="B1262" i="1"/>
  <c r="N1261" i="1"/>
  <c r="M1261" i="1"/>
  <c r="K1261" i="1"/>
  <c r="J1261" i="1"/>
  <c r="B1261" i="1"/>
  <c r="N1260" i="1"/>
  <c r="M1260" i="1"/>
  <c r="K1260" i="1"/>
  <c r="J1260" i="1"/>
  <c r="B1260" i="1"/>
  <c r="N1259" i="1"/>
  <c r="M1259" i="1"/>
  <c r="K1259" i="1"/>
  <c r="J1259" i="1"/>
  <c r="B1259" i="1"/>
  <c r="N1258" i="1"/>
  <c r="M1258" i="1"/>
  <c r="K1258" i="1"/>
  <c r="J1258" i="1"/>
  <c r="B1258" i="1"/>
  <c r="N1257" i="1"/>
  <c r="M1257" i="1"/>
  <c r="K1257" i="1"/>
  <c r="J1257" i="1"/>
  <c r="B1257" i="1"/>
  <c r="N1256" i="1"/>
  <c r="M1256" i="1"/>
  <c r="K1256" i="1"/>
  <c r="J1256" i="1"/>
  <c r="B1256" i="1"/>
  <c r="N1255" i="1"/>
  <c r="M1255" i="1"/>
  <c r="K1255" i="1"/>
  <c r="J1255" i="1"/>
  <c r="B1255" i="1"/>
  <c r="N1294" i="1"/>
  <c r="M1294" i="1"/>
  <c r="K1294" i="1"/>
  <c r="J1294" i="1"/>
  <c r="B1294" i="1"/>
  <c r="N1293" i="1"/>
  <c r="M1293" i="1"/>
  <c r="K1293" i="1"/>
  <c r="J1293" i="1"/>
  <c r="B1293" i="1"/>
  <c r="N1292" i="1"/>
  <c r="M1292" i="1"/>
  <c r="K1292" i="1"/>
  <c r="J1292" i="1"/>
  <c r="B1292" i="1"/>
  <c r="N1291" i="1"/>
  <c r="M1291" i="1"/>
  <c r="K1291" i="1"/>
  <c r="J1291" i="1"/>
  <c r="B1291" i="1"/>
  <c r="N1290" i="1"/>
  <c r="M1290" i="1"/>
  <c r="K1290" i="1"/>
  <c r="J1290" i="1"/>
  <c r="B1290" i="1"/>
  <c r="N1289" i="1"/>
  <c r="M1289" i="1"/>
  <c r="K1289" i="1"/>
  <c r="J1289" i="1"/>
  <c r="B1289" i="1"/>
  <c r="N1288" i="1"/>
  <c r="M1288" i="1"/>
  <c r="K1288" i="1"/>
  <c r="J1288" i="1"/>
  <c r="B1288" i="1"/>
  <c r="N1287" i="1"/>
  <c r="M1287" i="1"/>
  <c r="K1287" i="1"/>
  <c r="J1287" i="1"/>
  <c r="B1287" i="1"/>
  <c r="N1286" i="1"/>
  <c r="M1286" i="1"/>
  <c r="K1286" i="1"/>
  <c r="J1286" i="1"/>
  <c r="B1286" i="1"/>
  <c r="N1285" i="1"/>
  <c r="M1285" i="1"/>
  <c r="K1285" i="1"/>
  <c r="J1285" i="1"/>
  <c r="B1285" i="1"/>
  <c r="N1284" i="1"/>
  <c r="M1284" i="1"/>
  <c r="K1284" i="1"/>
  <c r="J1284" i="1"/>
  <c r="B1284" i="1"/>
  <c r="N1283" i="1"/>
  <c r="M1283" i="1"/>
  <c r="K1283" i="1"/>
  <c r="J1283" i="1"/>
  <c r="B1283" i="1"/>
  <c r="N1282" i="1"/>
  <c r="M1282" i="1"/>
  <c r="K1282" i="1"/>
  <c r="J1282" i="1"/>
  <c r="B1282" i="1"/>
  <c r="N1281" i="1"/>
  <c r="M1281" i="1"/>
  <c r="K1281" i="1"/>
  <c r="J1281" i="1"/>
  <c r="B1281" i="1"/>
  <c r="N1280" i="1"/>
  <c r="M1280" i="1"/>
  <c r="K1280" i="1"/>
  <c r="J1280" i="1"/>
  <c r="B1280" i="1"/>
  <c r="N1279" i="1"/>
  <c r="M1279" i="1"/>
  <c r="K1279" i="1"/>
  <c r="J1279" i="1"/>
  <c r="B1279" i="1"/>
  <c r="N1278" i="1"/>
  <c r="M1278" i="1"/>
  <c r="K1278" i="1"/>
  <c r="J1278" i="1"/>
  <c r="B1278" i="1"/>
  <c r="N1277" i="1"/>
  <c r="M1277" i="1"/>
  <c r="K1277" i="1"/>
  <c r="J1277" i="1"/>
  <c r="B1277" i="1"/>
  <c r="N1276" i="1"/>
  <c r="M1276" i="1"/>
  <c r="K1276" i="1"/>
  <c r="J1276" i="1"/>
  <c r="B1276" i="1"/>
  <c r="N1305" i="1"/>
  <c r="M1305" i="1"/>
  <c r="K1305" i="1"/>
  <c r="J1305" i="1"/>
  <c r="B1305" i="1"/>
  <c r="N1304" i="1"/>
  <c r="M1304" i="1"/>
  <c r="K1304" i="1"/>
  <c r="J1304" i="1"/>
  <c r="B1304" i="1"/>
  <c r="N1303" i="1"/>
  <c r="M1303" i="1"/>
  <c r="K1303" i="1"/>
  <c r="J1303" i="1"/>
  <c r="B1303" i="1"/>
  <c r="N1302" i="1"/>
  <c r="M1302" i="1"/>
  <c r="K1302" i="1"/>
  <c r="J1302" i="1"/>
  <c r="B1302" i="1"/>
  <c r="N1301" i="1"/>
  <c r="M1301" i="1"/>
  <c r="K1301" i="1"/>
  <c r="J1301" i="1"/>
  <c r="B1301" i="1"/>
  <c r="N1300" i="1"/>
  <c r="M1300" i="1"/>
  <c r="K1300" i="1"/>
  <c r="J1300" i="1"/>
  <c r="B1300" i="1"/>
  <c r="N1299" i="1"/>
  <c r="M1299" i="1"/>
  <c r="K1299" i="1"/>
  <c r="J1299" i="1"/>
  <c r="B1299" i="1"/>
  <c r="N1298" i="1"/>
  <c r="M1298" i="1"/>
  <c r="K1298" i="1"/>
  <c r="J1298" i="1"/>
  <c r="B1298" i="1"/>
  <c r="N1297" i="1"/>
  <c r="M1297" i="1"/>
  <c r="K1297" i="1"/>
  <c r="J1297" i="1"/>
  <c r="B1297" i="1"/>
  <c r="N1296" i="1"/>
  <c r="M1296" i="1"/>
  <c r="K1296" i="1"/>
  <c r="J1296" i="1"/>
  <c r="B1296" i="1"/>
  <c r="N1295" i="1"/>
  <c r="M1295" i="1"/>
  <c r="K1295" i="1"/>
  <c r="J1295" i="1"/>
  <c r="B1295" i="1"/>
  <c r="N1318" i="1"/>
  <c r="M1318" i="1"/>
  <c r="K1318" i="1"/>
  <c r="J1318" i="1"/>
  <c r="B1318" i="1"/>
  <c r="N1317" i="1"/>
  <c r="M1317" i="1"/>
  <c r="K1317" i="1"/>
  <c r="J1317" i="1"/>
  <c r="B1317" i="1"/>
  <c r="N1316" i="1"/>
  <c r="M1316" i="1"/>
  <c r="K1316" i="1"/>
  <c r="J1316" i="1"/>
  <c r="B1316" i="1"/>
  <c r="N1315" i="1"/>
  <c r="M1315" i="1"/>
  <c r="K1315" i="1"/>
  <c r="J1315" i="1"/>
  <c r="B1315" i="1"/>
  <c r="N1314" i="1"/>
  <c r="M1314" i="1"/>
  <c r="K1314" i="1"/>
  <c r="J1314" i="1"/>
  <c r="B1314" i="1"/>
  <c r="N1313" i="1"/>
  <c r="M1313" i="1"/>
  <c r="K1313" i="1"/>
  <c r="J1313" i="1"/>
  <c r="B1313" i="1"/>
  <c r="N1312" i="1"/>
  <c r="M1312" i="1"/>
  <c r="K1312" i="1"/>
  <c r="J1312" i="1"/>
  <c r="B1312" i="1"/>
  <c r="N1311" i="1"/>
  <c r="M1311" i="1"/>
  <c r="K1311" i="1"/>
  <c r="J1311" i="1"/>
  <c r="B1311" i="1"/>
  <c r="N1310" i="1"/>
  <c r="M1310" i="1"/>
  <c r="K1310" i="1"/>
  <c r="J1310" i="1"/>
  <c r="B1310" i="1"/>
  <c r="N1309" i="1"/>
  <c r="M1309" i="1"/>
  <c r="K1309" i="1"/>
  <c r="J1309" i="1"/>
  <c r="B1309" i="1"/>
  <c r="N1308" i="1"/>
  <c r="M1308" i="1"/>
  <c r="K1308" i="1"/>
  <c r="J1308" i="1"/>
  <c r="B1308" i="1"/>
  <c r="N1307" i="1"/>
  <c r="M1307" i="1"/>
  <c r="K1307" i="1"/>
  <c r="J1307" i="1"/>
  <c r="B1307" i="1"/>
  <c r="N1306" i="1"/>
  <c r="M1306" i="1"/>
  <c r="K1306" i="1"/>
  <c r="J1306" i="1"/>
  <c r="B1306" i="1"/>
  <c r="N1337" i="1"/>
  <c r="M1337" i="1"/>
  <c r="K1337" i="1"/>
  <c r="J1337" i="1"/>
  <c r="B1337" i="1"/>
  <c r="N1336" i="1"/>
  <c r="M1336" i="1"/>
  <c r="K1336" i="1"/>
  <c r="J1336" i="1"/>
  <c r="B1336" i="1"/>
  <c r="N1335" i="1"/>
  <c r="M1335" i="1"/>
  <c r="K1335" i="1"/>
  <c r="J1335" i="1"/>
  <c r="B1335" i="1"/>
  <c r="N1334" i="1"/>
  <c r="M1334" i="1"/>
  <c r="K1334" i="1"/>
  <c r="J1334" i="1"/>
  <c r="B1334" i="1"/>
  <c r="N1333" i="1"/>
  <c r="M1333" i="1"/>
  <c r="K1333" i="1"/>
  <c r="J1333" i="1"/>
  <c r="B1333" i="1"/>
  <c r="N1332" i="1"/>
  <c r="M1332" i="1"/>
  <c r="K1332" i="1"/>
  <c r="J1332" i="1"/>
  <c r="B1332" i="1"/>
  <c r="N1331" i="1"/>
  <c r="M1331" i="1"/>
  <c r="K1331" i="1"/>
  <c r="J1331" i="1"/>
  <c r="B1331" i="1"/>
  <c r="N1330" i="1"/>
  <c r="M1330" i="1"/>
  <c r="K1330" i="1"/>
  <c r="J1330" i="1"/>
  <c r="B1330" i="1"/>
  <c r="N1329" i="1"/>
  <c r="M1329" i="1"/>
  <c r="K1329" i="1"/>
  <c r="J1329" i="1"/>
  <c r="B1329" i="1"/>
  <c r="N1328" i="1"/>
  <c r="M1328" i="1"/>
  <c r="K1328" i="1"/>
  <c r="J1328" i="1"/>
  <c r="B1328" i="1"/>
  <c r="N1327" i="1"/>
  <c r="M1327" i="1"/>
  <c r="K1327" i="1"/>
  <c r="J1327" i="1"/>
  <c r="B1327" i="1"/>
  <c r="N1326" i="1"/>
  <c r="M1326" i="1"/>
  <c r="K1326" i="1"/>
  <c r="J1326" i="1"/>
  <c r="B1326" i="1"/>
  <c r="N1325" i="1"/>
  <c r="M1325" i="1"/>
  <c r="K1325" i="1"/>
  <c r="J1325" i="1"/>
  <c r="B1325" i="1"/>
  <c r="N1324" i="1"/>
  <c r="M1324" i="1"/>
  <c r="K1324" i="1"/>
  <c r="J1324" i="1"/>
  <c r="B1324" i="1"/>
  <c r="N1323" i="1"/>
  <c r="M1323" i="1"/>
  <c r="K1323" i="1"/>
  <c r="J1323" i="1"/>
  <c r="B1323" i="1"/>
  <c r="N1322" i="1"/>
  <c r="M1322" i="1"/>
  <c r="K1322" i="1"/>
  <c r="J1322" i="1"/>
  <c r="B1322" i="1"/>
  <c r="N1321" i="1"/>
  <c r="M1321" i="1"/>
  <c r="K1321" i="1"/>
  <c r="J1321" i="1"/>
  <c r="B1321" i="1"/>
  <c r="N1320" i="1"/>
  <c r="M1320" i="1"/>
  <c r="K1320" i="1"/>
  <c r="J1320" i="1"/>
  <c r="B1320" i="1"/>
  <c r="N1319" i="1"/>
  <c r="M1319" i="1"/>
  <c r="K1319" i="1"/>
  <c r="J1319" i="1"/>
  <c r="B1319" i="1"/>
  <c r="N1346" i="1"/>
  <c r="M1346" i="1"/>
  <c r="K1346" i="1"/>
  <c r="J1346" i="1"/>
  <c r="B1346" i="1"/>
  <c r="N1345" i="1"/>
  <c r="M1345" i="1"/>
  <c r="K1345" i="1"/>
  <c r="J1345" i="1"/>
  <c r="B1345" i="1"/>
  <c r="N1344" i="1"/>
  <c r="M1344" i="1"/>
  <c r="K1344" i="1"/>
  <c r="J1344" i="1"/>
  <c r="B1344" i="1"/>
  <c r="N1343" i="1"/>
  <c r="M1343" i="1"/>
  <c r="K1343" i="1"/>
  <c r="J1343" i="1"/>
  <c r="B1343" i="1"/>
  <c r="N1342" i="1"/>
  <c r="M1342" i="1"/>
  <c r="K1342" i="1"/>
  <c r="J1342" i="1"/>
  <c r="B1342" i="1"/>
  <c r="N1341" i="1"/>
  <c r="M1341" i="1"/>
  <c r="K1341" i="1"/>
  <c r="J1341" i="1"/>
  <c r="B1341" i="1"/>
  <c r="N1340" i="1"/>
  <c r="M1340" i="1"/>
  <c r="K1340" i="1"/>
  <c r="J1340" i="1"/>
  <c r="B1340" i="1"/>
  <c r="N1339" i="1"/>
  <c r="M1339" i="1"/>
  <c r="K1339" i="1"/>
  <c r="J1339" i="1"/>
  <c r="B1339" i="1"/>
  <c r="N1338" i="1"/>
  <c r="M1338" i="1"/>
  <c r="K1338" i="1"/>
  <c r="J1338" i="1"/>
  <c r="B1338" i="1"/>
  <c r="N1359" i="1"/>
  <c r="M1359" i="1"/>
  <c r="K1359" i="1"/>
  <c r="J1359" i="1"/>
  <c r="B1359" i="1"/>
  <c r="N1358" i="1"/>
  <c r="M1358" i="1"/>
  <c r="K1358" i="1"/>
  <c r="J1358" i="1"/>
  <c r="B1358" i="1"/>
  <c r="N1357" i="1"/>
  <c r="M1357" i="1"/>
  <c r="K1357" i="1"/>
  <c r="J1357" i="1"/>
  <c r="B1357" i="1"/>
  <c r="N1356" i="1"/>
  <c r="M1356" i="1"/>
  <c r="K1356" i="1"/>
  <c r="J1356" i="1"/>
  <c r="B1356" i="1"/>
  <c r="N1355" i="1"/>
  <c r="M1355" i="1"/>
  <c r="K1355" i="1"/>
  <c r="J1355" i="1"/>
  <c r="B1355" i="1"/>
  <c r="N1354" i="1"/>
  <c r="M1354" i="1"/>
  <c r="K1354" i="1"/>
  <c r="J1354" i="1"/>
  <c r="B1354" i="1"/>
  <c r="N1353" i="1"/>
  <c r="M1353" i="1"/>
  <c r="K1353" i="1"/>
  <c r="J1353" i="1"/>
  <c r="B1353" i="1"/>
  <c r="N1352" i="1"/>
  <c r="M1352" i="1"/>
  <c r="K1352" i="1"/>
  <c r="J1352" i="1"/>
  <c r="B1352" i="1"/>
  <c r="N1351" i="1"/>
  <c r="M1351" i="1"/>
  <c r="K1351" i="1"/>
  <c r="J1351" i="1"/>
  <c r="B1351" i="1"/>
  <c r="N1350" i="1"/>
  <c r="M1350" i="1"/>
  <c r="K1350" i="1"/>
  <c r="J1350" i="1"/>
  <c r="B1350" i="1"/>
  <c r="N1349" i="1"/>
  <c r="M1349" i="1"/>
  <c r="K1349" i="1"/>
  <c r="J1349" i="1"/>
  <c r="B1349" i="1"/>
  <c r="N1348" i="1"/>
  <c r="M1348" i="1"/>
  <c r="K1348" i="1"/>
  <c r="J1348" i="1"/>
  <c r="B1348" i="1"/>
  <c r="N1347" i="1"/>
  <c r="M1347" i="1"/>
  <c r="K1347" i="1"/>
  <c r="J1347" i="1"/>
  <c r="B1347" i="1"/>
  <c r="N1380" i="1"/>
  <c r="M1380" i="1"/>
  <c r="K1380" i="1"/>
  <c r="J1380" i="1"/>
  <c r="B1380" i="1"/>
  <c r="N1379" i="1"/>
  <c r="M1379" i="1"/>
  <c r="K1379" i="1"/>
  <c r="J1379" i="1"/>
  <c r="B1379" i="1"/>
  <c r="N1378" i="1"/>
  <c r="M1378" i="1"/>
  <c r="K1378" i="1"/>
  <c r="J1378" i="1"/>
  <c r="B1378" i="1"/>
  <c r="N1377" i="1"/>
  <c r="M1377" i="1"/>
  <c r="K1377" i="1"/>
  <c r="J1377" i="1"/>
  <c r="B1377" i="1"/>
  <c r="N1376" i="1"/>
  <c r="M1376" i="1"/>
  <c r="K1376" i="1"/>
  <c r="J1376" i="1"/>
  <c r="B1376" i="1"/>
  <c r="N1375" i="1"/>
  <c r="M1375" i="1"/>
  <c r="K1375" i="1"/>
  <c r="J1375" i="1"/>
  <c r="B1375" i="1"/>
  <c r="N1374" i="1"/>
  <c r="M1374" i="1"/>
  <c r="K1374" i="1"/>
  <c r="J1374" i="1"/>
  <c r="B1374" i="1"/>
  <c r="N1373" i="1"/>
  <c r="M1373" i="1"/>
  <c r="K1373" i="1"/>
  <c r="J1373" i="1"/>
  <c r="B1373" i="1"/>
  <c r="N1372" i="1"/>
  <c r="M1372" i="1"/>
  <c r="K1372" i="1"/>
  <c r="J1372" i="1"/>
  <c r="B1372" i="1"/>
  <c r="N1371" i="1"/>
  <c r="M1371" i="1"/>
  <c r="K1371" i="1"/>
  <c r="J1371" i="1"/>
  <c r="B1371" i="1"/>
  <c r="N1370" i="1"/>
  <c r="M1370" i="1"/>
  <c r="K1370" i="1"/>
  <c r="J1370" i="1"/>
  <c r="B1370" i="1"/>
  <c r="N1369" i="1"/>
  <c r="M1369" i="1"/>
  <c r="K1369" i="1"/>
  <c r="J1369" i="1"/>
  <c r="B1369" i="1"/>
  <c r="N1368" i="1"/>
  <c r="M1368" i="1"/>
  <c r="K1368" i="1"/>
  <c r="J1368" i="1"/>
  <c r="B1368" i="1"/>
  <c r="N1367" i="1"/>
  <c r="M1367" i="1"/>
  <c r="K1367" i="1"/>
  <c r="J1367" i="1"/>
  <c r="B1367" i="1"/>
  <c r="N1366" i="1"/>
  <c r="M1366" i="1"/>
  <c r="K1366" i="1"/>
  <c r="J1366" i="1"/>
  <c r="B1366" i="1"/>
  <c r="N1365" i="1"/>
  <c r="M1365" i="1"/>
  <c r="K1365" i="1"/>
  <c r="J1365" i="1"/>
  <c r="B1365" i="1"/>
  <c r="N1364" i="1"/>
  <c r="M1364" i="1"/>
  <c r="K1364" i="1"/>
  <c r="J1364" i="1"/>
  <c r="B1364" i="1"/>
  <c r="N1363" i="1"/>
  <c r="M1363" i="1"/>
  <c r="K1363" i="1"/>
  <c r="J1363" i="1"/>
  <c r="B1363" i="1"/>
  <c r="N1362" i="1"/>
  <c r="M1362" i="1"/>
  <c r="K1362" i="1"/>
  <c r="J1362" i="1"/>
  <c r="B1362" i="1"/>
  <c r="N1361" i="1"/>
  <c r="M1361" i="1"/>
  <c r="K1361" i="1"/>
  <c r="J1361" i="1"/>
  <c r="B1361" i="1"/>
  <c r="N1360" i="1"/>
  <c r="M1360" i="1"/>
  <c r="K1360" i="1"/>
  <c r="J1360" i="1"/>
  <c r="B1360" i="1"/>
  <c r="N1398" i="1"/>
  <c r="M1398" i="1"/>
  <c r="K1398" i="1"/>
  <c r="J1398" i="1"/>
  <c r="B1398" i="1"/>
  <c r="N1397" i="1"/>
  <c r="M1397" i="1"/>
  <c r="K1397" i="1"/>
  <c r="J1397" i="1"/>
  <c r="B1397" i="1"/>
  <c r="N1396" i="1"/>
  <c r="M1396" i="1"/>
  <c r="K1396" i="1"/>
  <c r="J1396" i="1"/>
  <c r="B1396" i="1"/>
  <c r="N1395" i="1"/>
  <c r="M1395" i="1"/>
  <c r="K1395" i="1"/>
  <c r="J1395" i="1"/>
  <c r="B1395" i="1"/>
  <c r="N1394" i="1"/>
  <c r="M1394" i="1"/>
  <c r="K1394" i="1"/>
  <c r="J1394" i="1"/>
  <c r="B1394" i="1"/>
  <c r="N1393" i="1"/>
  <c r="M1393" i="1"/>
  <c r="K1393" i="1"/>
  <c r="J1393" i="1"/>
  <c r="B1393" i="1"/>
  <c r="N1392" i="1"/>
  <c r="M1392" i="1"/>
  <c r="K1392" i="1"/>
  <c r="J1392" i="1"/>
  <c r="B1392" i="1"/>
  <c r="N1391" i="1"/>
  <c r="M1391" i="1"/>
  <c r="K1391" i="1"/>
  <c r="J1391" i="1"/>
  <c r="B1391" i="1"/>
  <c r="N1390" i="1"/>
  <c r="M1390" i="1"/>
  <c r="K1390" i="1"/>
  <c r="J1390" i="1"/>
  <c r="B1390" i="1"/>
  <c r="N1389" i="1"/>
  <c r="M1389" i="1"/>
  <c r="K1389" i="1"/>
  <c r="J1389" i="1"/>
  <c r="B1389" i="1"/>
  <c r="N1388" i="1"/>
  <c r="M1388" i="1"/>
  <c r="K1388" i="1"/>
  <c r="J1388" i="1"/>
  <c r="B1388" i="1"/>
  <c r="N1387" i="1"/>
  <c r="M1387" i="1"/>
  <c r="K1387" i="1"/>
  <c r="J1387" i="1"/>
  <c r="B1387" i="1"/>
  <c r="N1386" i="1"/>
  <c r="M1386" i="1"/>
  <c r="K1386" i="1"/>
  <c r="J1386" i="1"/>
  <c r="B1386" i="1"/>
  <c r="N1385" i="1"/>
  <c r="M1385" i="1"/>
  <c r="K1385" i="1"/>
  <c r="J1385" i="1"/>
  <c r="B1385" i="1"/>
  <c r="N1384" i="1"/>
  <c r="M1384" i="1"/>
  <c r="K1384" i="1"/>
  <c r="J1384" i="1"/>
  <c r="B1384" i="1"/>
  <c r="N1383" i="1"/>
  <c r="M1383" i="1"/>
  <c r="K1383" i="1"/>
  <c r="J1383" i="1"/>
  <c r="B1383" i="1"/>
  <c r="N1382" i="1"/>
  <c r="M1382" i="1"/>
  <c r="K1382" i="1"/>
  <c r="J1382" i="1"/>
  <c r="B1382" i="1"/>
  <c r="N1381" i="1"/>
  <c r="M1381" i="1"/>
  <c r="K1381" i="1"/>
  <c r="J1381" i="1"/>
  <c r="B1381" i="1"/>
  <c r="N1409" i="1"/>
  <c r="M1409" i="1"/>
  <c r="K1409" i="1"/>
  <c r="J1409" i="1"/>
  <c r="B1409" i="1"/>
  <c r="N1408" i="1"/>
  <c r="M1408" i="1"/>
  <c r="K1408" i="1"/>
  <c r="J1408" i="1"/>
  <c r="B1408" i="1"/>
  <c r="N1407" i="1"/>
  <c r="M1407" i="1"/>
  <c r="K1407" i="1"/>
  <c r="J1407" i="1"/>
  <c r="B1407" i="1"/>
  <c r="N1406" i="1"/>
  <c r="M1406" i="1"/>
  <c r="K1406" i="1"/>
  <c r="J1406" i="1"/>
  <c r="B1406" i="1"/>
  <c r="N1405" i="1"/>
  <c r="M1405" i="1"/>
  <c r="K1405" i="1"/>
  <c r="J1405" i="1"/>
  <c r="B1405" i="1"/>
  <c r="N1404" i="1"/>
  <c r="M1404" i="1"/>
  <c r="K1404" i="1"/>
  <c r="J1404" i="1"/>
  <c r="B1404" i="1"/>
  <c r="N1403" i="1"/>
  <c r="M1403" i="1"/>
  <c r="K1403" i="1"/>
  <c r="J1403" i="1"/>
  <c r="B1403" i="1"/>
  <c r="N1402" i="1"/>
  <c r="M1402" i="1"/>
  <c r="K1402" i="1"/>
  <c r="J1402" i="1"/>
  <c r="B1402" i="1"/>
  <c r="N1401" i="1"/>
  <c r="M1401" i="1"/>
  <c r="K1401" i="1"/>
  <c r="J1401" i="1"/>
  <c r="B1401" i="1"/>
  <c r="N1400" i="1"/>
  <c r="M1400" i="1"/>
  <c r="K1400" i="1"/>
  <c r="J1400" i="1"/>
  <c r="B1400" i="1"/>
  <c r="N1399" i="1"/>
  <c r="M1399" i="1"/>
  <c r="K1399" i="1"/>
  <c r="J1399" i="1"/>
  <c r="B1399" i="1"/>
  <c r="N1426" i="1"/>
  <c r="M1426" i="1"/>
  <c r="K1426" i="1"/>
  <c r="J1426" i="1"/>
  <c r="B1426" i="1"/>
  <c r="N1425" i="1"/>
  <c r="M1425" i="1"/>
  <c r="K1425" i="1"/>
  <c r="J1425" i="1"/>
  <c r="B1425" i="1"/>
  <c r="N1424" i="1"/>
  <c r="M1424" i="1"/>
  <c r="K1424" i="1"/>
  <c r="J1424" i="1"/>
  <c r="B1424" i="1"/>
  <c r="N1423" i="1"/>
  <c r="M1423" i="1"/>
  <c r="K1423" i="1"/>
  <c r="J1423" i="1"/>
  <c r="B1423" i="1"/>
  <c r="N1422" i="1"/>
  <c r="M1422" i="1"/>
  <c r="K1422" i="1"/>
  <c r="J1422" i="1"/>
  <c r="B1422" i="1"/>
  <c r="N1421" i="1"/>
  <c r="M1421" i="1"/>
  <c r="K1421" i="1"/>
  <c r="J1421" i="1"/>
  <c r="B1421" i="1"/>
  <c r="N1420" i="1"/>
  <c r="M1420" i="1"/>
  <c r="K1420" i="1"/>
  <c r="J1420" i="1"/>
  <c r="B1420" i="1"/>
  <c r="N1419" i="1"/>
  <c r="M1419" i="1"/>
  <c r="K1419" i="1"/>
  <c r="J1419" i="1"/>
  <c r="B1419" i="1"/>
  <c r="N1418" i="1"/>
  <c r="M1418" i="1"/>
  <c r="K1418" i="1"/>
  <c r="J1418" i="1"/>
  <c r="B1418" i="1"/>
  <c r="N1417" i="1"/>
  <c r="M1417" i="1"/>
  <c r="K1417" i="1"/>
  <c r="J1417" i="1"/>
  <c r="B1417" i="1"/>
  <c r="N1416" i="1"/>
  <c r="M1416" i="1"/>
  <c r="K1416" i="1"/>
  <c r="J1416" i="1"/>
  <c r="B1416" i="1"/>
  <c r="N1415" i="1"/>
  <c r="M1415" i="1"/>
  <c r="K1415" i="1"/>
  <c r="J1415" i="1"/>
  <c r="B1415" i="1"/>
  <c r="N1414" i="1"/>
  <c r="M1414" i="1"/>
  <c r="K1414" i="1"/>
  <c r="J1414" i="1"/>
  <c r="B1414" i="1"/>
  <c r="N1413" i="1"/>
  <c r="M1413" i="1"/>
  <c r="K1413" i="1"/>
  <c r="J1413" i="1"/>
  <c r="B1413" i="1"/>
  <c r="N1412" i="1"/>
  <c r="M1412" i="1"/>
  <c r="K1412" i="1"/>
  <c r="J1412" i="1"/>
  <c r="B1412" i="1"/>
  <c r="N1411" i="1"/>
  <c r="M1411" i="1"/>
  <c r="K1411" i="1"/>
  <c r="J1411" i="1"/>
  <c r="B1411" i="1"/>
  <c r="N1410" i="1"/>
  <c r="M1410" i="1"/>
  <c r="K1410" i="1"/>
  <c r="J1410" i="1"/>
  <c r="B1410" i="1"/>
  <c r="N1429" i="1"/>
  <c r="M1429" i="1"/>
  <c r="K1429" i="1"/>
  <c r="J1429" i="1"/>
  <c r="B1429" i="1"/>
  <c r="N1428" i="1"/>
  <c r="M1428" i="1"/>
  <c r="K1428" i="1"/>
  <c r="J1428" i="1"/>
  <c r="B1428" i="1"/>
  <c r="N1427" i="1"/>
  <c r="M1427" i="1"/>
  <c r="K1427" i="1"/>
  <c r="J1427" i="1"/>
  <c r="B1427" i="1"/>
  <c r="N1431" i="1"/>
  <c r="M1431" i="1"/>
  <c r="J1431" i="1"/>
  <c r="B1431" i="1"/>
  <c r="N1430" i="1"/>
  <c r="M1430" i="1"/>
  <c r="K1430" i="1"/>
  <c r="J1430" i="1"/>
  <c r="L1430" i="1" s="1"/>
  <c r="B1430" i="1"/>
  <c r="G3" i="8" l="1"/>
  <c r="L1431" i="1"/>
  <c r="C20" i="8"/>
  <c r="C30" i="8"/>
  <c r="B25" i="8"/>
  <c r="C22" i="8"/>
  <c r="B17" i="8"/>
  <c r="C14" i="8"/>
  <c r="B30" i="8"/>
  <c r="C27" i="8"/>
  <c r="B22" i="8"/>
  <c r="C19" i="8"/>
  <c r="B14" i="8"/>
  <c r="C11" i="8"/>
  <c r="B27" i="8"/>
  <c r="C24" i="8"/>
  <c r="B19" i="8"/>
  <c r="C16" i="8"/>
  <c r="B11" i="8"/>
  <c r="C29" i="8"/>
  <c r="B24" i="8"/>
  <c r="C21" i="8"/>
  <c r="B16" i="8"/>
  <c r="C13" i="8"/>
  <c r="B29" i="8"/>
  <c r="C26" i="8"/>
  <c r="B21" i="8"/>
  <c r="C18" i="8"/>
  <c r="B13" i="8"/>
  <c r="B26" i="8"/>
  <c r="C23" i="8"/>
  <c r="B18" i="8"/>
  <c r="C15" i="8"/>
  <c r="B6" i="8"/>
  <c r="C28" i="8"/>
  <c r="B23" i="8"/>
  <c r="C12" i="8"/>
  <c r="B28" i="8"/>
  <c r="C17" i="8"/>
  <c r="B12" i="8"/>
  <c r="B15" i="8"/>
  <c r="B5" i="8"/>
  <c r="C35" i="8"/>
  <c r="B35" i="8"/>
  <c r="C25" i="8"/>
  <c r="B20" i="8"/>
  <c r="B5" i="3"/>
  <c r="B4" i="3"/>
  <c r="B7" i="8" l="1"/>
  <c r="B6" i="3"/>
  <c r="B8" i="3"/>
  <c r="L2" i="1"/>
  <c r="L3" i="1"/>
  <c r="L4" i="1"/>
  <c r="L5" i="1"/>
  <c r="L6" i="1"/>
  <c r="L7" i="1"/>
  <c r="L8"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B3" i="4"/>
  <c r="B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000-000001000000}">
      <text>
        <r>
          <rPr>
            <sz val="11"/>
            <color theme="1"/>
            <rFont val="Calibri"/>
            <scheme val="minor"/>
          </rPr>
          <t xml:space="preserve">LÀ NGƯỜI NHẬN ĐƯỢC TIỀN CHUYỂN ĐẾN
</t>
        </r>
      </text>
    </comment>
  </commentList>
</comments>
</file>

<file path=xl/sharedStrings.xml><?xml version="1.0" encoding="utf-8"?>
<sst xmlns="http://schemas.openxmlformats.org/spreadsheetml/2006/main" count="7327" uniqueCount="1662">
  <si>
    <t>Ngày</t>
  </si>
  <si>
    <t>Số chứng từ</t>
  </si>
  <si>
    <t>Diễn giải</t>
  </si>
  <si>
    <t>Loại (Thu/Chi)</t>
  </si>
  <si>
    <t>Hạng mục</t>
  </si>
  <si>
    <t>Dự án/Phòng ban</t>
  </si>
  <si>
    <t>Người nhận/Nộp</t>
  </si>
  <si>
    <t>Hình thức</t>
  </si>
  <si>
    <t>Số tiền</t>
  </si>
  <si>
    <t>Thu (+)</t>
  </si>
  <si>
    <t>Chi (-)</t>
  </si>
  <si>
    <t>Tổng Số dư sau GD</t>
  </si>
  <si>
    <t>Số dư tiền mặt</t>
  </si>
  <si>
    <t>Số dư CK</t>
  </si>
  <si>
    <t>Chứng từ</t>
  </si>
  <si>
    <t>Ghi chú</t>
  </si>
  <si>
    <t>Người lập</t>
  </si>
  <si>
    <t>Người duyệt</t>
  </si>
  <si>
    <t>Trạng thái</t>
  </si>
  <si>
    <t>GIÁM ĐỐC NỘP QUỸ L1</t>
  </si>
  <si>
    <t>Thu</t>
  </si>
  <si>
    <t>Bổ sung quỹ</t>
  </si>
  <si>
    <t>GIÁM ĐỐC</t>
  </si>
  <si>
    <t>Tiền mặt</t>
  </si>
  <si>
    <t>SÁU</t>
  </si>
  <si>
    <t>Đã chi</t>
  </si>
  <si>
    <t>GIÁM ĐỐC NỘP QUỸ L2</t>
  </si>
  <si>
    <t>Chuyển khoản</t>
  </si>
  <si>
    <t>Tiền đá tháng 12</t>
  </si>
  <si>
    <t>Chi</t>
  </si>
  <si>
    <t>Quầy nước- cà phê</t>
  </si>
  <si>
    <t>Anh Trí</t>
  </si>
  <si>
    <t>tiền vệ sinh tháng 12</t>
  </si>
  <si>
    <t>Vệ sinh - Rác thải</t>
  </si>
  <si>
    <t>Phạm Văn Thừa</t>
  </si>
  <si>
    <t>mua bánh kem chị Vy</t>
  </si>
  <si>
    <t>Sinh hoạt gia đình</t>
  </si>
  <si>
    <t>Hằng</t>
  </si>
  <si>
    <t>cam 5/1</t>
  </si>
  <si>
    <t>Táo</t>
  </si>
  <si>
    <t>gửi chị Huy đi nộp bản vẽ sáng 5/1</t>
  </si>
  <si>
    <t>Chi quầy tiếp nhận</t>
  </si>
  <si>
    <t>Chị Huy</t>
  </si>
  <si>
    <t>574-DC/BK-2025	Bùi Hà Anh</t>
  </si>
  <si>
    <t>Chi thụ lý bản vẽ</t>
  </si>
  <si>
    <t>Anh Xuân Tiền</t>
  </si>
  <si>
    <t>gửi bv bv Bùi Hà Anh</t>
  </si>
  <si>
    <t>Chi bảo vệ</t>
  </si>
  <si>
    <t>bảo vệ</t>
  </si>
  <si>
    <t>GIÁM ĐỐC NỘP QUỸ L3</t>
  </si>
  <si>
    <t>Nguyễn Hữu Thịnh (1238)</t>
  </si>
  <si>
    <t>Lấy bản vẽ</t>
  </si>
  <si>
    <t>Chi nhánh số 2</t>
  </si>
  <si>
    <t>Trần văn Sỹ (1592)</t>
  </si>
  <si>
    <t>Thiên Gia Phát</t>
  </si>
  <si>
    <t>Phạm Đăng Khoa (1258)</t>
  </si>
  <si>
    <t>thu tiền nộp bản vẽ Thiên Gia Phát 206k + 50k phí đóng</t>
  </si>
  <si>
    <t>648/BK-2025	Vũ Phạm Minh Tú</t>
  </si>
  <si>
    <t>gửi bv bv Vũ Phạm Minh Tú</t>
  </si>
  <si>
    <t>Nguyễn Minh Chữ (627)</t>
  </si>
  <si>
    <t>thanh toán trích lục Phạm Thị Vân</t>
  </si>
  <si>
    <t>Lấy trích lục</t>
  </si>
  <si>
    <t>gửi chị Huy đi nộp bản vẽ chiều 5/1</t>
  </si>
  <si>
    <t>đưa sếp 200k</t>
  </si>
  <si>
    <t>Công tác phí</t>
  </si>
  <si>
    <t>Sếp</t>
  </si>
  <si>
    <t>tiền nước 5/1</t>
  </si>
  <si>
    <t>Lê Sỹ Đặng (Chị Nguyệt Tạp Hóa)</t>
  </si>
  <si>
    <t>Viết hồ sơ</t>
  </si>
  <si>
    <t>Chị Nhi (khách)</t>
  </si>
  <si>
    <t>giao hợp đồng cho anh Thanh</t>
  </si>
  <si>
    <t>Chuyển phát - Bưu chính-Grap</t>
  </si>
  <si>
    <t>shipper</t>
  </si>
  <si>
    <t>giao biên bản ktra xe lần 1</t>
  </si>
  <si>
    <t>đóng tiền BH xe</t>
  </si>
  <si>
    <t>Bảo trì thiết bị</t>
  </si>
  <si>
    <t>Petrolimex</t>
  </si>
  <si>
    <t>bấm + ghim + miếng lót chuột</t>
  </si>
  <si>
    <t>Văn phòng phẩm</t>
  </si>
  <si>
    <t>GIÁM ĐỐC NỘP QUỸ L4</t>
  </si>
  <si>
    <t>giao biên bản ktra xe lần 2</t>
  </si>
  <si>
    <t>Rút hồ sơ Võ Văn Ninh</t>
  </si>
  <si>
    <t>quầy tiếp nhận</t>
  </si>
  <si>
    <t>gửi chị Huy nộp bản vẽ</t>
  </si>
  <si>
    <t>chị Huy</t>
  </si>
  <si>
    <t>cắm mốc + thuê phụ hs Đoàn Lê Dũng</t>
  </si>
  <si>
    <t>Anh Dựng</t>
  </si>
  <si>
    <t>đóng thuế phi NN Phạm Thị Dạ Thảo, Nguyễn Thị Tuyết Hằng, Nguyễn Thị Kim Ngọc</t>
  </si>
  <si>
    <t xml:space="preserve">Đóng thuế </t>
  </si>
  <si>
    <t>Agribank</t>
  </si>
  <si>
    <t>gửi chị Huy đi nộp bản vẽ sáng 7/1</t>
  </si>
  <si>
    <t>Bùi Hà Anh</t>
  </si>
  <si>
    <t>673/BK-2025	Phạm Thị Trang</t>
  </si>
  <si>
    <t>Anh Đình Quang</t>
  </si>
  <si>
    <t>gửi bv bv Phạm Thị Trang</t>
  </si>
  <si>
    <t>mua quà chị Vy</t>
  </si>
  <si>
    <t>661/BK-2025	Nguyễn Văn Quân</t>
  </si>
  <si>
    <t>Anh Hữu Quang</t>
  </si>
  <si>
    <t>646/BK-2025	Nguyễn Tuấn Nghiêm</t>
  </si>
  <si>
    <t>Anh Kim Tuấn</t>
  </si>
  <si>
    <t>gửi bv bv Nguyễn Văn Quân, Nguyễn Tuấn Nghiêm</t>
  </si>
  <si>
    <t>GIÁM ĐỐC NỘP QUỸ L5</t>
  </si>
  <si>
    <t>669/BK-2025	Phan Ngọc Bắc</t>
  </si>
  <si>
    <t>Anh Xuất</t>
  </si>
  <si>
    <t>gửi bv bv Phan Ngọc Bắc</t>
  </si>
  <si>
    <t>gửi chị Huy nộp bản vẽ lần 2 sáng 7/1</t>
  </si>
  <si>
    <t>nộp hs Nguyễn Hữu Thịnh</t>
  </si>
  <si>
    <t>672/BK-2025	Nguyễn Văn Trưởng - Nguyễn Thị Thúy</t>
  </si>
  <si>
    <t>Anh Quang Sáng</t>
  </si>
  <si>
    <t>gửi bv bv Nguyễn Thị Thúy</t>
  </si>
  <si>
    <t>GIÁM ĐỐC NỘP QUỸ L6</t>
  </si>
  <si>
    <t>nộp xóa thế chấp Nguyễn Trung Thông</t>
  </si>
  <si>
    <t>gửi anh Phúc làm phi NN Nguyễn Trung Thông</t>
  </si>
  <si>
    <t>Anh Phúc</t>
  </si>
  <si>
    <t>bao rác + nước rửa chén + pin</t>
  </si>
  <si>
    <t xml:space="preserve">gửi bv bv Phạm Thị Trang </t>
  </si>
  <si>
    <t>gửi chị Huy nộp bv sáng 8/1</t>
  </si>
  <si>
    <t>chiị Huy</t>
  </si>
  <si>
    <t>thanh toán trích lục Nguyễn Minh Trung</t>
  </si>
  <si>
    <t>Trần Thùy Giang PC/181</t>
  </si>
  <si>
    <t xml:space="preserve">Anh Phúc </t>
  </si>
  <si>
    <t>giao hđ cho chị Hà</t>
  </si>
  <si>
    <t>grab</t>
  </si>
  <si>
    <t>651/BK-2025	Võ Thị Thanh</t>
  </si>
  <si>
    <t>Anh Lưu Cường</t>
  </si>
  <si>
    <t>gửi bv bv Võ Thị Thanh</t>
  </si>
  <si>
    <t>gửi anh kế bên bữa sửa điện</t>
  </si>
  <si>
    <t>nộp chứng từ Lưu Sanh Đạt</t>
  </si>
  <si>
    <t>657/BK-2025	Chung Thị Kim Anh</t>
  </si>
  <si>
    <t>Tạ Văn Chì</t>
  </si>
  <si>
    <t>gửi bv bv Chung Thị Kim Anh</t>
  </si>
  <si>
    <t>Viết 4 bộ hồ sơ chuyển mục đích cho anh Cường</t>
  </si>
  <si>
    <t>Anh Cường</t>
  </si>
  <si>
    <t>655/BK-2025	Bùi Quý Thành - Lưu Vân Trang</t>
  </si>
  <si>
    <t>Anh Đình Cường</t>
  </si>
  <si>
    <t xml:space="preserve">668/BK-2025	Phạm Thị Minh Uyên </t>
  </si>
  <si>
    <t>Bạch Mạnh Hùng</t>
  </si>
  <si>
    <t>gửi bv bv Bùi Quý Thành, Phạm Thị Minh Uyên (chi gửi nhanh)</t>
  </si>
  <si>
    <t>GIÁM ĐỐC NỘP QUỸ L7</t>
  </si>
  <si>
    <t>lấy kết quả xóa thế chấp Nguyễn Trung Thông</t>
  </si>
  <si>
    <t>phí xóa thế chấp Nguyễn Trung Thông</t>
  </si>
  <si>
    <t>Lấy sổ</t>
  </si>
  <si>
    <t>giao hợp đồng cho anh Đức</t>
  </si>
  <si>
    <t>Anh Đức</t>
  </si>
  <si>
    <t>gửi chị Huy nộp bản vẽ sáng 9/1</t>
  </si>
  <si>
    <t>Anh Luân</t>
  </si>
  <si>
    <t>Vũ Phạm Minh Tú (2595)</t>
  </si>
  <si>
    <t>Lâm Văn Thanh (3629)</t>
  </si>
  <si>
    <t>Nguyễn Thị Thúy (2590)</t>
  </si>
  <si>
    <t>lấy sổ Trần Thị Ngọc Dung</t>
  </si>
  <si>
    <t>614/BK-2025	Dương Hồng Cẩm</t>
  </si>
  <si>
    <t>gửi bv bv Bùi Quý Thành, Dương Hồng Cẩm</t>
  </si>
  <si>
    <t>Thanh toán tiền cơm 9/1</t>
  </si>
  <si>
    <t xml:space="preserve">Ăn uống </t>
  </si>
  <si>
    <t>Anh Hùng</t>
  </si>
  <si>
    <t>gửi chị Huy nộp bản vẽ chiều 9/1</t>
  </si>
  <si>
    <t>nộp trích lục Hồ Văn Huy</t>
  </si>
  <si>
    <t>674/BK-2025	Nguyễn Văn Hải</t>
  </si>
  <si>
    <t xml:space="preserve">  Anh Lưu Cường</t>
  </si>
  <si>
    <t>667/BK-2025	Nguyễn Văn Biên</t>
  </si>
  <si>
    <t>Trái cây 10/1</t>
  </si>
  <si>
    <t xml:space="preserve">Trần Thùy Giang </t>
  </si>
  <si>
    <t>Chị Hoài</t>
  </si>
  <si>
    <t>nộp hs Nguyễn Văn Chính</t>
  </si>
  <si>
    <t>gửi chị Huy nộp bản vẽ sáng 10/1</t>
  </si>
  <si>
    <t>Nguyễn Văn Quân (2603)</t>
  </si>
  <si>
    <t>Phan Ngọc Bắc (3640)</t>
  </si>
  <si>
    <t>giao biên bản kiểm tra xe lần 1</t>
  </si>
  <si>
    <t>đồ ăn trưa</t>
  </si>
  <si>
    <t>giao biên bản kiểm tra xe lần 2</t>
  </si>
  <si>
    <t>cam 12/1</t>
  </si>
  <si>
    <t>Nguyễn Tuấn Nghiêm (1302)</t>
  </si>
  <si>
    <t>Võ Thị Thanh (1282)</t>
  </si>
  <si>
    <t>Chung Thị Kim Anh (2281)</t>
  </si>
  <si>
    <t>thanh toán trích lục Phạm Thị Trang</t>
  </si>
  <si>
    <t>thanh toán trích lục Nguyễn Trần Ngọc Khoa</t>
  </si>
  <si>
    <t>giao bản vẽ cho anh Long</t>
  </si>
  <si>
    <t>623/BK-2025	Nguyễn Văn Quỳnh</t>
  </si>
  <si>
    <t>gửi bv bv Nguyễn Văn Quỳnh</t>
  </si>
  <si>
    <t>GIÁM ĐỐC NỘP QUỸ L8</t>
  </si>
  <si>
    <t>cắm mốc Nguyễn Thị Xuân Lan (cọc bê tông + xà beng)</t>
  </si>
  <si>
    <t>sơn xịt</t>
  </si>
  <si>
    <t xml:space="preserve">nhận hs Nguyễn Trọng Nghĩa </t>
  </si>
  <si>
    <t>gửi bản vẽ cho chú Hiền</t>
  </si>
  <si>
    <t>Chú Hiền</t>
  </si>
  <si>
    <t xml:space="preserve">Phạm Thị Minh Uyên </t>
  </si>
  <si>
    <t>Bùi Quý Thành</t>
  </si>
  <si>
    <t xml:space="preserve">gửi bv Lâm Văn Thanh </t>
  </si>
  <si>
    <t>gửi bv bv Nguyễn Văn Quỳnh lần 2</t>
  </si>
  <si>
    <t>gửi anh Phúc làm phi NN Nguyễn Văn Biên, Bùi Quý Thành, Phạm Thị Minh Uyên</t>
  </si>
  <si>
    <t>305-2/BK-2025	Đoàn Trọng Ân</t>
  </si>
  <si>
    <t>gửi chị Vân đưa anh Kim Tuấn</t>
  </si>
  <si>
    <t>Chị Vân</t>
  </si>
  <si>
    <t>Nguyễn Văn Biên (007)</t>
  </si>
  <si>
    <t>Nguyễn Văn Hải (006)</t>
  </si>
  <si>
    <t>Gửi chị Vân nộp bản vẽ sáng 13/1</t>
  </si>
  <si>
    <t>Gửi bv bv Nguyễn Minh Trung</t>
  </si>
  <si>
    <t>gửi chị Vân nộp bản vẽ chiều 13/1</t>
  </si>
  <si>
    <t>009/BK-2026	Đào Văn Duy</t>
  </si>
  <si>
    <t>gửi bv bv Đào Văn Duy</t>
  </si>
  <si>
    <t>nộp hs Võ Thị Thanh</t>
  </si>
  <si>
    <t>395-DC/BK-2025	Nghiêm Uy Lân</t>
  </si>
  <si>
    <t>Anh Hà Thanh</t>
  </si>
  <si>
    <t>gửi bv bv Nghiêm Uy Lân</t>
  </si>
  <si>
    <t>gửi bv cho chị Ý</t>
  </si>
  <si>
    <t>Chị Ý</t>
  </si>
  <si>
    <t>001/BK-2026	Đoàn Vân Anh</t>
  </si>
  <si>
    <t>đóng thuế phi nông nghiệp Nguyễn Văn Biên, Lưu Vân Trang, Phạm Thị Minh Uyên</t>
  </si>
  <si>
    <t>nộp hs Võ Văn Ninh</t>
  </si>
  <si>
    <t xml:space="preserve">gửi bv bv Nghiêm Uy Lân </t>
  </si>
  <si>
    <t>gửi chị Vân nộp bản vẽ sáng 14/1</t>
  </si>
  <si>
    <t>chị Vân</t>
  </si>
  <si>
    <t xml:space="preserve">Nguyễn Văn Quỳnh </t>
  </si>
  <si>
    <t>Dương Hồng Cẩm</t>
  </si>
  <si>
    <t>nộp hs Bùi Quý Thành - Lưu Vân Trang</t>
  </si>
  <si>
    <t>nộp hs Nguyễn Văn Hải</t>
  </si>
  <si>
    <t>cắm mốc Phạm Thị Trang (7 cọc 40k/1 cọc)</t>
  </si>
  <si>
    <t>Anh Tập</t>
  </si>
  <si>
    <t>nhận hs Cô Hoa giao qua</t>
  </si>
  <si>
    <t>Cô Hoa</t>
  </si>
  <si>
    <t>Nộp bản vẽ sáng 15/1</t>
  </si>
  <si>
    <t>Đoàn Trọng Ân (015)</t>
  </si>
  <si>
    <t>427-1/BK-2025	Trần Thị Ngọc Dung</t>
  </si>
  <si>
    <t>Anh Trịnh Công Trưởng</t>
  </si>
  <si>
    <t>427-2/BK-2025	Trần Thị Ngọc Dung</t>
  </si>
  <si>
    <t>gửi bv bv Trần Thị Ngọc Dung</t>
  </si>
  <si>
    <t>sếp gửi chi bản vẽ Nguyễn Trung Thông</t>
  </si>
  <si>
    <t>gửi anh Xuất BV Nguyễn Trung Thông</t>
  </si>
  <si>
    <t>GIÁM ĐỐC NỘP QUỸ L9</t>
  </si>
  <si>
    <t>613/BK-2025	Nguyễn Trọng Nghĩa</t>
  </si>
  <si>
    <t xml:space="preserve">gửi chị Vân đưa anh Kim Tuấn </t>
  </si>
  <si>
    <t>Nguyễn Trung Thông (065)</t>
  </si>
  <si>
    <t>gửi lại bv Trần Thị Ngọc Dung</t>
  </si>
  <si>
    <t>4 phi nông nghiệp (Nguyễn Trung Thông, Nguyễn Thị Mến, Nguyễn Văn Quỳnh, Nguyễn Văn Tuấn)</t>
  </si>
  <si>
    <t xml:space="preserve">Chị Trâm bên thuế </t>
  </si>
  <si>
    <t>nộp bản vẽ chiều 15/1</t>
  </si>
  <si>
    <t>Hs Lê Thủy Anh</t>
  </si>
  <si>
    <t>đưa sếp 3tr</t>
  </si>
  <si>
    <t>nộp hs Nguyễn Văn Thông</t>
  </si>
  <si>
    <t>nộp hs Nguyễn Trung Thông</t>
  </si>
  <si>
    <t>gửi grab GUQ Nguyễn Thị Mến</t>
  </si>
  <si>
    <t>Grab</t>
  </si>
  <si>
    <t>Đào Văn Huy (019)</t>
  </si>
  <si>
    <t>Hoàng Vân Anh (020)</t>
  </si>
  <si>
    <t>Nguyễn Thị Mến (085)</t>
  </si>
  <si>
    <t>lấy bản vẽ sáng 16/1 (gửi chị Vân)</t>
  </si>
  <si>
    <t>nhận hồ sơ Cô Hoa (cam kết giảm DT Giao Linh)</t>
  </si>
  <si>
    <t>đóng thuế phi nông nghiệp (Nguyễn Thị Mến, Nguyễn Văn Tuân)</t>
  </si>
  <si>
    <t>Anh Thanh Sang Land</t>
  </si>
  <si>
    <t>nộp hồ sơ Nguyễn Thị Mến</t>
  </si>
  <si>
    <t>641/BK-2025	Nguyễn Thị Kim Ngọc</t>
  </si>
  <si>
    <t>GIÁM ĐỐC NỘP QUỸ L10</t>
  </si>
  <si>
    <t>nộp bản vẽ chiều 16/1</t>
  </si>
  <si>
    <t>Chị vân</t>
  </si>
  <si>
    <t>GIÁM ĐỐC NỘP QUỸ L11</t>
  </si>
  <si>
    <t>GIÁM ĐỐC NỘP QUỸ L12</t>
  </si>
  <si>
    <t>lấy kết quả thông tin quy hoạch phường Hiệp Bình</t>
  </si>
  <si>
    <t>Chị Hồng (quầy tiếp nhận)</t>
  </si>
  <si>
    <t>gửi lại chị khách soạn đơn cam kết ko công nhận nhà</t>
  </si>
  <si>
    <t>Nguyễn Văn Lý</t>
  </si>
  <si>
    <t>tiền cơm 16/1</t>
  </si>
  <si>
    <t>Anh Hùng quán cơm</t>
  </si>
  <si>
    <t>nộp hồ sơ Võ Văn Bình</t>
  </si>
  <si>
    <t>giao hs cô Hương</t>
  </si>
  <si>
    <t>Cô Hương</t>
  </si>
  <si>
    <t>Sếp gửi chi bản vẽ Cao Viết Trọng</t>
  </si>
  <si>
    <t>017/BK-2026	Cao Viết Trọng</t>
  </si>
  <si>
    <t>trái cây 17/1</t>
  </si>
  <si>
    <t>nộp bản vẽ sáng 17/1</t>
  </si>
  <si>
    <t>gửi cô bên photo Ngọc Hoa</t>
  </si>
  <si>
    <t>Cô bên photo Ngọc Hoa</t>
  </si>
  <si>
    <t>đo ăn trưa 17/1</t>
  </si>
  <si>
    <t>cắm mốc (mua ty)</t>
  </si>
  <si>
    <t>Anh Hợp</t>
  </si>
  <si>
    <t>cam (50k), bưởi (50k), hoa cúc (50k)</t>
  </si>
  <si>
    <t>nộp trích lục GPXD số 325 (UBND phường Cát Lái)</t>
  </si>
  <si>
    <t>gửi GUQ qua PCC Nguyễn Điệp sửa lại nội dung</t>
  </si>
  <si>
    <t xml:space="preserve">PCC Nguyễn Điệp </t>
  </si>
  <si>
    <t>gửi bv bv Nguyễn Thị Kim Ngọc</t>
  </si>
  <si>
    <t>Rút hồ sơ Nguyễn Quốc Bảo</t>
  </si>
  <si>
    <t>Nguyễn Hữu Thịnh (PC/1102)</t>
  </si>
  <si>
    <t>tiền dừa 19/1</t>
  </si>
  <si>
    <t>Chị Thùy</t>
  </si>
  <si>
    <t>Trần Thị Ngọc Dung (109)</t>
  </si>
  <si>
    <t>Nguyễn Minh Trung (068)</t>
  </si>
  <si>
    <t xml:space="preserve">298/BK-2025 Nguyễn Thị Hồng Anh </t>
  </si>
  <si>
    <t>Gửi bv bv Nguyễn Thị Hồng Anh</t>
  </si>
  <si>
    <t>gửi bv Phạm thị Trang (Anh Kim Anh)</t>
  </si>
  <si>
    <t>giao GUQ Trần Thị Ngọc Dung xuống Cô Hoa</t>
  </si>
  <si>
    <t xml:space="preserve">thanh toán trích lục Nguyễn Khắc Thọ, Nguyễn Tiến Quân </t>
  </si>
  <si>
    <t>gửi tiền GUQ Hoàng Vân Anh cho cô Hoa</t>
  </si>
  <si>
    <t>nộp hs Dương Hồng Cẩm</t>
  </si>
  <si>
    <t>Nhận GUQ PCC chỉnh lại nội dung sai</t>
  </si>
  <si>
    <t>Nguyễn Văn Chính - Trần Thị Nguyệt (PC/1350)</t>
  </si>
  <si>
    <t>gửi bảo vệ cho anh Nho Hoàng</t>
  </si>
  <si>
    <t>Nguyễn Trọng Nghĩa (034)</t>
  </si>
  <si>
    <t>Cao Viết Trọng (136)</t>
  </si>
  <si>
    <t>Nghiêm Uy Lân (040)</t>
  </si>
  <si>
    <t>sếp gửi chi Hồ sơ Nguyễn Văn Quỳnh</t>
  </si>
  <si>
    <t>gửi anh Kiệt thụ lý hs Nguyễn Văn Quỳnh</t>
  </si>
  <si>
    <t>Anh Kiệt</t>
  </si>
  <si>
    <t>563-1/BK-2025	Đặng Minh Hoà</t>
  </si>
  <si>
    <t>563-2/BK-2025	Đặng Minh Hoà</t>
  </si>
  <si>
    <t>gửi bv bv Đặng Minh Hòa</t>
  </si>
  <si>
    <t>Bảo vệ</t>
  </si>
  <si>
    <t>Anh Lâm Xuân Hải</t>
  </si>
  <si>
    <t>GIÁM ĐỐC NỘP QUỸ L13</t>
  </si>
  <si>
    <t>Nguyễn Trung Thông (PC/1457)</t>
  </si>
  <si>
    <t>giao hđ Bùi Đình Khánh cho anh Thắng</t>
  </si>
  <si>
    <t>Anh Thắng</t>
  </si>
  <si>
    <t>cam kết ko công nhận nhà Dương Hồng Cẩm, cam kết thất lạc GCN Hoàng Vân Anh</t>
  </si>
  <si>
    <t>631/BK-2025 Lê Ngọc Nhân (Bản vẽ tên Nguyễn Thị Bích Trâm)</t>
  </si>
  <si>
    <t>gửi bv bv Nguyễn Thị Bích Trâm + gửi cái anh Tập đưa cho bv</t>
  </si>
  <si>
    <t>Nguyễn Thị Mến (PC/1503)</t>
  </si>
  <si>
    <t>Cắm mốc</t>
  </si>
  <si>
    <t>gửi BB Nguyễn Thanh Phương cho anh Tuấn Anh</t>
  </si>
  <si>
    <t>Anh Tuấn Anh</t>
  </si>
  <si>
    <t>Nguyễn Văn Chính - Trần Thị Nguyệt</t>
  </si>
  <si>
    <t>Gửi chị Ngọc thụ lý hs</t>
  </si>
  <si>
    <t>Chi sao y điện tử hs Phạm Đăng Khoa - Lê Quang Đông</t>
  </si>
  <si>
    <t>quầy tiếp nhận UBND P.Cát Lái</t>
  </si>
  <si>
    <t>gửi bv bv Đinh Văn Long cho anh Trượng</t>
  </si>
  <si>
    <t>Đặng Minh Hòa (047)</t>
  </si>
  <si>
    <t>trái cây (22/1)</t>
  </si>
  <si>
    <t>cam (22/1)</t>
  </si>
  <si>
    <t>nộp hs Đặng Thị Kim Thiện (đưa sếp)</t>
  </si>
  <si>
    <t>đưa anh Ngọc</t>
  </si>
  <si>
    <t>lấy sổ Nguyễn Hữu Thịnh</t>
  </si>
  <si>
    <t>Nguyễn Văn Có (146)</t>
  </si>
  <si>
    <t>Nguyễn Thị Kim Ngọc (042)</t>
  </si>
  <si>
    <t>đóng tiền lấy sổ Nguyễn Hữu Thịnh</t>
  </si>
  <si>
    <t>gửi bản vẽ Nguyễn Văn Cơ cho anh Minh</t>
  </si>
  <si>
    <t>Anh Minh</t>
  </si>
  <si>
    <t>Nguyễn Thị Hồng Anh (175)</t>
  </si>
  <si>
    <t>GIÁM ĐỐC NỘP QUỸ L14</t>
  </si>
  <si>
    <t>GIÁM ĐỐC NỘP QUỸ L15</t>
  </si>
  <si>
    <t>sữa đặc 22/1</t>
  </si>
  <si>
    <t>Võ Văn Ninh (PC/1168)</t>
  </si>
  <si>
    <t>Anh Phúc thuế</t>
  </si>
  <si>
    <t>Nguyễn Thị Bích Trâm (046)</t>
  </si>
  <si>
    <t>gửi chị Hoài hs Nguyễn Thị Mến</t>
  </si>
  <si>
    <t>chị Hoài</t>
  </si>
  <si>
    <t>Thu tiền hồ sơ Nguyễn Đức Yên (đại diện)</t>
  </si>
  <si>
    <t>Cô Hạnh</t>
  </si>
  <si>
    <t>nộp hs Nguyễn Đức Yên (đại diện)</t>
  </si>
  <si>
    <t>trích lục bản vẽ cấp giấy Nguyễn Hữu Cường - Nguyễn Thị Út (hs anh Dựng)</t>
  </si>
  <si>
    <t>Bản vẽ cấp giấy</t>
  </si>
  <si>
    <t>Anh Lâu Đức Toàn</t>
  </si>
  <si>
    <t xml:space="preserve">gửi Cô Hoa hs Nguyễn Đức Yên </t>
  </si>
  <si>
    <t>tiền rác + tháng 13</t>
  </si>
  <si>
    <t>VSMT Cường Nguyễn</t>
  </si>
  <si>
    <t>gửi Cô Hoa cam kết Nguyễn Thị Hồng Anh + UQ HS cập nhật CCCD</t>
  </si>
  <si>
    <t>047/BK-2026	Đặng Thị Kim Thiện</t>
  </si>
  <si>
    <t>Anh Mạnh Quân</t>
  </si>
  <si>
    <t>gửi bv bv Đặng Thị Kim Thiện</t>
  </si>
  <si>
    <t>nộp hs Nguyễn Văn Vinh - Ngô Hồng Sương</t>
  </si>
  <si>
    <t>nộp chứng từ Nguyễn Văn Chính - Trần Thị Nguyệt</t>
  </si>
  <si>
    <t>lấy sổ Nguyễn Thị Mến</t>
  </si>
  <si>
    <t>phí lấy sổ Nguyễn Thị Mến</t>
  </si>
  <si>
    <t>cắm mốc Đinh Văn Hòa</t>
  </si>
  <si>
    <t>gửi sổ Nguyễn Thị Mến cho Cô Hoa</t>
  </si>
  <si>
    <t>trái cây 24/1</t>
  </si>
  <si>
    <t>tiền cơm 24/1</t>
  </si>
  <si>
    <t>đóng tiền lấy bản vẽ cty Thiên Gia Phát 1</t>
  </si>
  <si>
    <t>đóng tiền lấy bản vẽ cty Thiên Gia Phát 2</t>
  </si>
  <si>
    <t>thu tiền phí đóng lấy bản vẽ</t>
  </si>
  <si>
    <t>sao y điện tử Hoàng Vân Anh</t>
  </si>
  <si>
    <t>GIÁM ĐỐC NỘP QUỸ L16</t>
  </si>
  <si>
    <t>gửi đề nghị thanh toán cho anh Thanh</t>
  </si>
  <si>
    <t>miếng lót chuột</t>
  </si>
  <si>
    <t>giao hs cho chị Sinh</t>
  </si>
  <si>
    <t xml:space="preserve">bún thịt nướng </t>
  </si>
  <si>
    <t>nhận cam kết Võ Văn Ninh</t>
  </si>
  <si>
    <t>676/BK-2025	Phạm Thị Giao Linh</t>
  </si>
  <si>
    <t>Anh Văn Sáng</t>
  </si>
  <si>
    <t>gửi bv bv Phạm Thị Giao Linh</t>
  </si>
  <si>
    <t>Nộp bản vẽ sáng 26/1</t>
  </si>
  <si>
    <t>027/BK-2026	Vũ Thị Nhuần</t>
  </si>
  <si>
    <t>gửi bv bv Vũ Thị Nhuần, Phạm Thị Giao Linh</t>
  </si>
  <si>
    <t>sao y điện tử Phạm Đăng Khoa, Lê Văn Đông</t>
  </si>
  <si>
    <t>gửi anh Toàn bv Phạm Đăng Khoa, Lê Văn Đông</t>
  </si>
  <si>
    <t>Anh Toàn</t>
  </si>
  <si>
    <t>gửi bv phụ lục 17 Phạm Thị Giao Linh</t>
  </si>
  <si>
    <t>Thảm lau chân</t>
  </si>
  <si>
    <t>GIÁM ĐỐC NỘP QUỸ L17</t>
  </si>
  <si>
    <t>nhận máy đo</t>
  </si>
  <si>
    <t>035/BK-2026	Nguyễn Thị Trúc Thanh-Hoàng Phi Hải</t>
  </si>
  <si>
    <t>anh Trung Kiên</t>
  </si>
  <si>
    <t>gửi bv bv Nguyễn Thị Trúc Thanh</t>
  </si>
  <si>
    <t>nộp bản vẽ chiều 26/1</t>
  </si>
  <si>
    <t>lấy sổ Nguyễn Văn Vinh - Ngô Hồng Sương</t>
  </si>
  <si>
    <t>chi thuế phi nông nghiệp Nguyễn Thị Trúc Thanh</t>
  </si>
  <si>
    <t>Chị Trâm bên thuế</t>
  </si>
  <si>
    <t>021/BK-2026	Nguyễn Trần Ngọc Khoa</t>
  </si>
  <si>
    <t>Gửi Chị Huy quầy 19 bv Nguyễn Trần Ngọc Khoa</t>
  </si>
  <si>
    <t>chi thuế phi nông nghiệp Nguyễn Trần Ngọc Khoa</t>
  </si>
  <si>
    <t>gửi sổ Nguyễn Văn Vinh - Ngô Hồng Sương</t>
  </si>
  <si>
    <t>lấy sổ Nguyễn Trung Thông</t>
  </si>
  <si>
    <t>phí lấy sổ Nguyễn Trung Thông</t>
  </si>
  <si>
    <t>lấy sổ Nguyễn Văn Chính</t>
  </si>
  <si>
    <t>phí lấy sổ Nguyễn Văn Chính 1</t>
  </si>
  <si>
    <t>phí lấy sổ Nguyễn Văn Chính 2</t>
  </si>
  <si>
    <t>gửi sổ Nguyễn Trung Thông cho cô Hoa</t>
  </si>
  <si>
    <t>nộp bản vẽ 5 bộ</t>
  </si>
  <si>
    <t>đóng thuế phi NN hs Nguyễn Ngọc Sương, Nguyễn Trần Ngọc Khoa, Nguyễn Thị Trúc Thanh</t>
  </si>
  <si>
    <t>Lưu Vân Trang</t>
  </si>
  <si>
    <t>GIÁM ĐỐC NỘP QUỸ L18</t>
  </si>
  <si>
    <t>bổ sung hồ sơ Dương Hồng Cẩm</t>
  </si>
  <si>
    <t>trích lục bản vẽ cấp giấy Nguyễn Thanh Tùng của anh Dựng</t>
  </si>
  <si>
    <t>giấy A4</t>
  </si>
  <si>
    <t>chi hs cmđ Lê Tiến Nhật Minh phường Hiệp Bình</t>
  </si>
  <si>
    <t>sếp gửi chi bản vẽ Chu Trần Trọng</t>
  </si>
  <si>
    <t>659/BK-2025	Chu Trần Trọng</t>
  </si>
  <si>
    <t>Anh Công Trưởng</t>
  </si>
  <si>
    <t>gửi bv bv Chu Trần Trọng chiều 28/1</t>
  </si>
  <si>
    <t xml:space="preserve">chi lấy bản vẽ đạt </t>
  </si>
  <si>
    <t>Phạm Thị Giao Linh (063)</t>
  </si>
  <si>
    <t>trái cây + muối</t>
  </si>
  <si>
    <t>gửi bv Chu Trần Trọng</t>
  </si>
  <si>
    <t>lấy sổ Phạm Huy Chương</t>
  </si>
  <si>
    <t>gửi sổ Phạm Huy Chương cho Cô Hoa</t>
  </si>
  <si>
    <t>nộp bản vẽ chiều 28/1</t>
  </si>
  <si>
    <t>Vũ Thúy Nhuần (279)</t>
  </si>
  <si>
    <t>Sếp gửi chi Anh Phúc + gửi chị Trâm để kê khai thuế phi NN</t>
  </si>
  <si>
    <t>Dương Hồng Cẩm (PC/2492)</t>
  </si>
  <si>
    <t xml:space="preserve">Vũ Thúy Nhuần </t>
  </si>
  <si>
    <t>Chị Trâm thuế</t>
  </si>
  <si>
    <t>Lê Thị Thuận</t>
  </si>
  <si>
    <t>bôm mực máy in</t>
  </si>
  <si>
    <t>In ấn - Photocopy</t>
  </si>
  <si>
    <t>Duy Quang</t>
  </si>
  <si>
    <t>050/BK-2026	Đinh Văn Hòa</t>
  </si>
  <si>
    <t>Chị Hồng</t>
  </si>
  <si>
    <t xml:space="preserve">gửi bv bv Đinh Văn Hòa </t>
  </si>
  <si>
    <t>Nguyễn Thị Trúc Thanh (108)</t>
  </si>
  <si>
    <t>đóng thuế phi NN hs Lê Thị Thuận, Nguyễn Thị Thiên Kim, Lê Minh Châu</t>
  </si>
  <si>
    <t>nộp bản vẽ sáng 29/1</t>
  </si>
  <si>
    <t>nộp hs Nguyễn Văn Biên</t>
  </si>
  <si>
    <t>nhận tờ thông báo ngân hàng của hs Nguyễn Văn Biên</t>
  </si>
  <si>
    <t>gửi grab hs Phùng Như Hòa cho anh Hảo</t>
  </si>
  <si>
    <t>Anh Hảo</t>
  </si>
  <si>
    <t>nộp bản vẽ chiều 29/1</t>
  </si>
  <si>
    <t>Phạm Thị Trang (137)</t>
  </si>
  <si>
    <t>nộp hs tách thửa Trần Thị Ngọc Dung 2 bộ</t>
  </si>
  <si>
    <t>lấy sổ Võ Thị Thanh</t>
  </si>
  <si>
    <t>phí lấy sổ Võ Thị Thanh</t>
  </si>
  <si>
    <t>GIÁM ĐỐC NỘP QUỸ L19</t>
  </si>
  <si>
    <t>nộp bản vẽ sáng 30/01</t>
  </si>
  <si>
    <t>lấy sổ Nguyễn Văn Quỳnh</t>
  </si>
  <si>
    <t>phí lấy sổ Nguyễn Văn Quỳnh</t>
  </si>
  <si>
    <t>nộp bản vẽ chiều 30/1</t>
  </si>
  <si>
    <t>giao sổ Nguyễn Văn Quỳnh cho cô Hoa</t>
  </si>
  <si>
    <t>670/BK-2025	Hồ Trọng Dũng</t>
  </si>
  <si>
    <t>gửi bv bv Hồ Trọng Dũng</t>
  </si>
  <si>
    <t>gửi biên bản cắm mốc Phạm Thị Ngọc Điệp</t>
  </si>
  <si>
    <t>Huynh Trong Nhat</t>
  </si>
  <si>
    <t xml:space="preserve">gửi phụ lục bv Hồ Trọng Dũng </t>
  </si>
  <si>
    <t xml:space="preserve">sắt </t>
  </si>
  <si>
    <t>trái cây 31/1</t>
  </si>
  <si>
    <t>tiền cơm 31/1</t>
  </si>
  <si>
    <t>nộp bản vẽ (5 bộ) sáng 31/1</t>
  </si>
  <si>
    <t>nộp hs Phạm Thị Trang, Phạm Thị Huỳnh Trà</t>
  </si>
  <si>
    <t>Anh Sơn Hải</t>
  </si>
  <si>
    <t>gửi biên bản nghiệm thu công việc cho anh Thanh</t>
  </si>
  <si>
    <t xml:space="preserve">Anh Thanh </t>
  </si>
  <si>
    <t>Nguyễn Trần Ngọc Khoa (096)</t>
  </si>
  <si>
    <t>Đặng Thị Kim Thiện (140)</t>
  </si>
  <si>
    <t xml:space="preserve">dđồ ăn trưa </t>
  </si>
  <si>
    <t>tiền đá tháng 1</t>
  </si>
  <si>
    <t>031/BK-2026	Trần Đình Sỹ Tấn</t>
  </si>
  <si>
    <t>gửi bv bv Trần Đình Sỹ Tấn</t>
  </si>
  <si>
    <t xml:space="preserve">dưa hấu </t>
  </si>
  <si>
    <t>bông cúc</t>
  </si>
  <si>
    <t>nộp hs Nguyễn Trần Ngọc Khoa</t>
  </si>
  <si>
    <t>028/BK-2026	Phạm Hồng Sỹ</t>
  </si>
  <si>
    <t>gửi bv bv Phạm Hồng Sỹ</t>
  </si>
  <si>
    <t>GIÁM ĐỐC NỘP QUỸ L1 THÁNG 2</t>
  </si>
  <si>
    <t>Đinh Văn Hòa (058)</t>
  </si>
  <si>
    <t>Chu Trần Trọng (334)</t>
  </si>
  <si>
    <t xml:space="preserve">gửi chị Vân lấy bản vẽ </t>
  </si>
  <si>
    <t>làm đơn rút hs tách thửa Trần Thị Ngọc Dung</t>
  </si>
  <si>
    <t>gửi chị trâm làm phi NN sổ Hồ Trọng Dũng</t>
  </si>
  <si>
    <t>Chị Trâm</t>
  </si>
  <si>
    <t xml:space="preserve">gửi bản vẽ Chu Trần Trọng </t>
  </si>
  <si>
    <t>Anh Trọng</t>
  </si>
  <si>
    <t>tiền dọn vệ sinh tháng 1</t>
  </si>
  <si>
    <t>Gia Phát</t>
  </si>
  <si>
    <t>nộp bản vẽ sáng 3/2</t>
  </si>
  <si>
    <t>Hồ Trọng Dũng (345)</t>
  </si>
  <si>
    <t>nộp bản vẽ chiều 3/2</t>
  </si>
  <si>
    <t>GIÁM ĐỐC NỘP QUỸ L2 THÁNG 2</t>
  </si>
  <si>
    <t xml:space="preserve">tiền cafe </t>
  </si>
  <si>
    <t>Chị Nguyên</t>
  </si>
  <si>
    <t xml:space="preserve">khăn giấy </t>
  </si>
  <si>
    <t>Đào Thị Hòa</t>
  </si>
  <si>
    <t>Nguyễn Thị Kim Anh</t>
  </si>
  <si>
    <t>Nguyễn Đình Phan</t>
  </si>
  <si>
    <t>thu 500k nhận nộp hs giúp khách Nguyễn Thị Hoàng Nhung</t>
  </si>
  <si>
    <t>Hoàng Nhung</t>
  </si>
  <si>
    <t>bổ sung Thuế TNCN hồ sơ Nguyễn Thị Hoàng Nhung</t>
  </si>
  <si>
    <t>Trần Đình Sỹ Tấn (364)</t>
  </si>
  <si>
    <t>Nguyễn Thị Kim Yến (hs Anh Quốc)</t>
  </si>
  <si>
    <t>gửi chị Vân lấy bản vẽ</t>
  </si>
  <si>
    <t>064/BK-2026	Lê Xuân Hưng - Nguyễn Thị Kim Yến</t>
  </si>
  <si>
    <t>Gửi bv bv Nguyễn Thị Kim Yến</t>
  </si>
  <si>
    <t>bút bi</t>
  </si>
  <si>
    <t>037/BK-2026	Nguyễn Thị An</t>
  </si>
  <si>
    <t xml:space="preserve">cắm mốc Nguyễn Thị Ngọc Thảo </t>
  </si>
  <si>
    <t>cắm mốc La Thị Thanh Duyên</t>
  </si>
  <si>
    <t>gửi anh Phúc hs Lại Quốc Huy - Phạm Thị Hồng Vinh</t>
  </si>
  <si>
    <t>rút hồ sơ tách thửa Trần Thị Ngọc Dung</t>
  </si>
  <si>
    <t>nộp hs Đặng Thị Kim Thiện</t>
  </si>
  <si>
    <t>GIÁM ĐỐC NỘP QUỸ L3 THÁNG 2</t>
  </si>
  <si>
    <t xml:space="preserve">kê khai thuế phi NN Trần Đình Sỹ Tấn </t>
  </si>
  <si>
    <t>giao lại bản vẽ Chu Trần Trọng</t>
  </si>
  <si>
    <t>đóng tiền bản vẽ bên cty Thiên Gia Phát</t>
  </si>
  <si>
    <t>Cty Thiên Gia Phát</t>
  </si>
  <si>
    <t xml:space="preserve">đóng thuế phi NN Hồ Trọng Dũng </t>
  </si>
  <si>
    <t>nộp hs Nguyễn Thị Trúc Thanh - Hoàng Phi Hải</t>
  </si>
  <si>
    <t>nộp bản vẽ sáng 5/2</t>
  </si>
  <si>
    <t>033/BK-2026	Lê Văn Mạnh</t>
  </si>
  <si>
    <t>034/BK-2026	Đỗ Thị Mười</t>
  </si>
  <si>
    <t>gửi bảo vệ bản vẽ Lê Văn Mạnh, Đỗ Thị Mười</t>
  </si>
  <si>
    <t>gửi bảo vệ lại BV Lê Văn Mạnh</t>
  </si>
  <si>
    <t xml:space="preserve">3 trụ xi măng </t>
  </si>
  <si>
    <t>Anh Xây</t>
  </si>
  <si>
    <t>Viết hồ sơ (Nguyễn Đăng Thọ - Huỳnh Thị Lan Chi )</t>
  </si>
  <si>
    <t>gửi HĐ cho anh Vinh</t>
  </si>
  <si>
    <t>trái cây</t>
  </si>
  <si>
    <t>đổi tiền mặt cho khách (khách ck cho sếp)</t>
  </si>
  <si>
    <t>Anh Phước Tâm</t>
  </si>
  <si>
    <t>kê khai thuế phi NN Lê Xuân Hưng, Nguyễn Thị Kim Yến</t>
  </si>
  <si>
    <t>giao biên bản cọc ranh Đỗ Thị Trang</t>
  </si>
  <si>
    <t>Viết hồ sơ (Đinh Duy Tây)</t>
  </si>
  <si>
    <t>Anh Tùng BĐS</t>
  </si>
  <si>
    <t>Đá 1m ( SL: 9)</t>
  </si>
  <si>
    <t>Dương Hồng Cẩm bổ sung (gửi chị Thủy)</t>
  </si>
  <si>
    <t>Chị Thủy</t>
  </si>
  <si>
    <t>nộp bản vẽ chiều 6/2</t>
  </si>
  <si>
    <t xml:space="preserve">Chị Vân </t>
  </si>
  <si>
    <t>Trần Ngọc Anh Tú - Phạm Thị Huệ</t>
  </si>
  <si>
    <t xml:space="preserve">kê khai thuế phi NN Nguyễn Thị An </t>
  </si>
  <si>
    <t>Phạm Hồng Sỹ (409)</t>
  </si>
  <si>
    <t>Nguyễn Thị Kim Yến (117)</t>
  </si>
  <si>
    <t>Nguyễn Thị An (112)</t>
  </si>
  <si>
    <t>079/BK-2026	Nguyễn Quỳnh Lê</t>
  </si>
  <si>
    <t>gửi bv bv Nguyễn Quỳnh Lê</t>
  </si>
  <si>
    <t>gửi bản vẽ Đặng Văn Lẹ + phiếu trả cho Anh Long</t>
  </si>
  <si>
    <t xml:space="preserve">nộp hs tầng đất mặt Lê Tiến Nhật Minh </t>
  </si>
  <si>
    <t>531/BK-2025	Nguyễn Thị Ngọc Thảo</t>
  </si>
  <si>
    <t>gửi bv bv Nguyễn Thị Ngọc Thảo</t>
  </si>
  <si>
    <t xml:space="preserve">trái cây </t>
  </si>
  <si>
    <t>nộp hồ sơ tách thửa Trần Thị Ngọc Dung</t>
  </si>
  <si>
    <t>nộp bản vẽ sáng 7/2</t>
  </si>
  <si>
    <t>tiền cơm</t>
  </si>
  <si>
    <t>thanh toán trích lục Đặng Thị Hồng Trâm</t>
  </si>
  <si>
    <t>GIÁM ĐỐC NỘP QUỸ L4 THÁNG 2</t>
  </si>
  <si>
    <t>đóng thuế phi NN Nguyễn Thị An, Nguyễn Thị Kim Yến, Trần Đình Sĩ Tấn</t>
  </si>
  <si>
    <t>GIÁM ĐỐC NỘP QUỸ L5 THÁNG 2</t>
  </si>
  <si>
    <t xml:space="preserve">gửi anh Dân </t>
  </si>
  <si>
    <t>Anh Dân</t>
  </si>
  <si>
    <t>nộp hs Hồ Trọng Dũng</t>
  </si>
  <si>
    <t>nộp chứng từ Võ Văn Ninh</t>
  </si>
  <si>
    <t>Võ Văn Ninh</t>
  </si>
  <si>
    <t>gửi đơn rút hồ sơ Lê Tiến Nhật Minh cho anh Đức</t>
  </si>
  <si>
    <t>gửi phí cho grab gửi anh Đức dùm</t>
  </si>
  <si>
    <t>lấy sổ Võ Văn Ninh</t>
  </si>
  <si>
    <t>gửi bảo vệ báo cáo đo Nguyễn Mạnh Hùng (giúp anh Quân)</t>
  </si>
  <si>
    <t>023/BK-2026	Lê Quý</t>
  </si>
  <si>
    <t>gửi bv bv Lê Quý</t>
  </si>
  <si>
    <t xml:space="preserve">mua hoa </t>
  </si>
  <si>
    <t>Chị Vy</t>
  </si>
  <si>
    <t>Đỗ Thị Mười (438)</t>
  </si>
  <si>
    <t>Lê Văn Mạnh (439)</t>
  </si>
  <si>
    <t>lấy sổ Phạm Thị Trang - Phạm Thị Huỳnh Trà</t>
  </si>
  <si>
    <t xml:space="preserve">dưa hấu  </t>
  </si>
  <si>
    <t>Lê Quý (246)</t>
  </si>
  <si>
    <t>Nguyễn Thị Ngọc Thảo (221)</t>
  </si>
  <si>
    <t>Nguyễn Quỳnh Lê (092)</t>
  </si>
  <si>
    <t>nộp hồ sơ Lê Minh Châu - Vũ Thúy Nhuần</t>
  </si>
  <si>
    <t>lấy sổ Nguyễn Trần Ngọc Khoa</t>
  </si>
  <si>
    <t>GIÁM ĐỐC NỘP QUỸ L6 THÁNG 2</t>
  </si>
  <si>
    <t xml:space="preserve">làm đơn rút hs Trần Thị Ngọc Dung </t>
  </si>
  <si>
    <t>sếp đưa 2tr gửi chị Hoài</t>
  </si>
  <si>
    <t>gửi chị Hoài Hồ Sơ Lưu Vân Trang</t>
  </si>
  <si>
    <t>gửi bản vẽ Đỗ Hoàng Sang cho chị Lam Mai</t>
  </si>
  <si>
    <t>chị Lam Mai</t>
  </si>
  <si>
    <t>gửi chị Huy lấy bản vẽ đạt 26/2</t>
  </si>
  <si>
    <t>GIÁM ĐỐC NỘP QUỸ L7 THÁNG 2</t>
  </si>
  <si>
    <t>gửi chị Linh tờ bổ sung lệ phí trc bạ cho anh Hải thụ lý Linh Xuân</t>
  </si>
  <si>
    <t>gửi chị Huy nộp bản vẽ chiều 26/2</t>
  </si>
  <si>
    <t>túi đựng rác + nước rửa chén</t>
  </si>
  <si>
    <t>lấy sổ Dương Hồng Cẩm</t>
  </si>
  <si>
    <t>GIÁM ĐỐC NỘP QUỸ L8 THÁNG 2</t>
  </si>
  <si>
    <t>nộp bản vẽ chiều 27/2</t>
  </si>
  <si>
    <t>đóng lệ phí trước bạ Nguyễn Thị Trúc Thanh - Hoàng Phi Hải</t>
  </si>
  <si>
    <t>nộp chứng từ Nguyễn Thị Trúc Thanh - Hoàng Phi Hải</t>
  </si>
  <si>
    <t>bản vẽ thu hồi Nguyễn Hữu Cường (hồ sơ anh Dựng)</t>
  </si>
  <si>
    <t>lấy hồ sơ rút Trần Thị Ngọc Dung</t>
  </si>
  <si>
    <t>nộp bản vẽ sáng 28/2</t>
  </si>
  <si>
    <t>lọ tỏa hương (2)</t>
  </si>
  <si>
    <t>Vim (2)</t>
  </si>
  <si>
    <t xml:space="preserve">cam + bưởi </t>
  </si>
  <si>
    <t xml:space="preserve">bông cúc </t>
  </si>
  <si>
    <t xml:space="preserve">hộp quẹt </t>
  </si>
  <si>
    <t>075/BK-2026	Hoàng Thị Cúc</t>
  </si>
  <si>
    <t>Gửi bv bv Hoàng Thị Cúc</t>
  </si>
  <si>
    <t>nộp bản vẽ chiều 2/3</t>
  </si>
  <si>
    <t>chổi chà sàn (2)</t>
  </si>
  <si>
    <t>Tiền vệ sinh tháng 2</t>
  </si>
  <si>
    <t>209/BK-2025	La Thị Thanh Duyên</t>
  </si>
  <si>
    <t>gửi bv bv La Thị Thanh Duyên</t>
  </si>
  <si>
    <t>phí lấy sổ Nguyễn Thị Trúc Thanh - Hoàng Phi Hải</t>
  </si>
  <si>
    <t>lấy sổ Nguyễn Thị Trúc Thanh - Hoàng Phi Hải</t>
  </si>
  <si>
    <t xml:space="preserve">tiền rác </t>
  </si>
  <si>
    <t>qua quầy tiếp nhận lấy quyết định xử phạt Đặng Văn Hòa - Đặng Thị Kim Thiện</t>
  </si>
  <si>
    <t>nộp bản vẽ chiều 3/3</t>
  </si>
  <si>
    <t>gửi grab cho anh Thanh bảng khối lượng</t>
  </si>
  <si>
    <t>Anh Thanh</t>
  </si>
  <si>
    <t>670/DC-2026 Hồ Trọng Dũng</t>
  </si>
  <si>
    <t>GIÁM ĐỐC NỘP QUỸ L1 THÁNG 3</t>
  </si>
  <si>
    <t>Đặng Văn Hòa - Đặng Thị Kim Thiện PC/4406</t>
  </si>
  <si>
    <t xml:space="preserve">Đóng tiền phạt Đặng Văn Hòa </t>
  </si>
  <si>
    <t>tiền đá tháng 2</t>
  </si>
  <si>
    <t>anh Hữu Trí</t>
  </si>
  <si>
    <t xml:space="preserve">nộp tờ giấy đóng tiền phạt Đặng Văn Hòa </t>
  </si>
  <si>
    <t>gửi sổ Trần Thị Ngọc Dung với GUQ qua Cô Hoa</t>
  </si>
  <si>
    <t>nộp bản vẽ chiều 4/3</t>
  </si>
  <si>
    <t>lấy sổ Đặng Văn Hòa</t>
  </si>
  <si>
    <t>phí lấy sổ Đặng Văn Hòa</t>
  </si>
  <si>
    <t>Bình bơm đường</t>
  </si>
  <si>
    <t>gửi chị Ngọc hồ sơ Trịnh Nguyên Như Hiếu</t>
  </si>
  <si>
    <t>Chị Ngọc bên thuế</t>
  </si>
  <si>
    <t>cắm mốc hồ sơ Phạm Thị Giao Linh</t>
  </si>
  <si>
    <t>nộp bản vẽ sáng 5/3</t>
  </si>
  <si>
    <t>giao hồ sơ cho anh Hòa</t>
  </si>
  <si>
    <t>Anh Hoà</t>
  </si>
  <si>
    <t>giao bản vẽ cho chị Trương Quế Phương</t>
  </si>
  <si>
    <t>Chị Phương</t>
  </si>
  <si>
    <t>ly nhựa</t>
  </si>
  <si>
    <t>nộp bản vẽ chiều 5/3</t>
  </si>
  <si>
    <t>078/BK-2026	Lê Minh Thạnh</t>
  </si>
  <si>
    <t>gửi bv bv Lê Minh Thạnh</t>
  </si>
  <si>
    <t>gửi giấy tờ lên VPĐKĐĐ TP cho anh Tập</t>
  </si>
  <si>
    <t>nộp bản vẽ sáng 6/3</t>
  </si>
  <si>
    <t>GIÁM ĐỐC NỘP QUỸ L2 THÁNG 3</t>
  </si>
  <si>
    <t>gửi giấy tờ lên VPĐKĐĐ TP cho anh Tập lần 2</t>
  </si>
  <si>
    <t xml:space="preserve">nộp hs bản vẽ Nguyễn Khắc Thọ trên VPĐKDĐ TP  </t>
  </si>
  <si>
    <t>gửi bản vẽ Bùi Đình Khánh</t>
  </si>
  <si>
    <t>Anh Khánh</t>
  </si>
  <si>
    <t>tiền cơm 6/3</t>
  </si>
  <si>
    <t>nộp bản vẽ sáng 7/3</t>
  </si>
  <si>
    <t>nộp hs chị Yến (Lê Xuân Hưng - Nguyễn Thị Kim Yến) có kẹp vào hs rồi</t>
  </si>
  <si>
    <t xml:space="preserve">tiền nước </t>
  </si>
  <si>
    <t>Anh Chính (Nguyệt tạp hóa)</t>
  </si>
  <si>
    <t>Hồ Trọng Dũng (616)</t>
  </si>
  <si>
    <t>La Thị Thanh Duyên (182)</t>
  </si>
  <si>
    <t xml:space="preserve">Tiền dừa </t>
  </si>
  <si>
    <t>096/BK-2026        Nguyễn Quốc Chiến-Trần Thị Thu Hương</t>
  </si>
  <si>
    <t>gửi bv bv Nguyễn Quốc Chiến</t>
  </si>
  <si>
    <t>006/BK-2026	Nguyễn Đế Hiếu</t>
  </si>
  <si>
    <t>GĐ chi rồi</t>
  </si>
  <si>
    <t>007/BK-2026	Nguyễn Đế Hiếu</t>
  </si>
  <si>
    <t>052/BK-2026	Nguyễn Thị Phượng</t>
  </si>
  <si>
    <t>Lê Minh Thạnh (189)</t>
  </si>
  <si>
    <t>Nguyễn Thị Phượng (633)</t>
  </si>
  <si>
    <t>giao bản vẽ Trịng Thị Lan Viên</t>
  </si>
  <si>
    <t>Chị Lan Viên</t>
  </si>
  <si>
    <t xml:space="preserve">cam  </t>
  </si>
  <si>
    <t>giao hợp đồng cho anh Đức Mẫn</t>
  </si>
  <si>
    <t>Anh Đức Mẫn</t>
  </si>
  <si>
    <t>Nguyễn Quốc Chiến (179)</t>
  </si>
  <si>
    <t>cắm mốc hs Lê Quang Đạo, Trần Phước Vân</t>
  </si>
  <si>
    <t>sao y + sao y điện tử hồ sơ Hoàng Nam</t>
  </si>
  <si>
    <t>Công chứng hồ sơ</t>
  </si>
  <si>
    <t>VPCC Lê Ngọc Bích Ngân</t>
  </si>
  <si>
    <t xml:space="preserve">nhận card vist </t>
  </si>
  <si>
    <t>giao biên bản cọc ranh Nguyễn Kim Ruộng</t>
  </si>
  <si>
    <t>Anh Duẩn</t>
  </si>
  <si>
    <t>nộp hồ sơ Nguyễn Thị An</t>
  </si>
  <si>
    <t>073/BK-2026	Đào Thị Hòa</t>
  </si>
  <si>
    <t>Anh Trung Kiên</t>
  </si>
  <si>
    <t>Gửi bv bv Đào Thị Hòa</t>
  </si>
  <si>
    <t>Nguyễn Đế Hiếu (669)</t>
  </si>
  <si>
    <t>Nguyễn Đế Hiếu (670)</t>
  </si>
  <si>
    <t>nhận cam kết Hồ Trọng Dũng</t>
  </si>
  <si>
    <t>lấy sổ Vũ Thúy Nhuần</t>
  </si>
  <si>
    <t>thanh toán trích lục Nguyễn Thị Phi</t>
  </si>
  <si>
    <t>GIÁM ĐỐC NỘP QUỸ L3 THÁNG 3</t>
  </si>
  <si>
    <t>089/BK-2026	Phan Xuân Phước-Nguyễn Thị Bích Thủy</t>
  </si>
  <si>
    <t>gửi bv bv Phan Xuân Phước</t>
  </si>
  <si>
    <t>nộp 2 hồ sơ hoàn công Nguyễn Đế Hiếu</t>
  </si>
  <si>
    <t>nộp hồ sơ Hồ Trọng Dũng</t>
  </si>
  <si>
    <t>gửi hđ tặng cho Trần Thị Ngọc Dung cho Cô Hoa</t>
  </si>
  <si>
    <t>cắm mốc Đào Minh Quân</t>
  </si>
  <si>
    <t>thanh toán trích lục Lê Văn Hoàng</t>
  </si>
  <si>
    <t>gửi chị Huy nộp bản vẽ sáng 16/3</t>
  </si>
  <si>
    <t>Phan Xuân Phước (255)</t>
  </si>
  <si>
    <t>Đào Thị Hòa (235)</t>
  </si>
  <si>
    <t>gửi chị Huy lấy bản vẽ đạt 16/3</t>
  </si>
  <si>
    <t xml:space="preserve">nộp hs Phan Xuân Phước </t>
  </si>
  <si>
    <t>gửi hợp đồng cho anh Ý</t>
  </si>
  <si>
    <t>Anh Ý</t>
  </si>
  <si>
    <t>gửi phi nông nghiệp Phan Xuân Phước cho chị Trâm</t>
  </si>
  <si>
    <t xml:space="preserve">đóng thuế phi NN Phan Xuân Phước </t>
  </si>
  <si>
    <t>gửi bv cho anh Xuất</t>
  </si>
  <si>
    <t>nộp hồ sơ cho khách (HS Phạm Văn Dũng)</t>
  </si>
  <si>
    <t>gửi chị Huy nộp bản vẽ sáng 17/3</t>
  </si>
  <si>
    <t>photo bản vẽ Phan Xuân Phước</t>
  </si>
  <si>
    <t>Nguyễn Thị Phượng - Nguyễn Thị Hoa Nga - Nguyễn Thị Thúy Hằng PC/5798</t>
  </si>
  <si>
    <t>nộp cấp số nhà Nguyễn Thị Mến</t>
  </si>
  <si>
    <t>nộp cấp số nhà Nguyễn Văn Quỳnh - Đặng Thị Hoàn</t>
  </si>
  <si>
    <t>gửi chị Huy Nộp bản vẽ chiều 17/3</t>
  </si>
  <si>
    <t>sao y điện tử bản vẽ Phan Xuân Phước</t>
  </si>
  <si>
    <t xml:space="preserve">nộp hs Đặng Văn Lẹ, Nguyễn Doãn Tuấn ở phường </t>
  </si>
  <si>
    <t>Giấy A3</t>
  </si>
  <si>
    <t>Giấy A4</t>
  </si>
  <si>
    <t>125/BK-2026	Nguyễn Văn Học</t>
  </si>
  <si>
    <t>Anh Chì</t>
  </si>
  <si>
    <t>106/BK-2026	Trần Phi Long</t>
  </si>
  <si>
    <t>GIÁM ĐỐC NỘP QUỸ L5 THÁNG 3</t>
  </si>
  <si>
    <t>Hoàng Thị Cúc (326)</t>
  </si>
  <si>
    <t>gửi chị Huy nộp bản vẽ sáng 18/3</t>
  </si>
  <si>
    <t>nhận bản vẽ Tôn Phượng Nga</t>
  </si>
  <si>
    <t>Ghim bấm</t>
  </si>
  <si>
    <t>gửi bv bv Tôn Phượng Nga</t>
  </si>
  <si>
    <t>GIÁM ĐỐC NỘP QUỸ L4 THÁNG 3</t>
  </si>
  <si>
    <t>nộp hs Nguyễn Khắc Thọ lần 2</t>
  </si>
  <si>
    <t>gửi chị Huy nộp bản vẽ chiều18/3</t>
  </si>
  <si>
    <t>GIÁM ĐỐC NỘP QUỸ L6 THÁNG 3</t>
  </si>
  <si>
    <t xml:space="preserve">rút 2 hồ sơ Nguyễn Đế Hiếu </t>
  </si>
  <si>
    <t>gửi phi nông nghiệp Hoàng Thị Cúc cho chị Trâm</t>
  </si>
  <si>
    <t>bưởi</t>
  </si>
  <si>
    <t>thanh toán trích lục Nguyễn Thị Ninh</t>
  </si>
  <si>
    <t>gửi chị Huy nộp bản vẽ sáng 19/3</t>
  </si>
  <si>
    <t>Ôn Thị San (hs anh Dựng)</t>
  </si>
  <si>
    <t>giao hợp đồng cho chị Yến</t>
  </si>
  <si>
    <t>Chị Yến</t>
  </si>
  <si>
    <t>đóng phi nông nghiệp Hoàng Thị Cúc</t>
  </si>
  <si>
    <t>Bộ ly ông thần tài thổ địa</t>
  </si>
  <si>
    <t>Phạm Khánh Hùng (hs anh Xây)</t>
  </si>
  <si>
    <t>gửi chị Huy nộp bản vẽ chiều 19/3</t>
  </si>
  <si>
    <t>cắm mốc 4 trụ (200k)+ thuê phụ 300k (Tôn Phượng Nga)</t>
  </si>
  <si>
    <t>124/BK-2026	Đặng Khoa Học-Trần Ngọc Thùy Tiên</t>
  </si>
  <si>
    <t>Anh Trưởng</t>
  </si>
  <si>
    <t>gửi bv bv Đặng Khoa Học</t>
  </si>
  <si>
    <t>Trần Phi Long (233)</t>
  </si>
  <si>
    <t>gửi bv bv Nguyễn Khoa Học</t>
  </si>
  <si>
    <t>gửi chị Huy lấy bản vẽ sáng 20/3</t>
  </si>
  <si>
    <t>Giấy CAN</t>
  </si>
  <si>
    <t>gửi chị Huy nộp bản vẽ chiều 20/3</t>
  </si>
  <si>
    <t>Phan Xuân Phước PC/6067</t>
  </si>
  <si>
    <t>giao biên bản cọc ranh cho anh Nam</t>
  </si>
  <si>
    <t>Anh Nam</t>
  </si>
  <si>
    <t>gửi chị Huy nộp bản vẽ sáng 21/3</t>
  </si>
  <si>
    <t>041/BK-2026	Đinh Văn Long</t>
  </si>
  <si>
    <t>gửi bv bv Đinh Văn Long</t>
  </si>
  <si>
    <t>Anh Cường (khách)</t>
  </si>
  <si>
    <t>gửi bv lại bv Đinh Văn Long</t>
  </si>
  <si>
    <t>cắm phích</t>
  </si>
  <si>
    <t>sao y giấy phép cty</t>
  </si>
  <si>
    <t>gửi grab cho anh Tuấn Anh</t>
  </si>
  <si>
    <t>GIÁM ĐỐC NỘP QUỸ L7 THÁNG 3</t>
  </si>
  <si>
    <t xml:space="preserve">gửi camera </t>
  </si>
  <si>
    <t>gửi chị Vân nộp bản vẽ chiều 23/3</t>
  </si>
  <si>
    <t>cam + trái cây</t>
  </si>
  <si>
    <t>Nguyễn Văn Học (401)</t>
  </si>
  <si>
    <t>Đặng Khoa Học (762)</t>
  </si>
  <si>
    <t>gửi chị Vân lấy bản vẽ sáng 24/3</t>
  </si>
  <si>
    <t>Đưa sếp để chi bản vẽ</t>
  </si>
  <si>
    <t>044/BK-2026        Lê Quang Đạo</t>
  </si>
  <si>
    <t>108/BK-2026        Đỗ Bình Trọng</t>
  </si>
  <si>
    <t>gửi bv giấy tờ bản vẽ Đỗ Bình Trọng (chi nhanh)</t>
  </si>
  <si>
    <t>Đinh Văn Long (290)</t>
  </si>
  <si>
    <t>gửi chị Vân nộp bản vẽ sáng 25/3</t>
  </si>
  <si>
    <t>thanh toán trích lục Đinh Thị Hoài Thương</t>
  </si>
  <si>
    <t>cắm mốc hs Lê Thị Hải (1 trụ xi măng)</t>
  </si>
  <si>
    <t>đóng phi nông nghiệp Lê Thị Kim Nguyệt</t>
  </si>
  <si>
    <t>gửi cf cho anh tới xem máy tính</t>
  </si>
  <si>
    <t>Anh Tuyên sửa mt</t>
  </si>
  <si>
    <t>Đưa sếp</t>
  </si>
  <si>
    <t>màn hình máy tính</t>
  </si>
  <si>
    <t>Nguyễn Kim Quang</t>
  </si>
  <si>
    <t xml:space="preserve">gửi tiền ship màn hình mt </t>
  </si>
  <si>
    <t xml:space="preserve">nộp cấp số nhà Tô Thị Mỹ Nương </t>
  </si>
  <si>
    <t>gửi chị Vân nộp bản vẽ chiều 25/3</t>
  </si>
  <si>
    <t>Đỗ Bình Trọng (390)</t>
  </si>
  <si>
    <t>477/BK-2025	Tô Thị Mỹ Nương</t>
  </si>
  <si>
    <t>cắm mốc hs Lương Thị Triều Lưu ( 2 trụ xi măng)</t>
  </si>
  <si>
    <t>Nguyễn Hoàng Anh PC/6400</t>
  </si>
  <si>
    <t>Chị Ngọc Thuế</t>
  </si>
  <si>
    <t>139/BK-2026	Đỗ Đình Hưng</t>
  </si>
  <si>
    <t>gửi bv bv Đỗ Bình Hưng</t>
  </si>
  <si>
    <t>GIÁM ĐỐC NỘP QUỸ L8 THÁNG 3</t>
  </si>
  <si>
    <t>nộp hs đấu giá thầu Phạm Thị Yến (Anh Hoàng) "kẹp trong hồ sơ"</t>
  </si>
  <si>
    <t>lấy sổ hs tách thửa Trần Thị Ngọc Dung</t>
  </si>
  <si>
    <t>Chi hồ sơ Nguyễn Khắc Thọ</t>
  </si>
  <si>
    <t>nộp lại hs Nguyễn Văn Hải</t>
  </si>
  <si>
    <t>126/BK-2026	Trần Văn Giấy</t>
  </si>
  <si>
    <t>GIÁM ĐỐC NỘP QUỸ L9 THÁNG 3</t>
  </si>
  <si>
    <t>gửi chị Vân đưa bản vẽ cho anh Kim Tuấn</t>
  </si>
  <si>
    <t>nộp hồ sơ Lê Thị Kim Nguyệt</t>
  </si>
  <si>
    <t>giao hs Nguyễn Văn Chính cho anh Tuấn Anh</t>
  </si>
  <si>
    <t>giao phụ lục hợp đồng số 01 cho anh Quân</t>
  </si>
  <si>
    <t>Anh Quân</t>
  </si>
  <si>
    <t>100/BK-2026	Tô Thị MỸ Nương</t>
  </si>
  <si>
    <t>Anh Thu Hồng</t>
  </si>
  <si>
    <t xml:space="preserve">gửi bv bv Tô Thị Mỹ Nương </t>
  </si>
  <si>
    <t>Giao biên bản cọc ranh Nguyễn Tất Thanh cho Anh Duẩn</t>
  </si>
  <si>
    <t>gửi chị Vân nộp bản vẽ sáng 27/3</t>
  </si>
  <si>
    <t>Lê Quang Đạo (324)</t>
  </si>
  <si>
    <t>gửi grab tài liệu cho anh Quân (P. Bình Thạnh)</t>
  </si>
  <si>
    <t>gửi grab sổ Trần Thị Ngọc Dung cho Cô Hoa</t>
  </si>
  <si>
    <t>bổ sung giấy tờ theo yêu cầu thuế (HS Nguyễn Thị Phượng - Nguyễn Thị Hoa Nga - Nguyễn Thị Thúy Hằng)</t>
  </si>
  <si>
    <t>gửi chị Vân nộp bản vẽ chiều 27/3</t>
  </si>
  <si>
    <t>gửi giấy tờ xuống cho anh Đạt</t>
  </si>
  <si>
    <t>Anh Đạt</t>
  </si>
  <si>
    <t>đưa sếp để rút hs cấp số nhà Mến và Quỳnh</t>
  </si>
  <si>
    <t>nhận đơn grab Cô Hoa giao (HĐ tặng cho Trần Thị Ngọc Dung)</t>
  </si>
  <si>
    <t>Lấy két 1tr5</t>
  </si>
  <si>
    <t>117/BK-2026	Đào Minh Quân</t>
  </si>
  <si>
    <t>gửi chị Vân nộp bản vẽ sáng 28/3</t>
  </si>
  <si>
    <t>nhận hồ sơ Phạm Mạnh Cường</t>
  </si>
  <si>
    <t>túi rác</t>
  </si>
  <si>
    <t>nhang muỗi</t>
  </si>
  <si>
    <t>146/BK-2026	Lương Thị Triều Lưu-Lê Thành Đồng</t>
  </si>
  <si>
    <t>147/BK-2026	Lương Thị Triều Lưu-Lê Thành Đồng</t>
  </si>
  <si>
    <t>gửi bv bv Lương Thị Triều Lưu-Lê Thành Đồng</t>
  </si>
  <si>
    <t>GIÁM ĐỐC NỘP QUỸ L10 THÁNG 3</t>
  </si>
  <si>
    <t>Túi đựng rác có quai</t>
  </si>
  <si>
    <t>gửi bản vẽ cho anh Đạt</t>
  </si>
  <si>
    <t>Tiền nước</t>
  </si>
  <si>
    <t>Chị Nguyệt tạp hóa</t>
  </si>
  <si>
    <t>nhận màn hình máy tính</t>
  </si>
  <si>
    <t>giao hợp đồng cho chị Vân Anh</t>
  </si>
  <si>
    <t>chị Vân Anh</t>
  </si>
  <si>
    <t xml:space="preserve">cam </t>
  </si>
  <si>
    <t>lấy sổ Phan Xuân Phước</t>
  </si>
  <si>
    <t>giao sổ cho anh Phan Xuân Phước</t>
  </si>
  <si>
    <t>Anh Phan Xuân Phước</t>
  </si>
  <si>
    <t>Tô Thị Mỹ Nương (329)</t>
  </si>
  <si>
    <t>Đỗ Đình Hưng (277)</t>
  </si>
  <si>
    <t>tiền lá cờ</t>
  </si>
  <si>
    <t xml:space="preserve">đóng tiền lấy bản vẽ Thiên Gia Phát </t>
  </si>
  <si>
    <t>thu phí đóng tiền lấy bản vẽ + 20k phí</t>
  </si>
  <si>
    <t>gửi biên bản cọc ranh Nguyễn Hoàng Dương cho anh Phương</t>
  </si>
  <si>
    <t>Anh Phương</t>
  </si>
  <si>
    <t xml:space="preserve">nhận bản vẽ Trần Thị Ngọc Dung </t>
  </si>
  <si>
    <t>cắm mốc Lê Thị Hải</t>
  </si>
  <si>
    <t>tiền grab đi nộp hồ sơ ở Q1</t>
  </si>
  <si>
    <t>Nộp hồ sơ hoàn công Bùi Ngọc Phượng</t>
  </si>
  <si>
    <t>nộp hồ sơ Phạm Thị Yến</t>
  </si>
  <si>
    <t xml:space="preserve">sao y Bùi Ngọc Phượng </t>
  </si>
  <si>
    <t>Phòng công chứng</t>
  </si>
  <si>
    <t>thùng sữa</t>
  </si>
  <si>
    <t>thanh toán trích lục Trần Minh Bằng</t>
  </si>
  <si>
    <t>166/BK-2026	Trần Minh An</t>
  </si>
  <si>
    <t>gửi bv bv Trần Minh An</t>
  </si>
  <si>
    <t>sao y + làm GUQ Nguyễn Minh Trung</t>
  </si>
  <si>
    <t>giao bản vẽ Nguyễn Văn Chính cho anh Tuấn Anh</t>
  </si>
  <si>
    <t>GIÁM ĐỐC NỘP QUỸ L1 THÁNG 4</t>
  </si>
  <si>
    <t>nhận hồ sơ chị Nguyệt gửi lên</t>
  </si>
  <si>
    <t>Chị Nguyệt</t>
  </si>
  <si>
    <t xml:space="preserve">bông + dưa </t>
  </si>
  <si>
    <t>Lương Thị Triều Lưu (876)</t>
  </si>
  <si>
    <t>Đào Minh Quân (344)</t>
  </si>
  <si>
    <t>Trần Văn Giấy (338)</t>
  </si>
  <si>
    <t>Đưa sếp 5tr</t>
  </si>
  <si>
    <t>giao hồ sơ Nguyễn Nhựt Tân</t>
  </si>
  <si>
    <t>lấy kết quả Nguyễn Khắc Thọ</t>
  </si>
  <si>
    <t>thanh toán tiền dịch vụ tháng 3/2026</t>
  </si>
  <si>
    <t xml:space="preserve">Gia Phát </t>
  </si>
  <si>
    <t>097/BK-2026	Nguyễn Thị Ngọc Thuận</t>
  </si>
  <si>
    <t>Gửi bv bv Nguyễn Thị Ngọc Thuận</t>
  </si>
  <si>
    <t>nộp hs Nguyễn Đức Mẫn</t>
  </si>
  <si>
    <t>Lấy bản vẽ Nguyễn Khắc Thọ</t>
  </si>
  <si>
    <t>VP DĐ TP.HCM</t>
  </si>
  <si>
    <t>gửi hs xuống cho anh Tài</t>
  </si>
  <si>
    <t xml:space="preserve">Anh Tài </t>
  </si>
  <si>
    <t>sếp gửi lại tiền chi cấp số nhà Mến + Quỳnh</t>
  </si>
  <si>
    <t>Đóng thuế phi NN Lê Thành Đồng</t>
  </si>
  <si>
    <t>Đóng thuế phi NN Hộ Kinh Doanh Cửa Hàng Văn Phòng phẩm &amp; Trang Trí nội thất Ngọc Lan</t>
  </si>
  <si>
    <t>Đóng thuế phi NN Lê Quang Đạo</t>
  </si>
  <si>
    <t>thanh toán tiền đá tháng 3 /2026</t>
  </si>
  <si>
    <t>Anh Hữu Trí</t>
  </si>
  <si>
    <t>173/BK-2026	Phan Thị Mộng Thu</t>
  </si>
  <si>
    <t>gửi bv bv Phan Thị Mộng Thu</t>
  </si>
  <si>
    <t>049/BK-2026	Tống Thị Mỹ Trang</t>
  </si>
  <si>
    <t>gửi bv bv Tống Thị Mỹ Trang</t>
  </si>
  <si>
    <t>Trần Minh An (435)</t>
  </si>
  <si>
    <t xml:space="preserve">lấy sổ Phạm Thị Minh Uyên </t>
  </si>
  <si>
    <t>phí lấy sổ Phạm Thị Minh Uyên 1</t>
  </si>
  <si>
    <t>phí lấy sổ Phạm Thị Minh Uyên 2</t>
  </si>
  <si>
    <t>Chị Oanh gửi lại tiền phí lấy sổ Phạm Thị Minh Uyên</t>
  </si>
  <si>
    <t>Chị Oanh</t>
  </si>
  <si>
    <t>gửi chị Huy nộp bản vẽ chiều 6/4</t>
  </si>
  <si>
    <t>gửi hợp đồng Nguyễn Thị Phương Anh cho anh Vinh</t>
  </si>
  <si>
    <t>Anh Vinh</t>
  </si>
  <si>
    <t>gửi hs Mai Thị Hoa cho anh Tùng chiều 6/4</t>
  </si>
  <si>
    <t>Anh Tùng</t>
  </si>
  <si>
    <t>nộp hồ sơ cmđ Phạm Mạnh Cường</t>
  </si>
  <si>
    <t>nộp hồ sơ cmđ Đặng Thị Thanh Hằng</t>
  </si>
  <si>
    <t>gửi hs Mai Thị Hoa cho anh Tùng sáng 7/4</t>
  </si>
  <si>
    <t>gửi bản vẽ Phạm Mạnh Cường, Đặng Thị Thanh Hằng xuống phường</t>
  </si>
  <si>
    <t xml:space="preserve">gửi bản vẽ Chu Thị Kim Anh cho anh Đạt lần 1 </t>
  </si>
  <si>
    <t>gửi bản vẽ Chu Thị Kim Anh cho anh Đạt lần 2</t>
  </si>
  <si>
    <t>121/BK-2026	Nguyễn Thị Hoa</t>
  </si>
  <si>
    <t xml:space="preserve">gửi bv bv Nguyễn Thị Hoa </t>
  </si>
  <si>
    <t>Hs Phạm Thị Minh Uyên</t>
  </si>
  <si>
    <t>GIÁM ĐỐC NỘP QUỸ L2 THÁNG 4</t>
  </si>
  <si>
    <t>cắm mốc Phạm Chí Cường</t>
  </si>
  <si>
    <t>gửi hs Bùi Ngọc Phượng cho anh Khiêm</t>
  </si>
  <si>
    <t>Anh Khiêm</t>
  </si>
  <si>
    <t>gửi chị Huy nộp bản vẽ chiều 7/4</t>
  </si>
  <si>
    <t>Nguyễn Thị Ngọc Thuận (443)</t>
  </si>
  <si>
    <t xml:space="preserve">gửi lại bản vẽ Nguyễn Thị Hoa </t>
  </si>
  <si>
    <t>đưa thêm 100k nộp hs Bùi Ngọc Phượng</t>
  </si>
  <si>
    <t>Phạm Thị Trang</t>
  </si>
  <si>
    <t>Phạm Chí Cường</t>
  </si>
  <si>
    <t>photo bản vẽ xin phép Nguyễn Văn Trung</t>
  </si>
  <si>
    <t>gửi chị Trâm làm nhanh thuế (Nguyễn Văn Tường - Nguyễn Hữu Thoại. Nguyễn Văn Thành - Nguyễn Thị Thanh Hồng)</t>
  </si>
  <si>
    <t>gửi chị Huy nộp bản vẽ chiều 8/4</t>
  </si>
  <si>
    <t xml:space="preserve">đưa sếp 1tr </t>
  </si>
  <si>
    <t>Tống Thị Mỹ Trang (468)</t>
  </si>
  <si>
    <t>gửi bản vẽ cho anh Nam</t>
  </si>
  <si>
    <t>gửi bản vẽ cho anh Khiêm</t>
  </si>
  <si>
    <t>bơm bình áp</t>
  </si>
  <si>
    <t>Nguyễn Quang Hoàn</t>
  </si>
  <si>
    <t>Lê Thị Hải</t>
  </si>
  <si>
    <t>sao y điện tử Lê Thị Hải</t>
  </si>
  <si>
    <t>203/BK-2026	Vũ Hoàng Hải</t>
  </si>
  <si>
    <t>Anh Viết Hiếu</t>
  </si>
  <si>
    <t>gửi bv bv Vũ Hoàng Hải</t>
  </si>
  <si>
    <t>gửi chị Huy nộp bản vẽ chiều 9/4</t>
  </si>
  <si>
    <t>nhận bảng hiệu Bách Khoa</t>
  </si>
  <si>
    <t>Le Hai Đang</t>
  </si>
  <si>
    <t>GIÁM ĐỐC NỘP QUỸ L3 THÁNG 4</t>
  </si>
  <si>
    <t>kẹp phí hs trích lục Nguyễn Văn Trung</t>
  </si>
  <si>
    <t>gửi lại bản vẽ Vũ Hoàng Hải</t>
  </si>
  <si>
    <t>gửi chị Nhung quầy hướng dẫn hs Lê Thị Kim Nguyệt cho chị Tài thụ lý</t>
  </si>
  <si>
    <t>Nguyễn Thị Hoa (510)</t>
  </si>
  <si>
    <t>gửi chị Huy nộp bản vẽ chiều 10/4</t>
  </si>
  <si>
    <t>119/BK-2026	Đặng Quang Huy</t>
  </si>
  <si>
    <t xml:space="preserve">gửi bản vẽ Đặng Quang Huy quầy tiếp nhận </t>
  </si>
  <si>
    <t xml:space="preserve">Chị Huy </t>
  </si>
  <si>
    <t>gửi chị Quyên hs Nguyễn Văn Tường, Nguyễn Hữu Thoại</t>
  </si>
  <si>
    <t>Chị Quyên bên thuế</t>
  </si>
  <si>
    <t>chổi quét nhà</t>
  </si>
  <si>
    <t>gửi chị Huy nộp bản vẽ 11/4</t>
  </si>
  <si>
    <t>Lẫu gà lá é</t>
  </si>
  <si>
    <t>2 ổ cắm, 1 xịt rỉ</t>
  </si>
  <si>
    <t>Minh</t>
  </si>
  <si>
    <t>Tiền Cơm</t>
  </si>
  <si>
    <t>Chị Hà</t>
  </si>
  <si>
    <t>215/BK-2026	Nguyễn Văn Lâu</t>
  </si>
  <si>
    <t>gửi bv bv Nguyễn Văn Lâu</t>
  </si>
  <si>
    <t>gửi quầy hướng dẫn hs Phạm Thị Yến cho anh Phúc Anh</t>
  </si>
  <si>
    <t>Chị Nhung</t>
  </si>
  <si>
    <t>photo + scan hs Nguyễn Văn Trung</t>
  </si>
  <si>
    <t>photo bản vẽ Đinh Quý Tuấn - Nguyễn Thị Xuân Thảo</t>
  </si>
  <si>
    <t>nộp hs Đặng Khoa Học</t>
  </si>
  <si>
    <t>149/BK-2026	Đinh Thị Hoài Thương</t>
  </si>
  <si>
    <t>gửi bv bv Đinh Thị Hoài Thương</t>
  </si>
  <si>
    <t xml:space="preserve">gửi chị Vân nộp bản vẽ </t>
  </si>
  <si>
    <t>sao y điện tử Nguyễn Mạnh Hiếu dưới phường</t>
  </si>
  <si>
    <t>Nguyễn Mạnh Hiếu</t>
  </si>
  <si>
    <t>cắm mốc hs Trần Trung Tín</t>
  </si>
  <si>
    <t>thanh toán trích lục Phạm Văn Phát</t>
  </si>
  <si>
    <t>Vũ Hoàng Hải (388)</t>
  </si>
  <si>
    <t>gửi chị Vân nộp bản vẽ 14/4</t>
  </si>
  <si>
    <t>nộp hs Trần Thanh Song ở phường</t>
  </si>
  <si>
    <t>tấm nhựa poly màu xanh + vận chuyển</t>
  </si>
  <si>
    <t>VLXD Thịnh Phát</t>
  </si>
  <si>
    <t>Lê Thị Kim Nguyệt</t>
  </si>
  <si>
    <t>Chị Ngọc</t>
  </si>
  <si>
    <t>GIÁM ĐỐC NỘP QUỸ L4 THÁNG 4</t>
  </si>
  <si>
    <t>210/BK-2026	Lê Văn Trung</t>
  </si>
  <si>
    <t>Anh Sang</t>
  </si>
  <si>
    <t>213/BK-2026	Ngô Uyên Uyên</t>
  </si>
  <si>
    <t>lấy sổ Nguyễn Văn Thành</t>
  </si>
  <si>
    <t>phí lấy sổ Nguyễn Văn Thành</t>
  </si>
  <si>
    <t>GIÁM ĐỐC NỘP QUỸ L5 THÁNG 4</t>
  </si>
  <si>
    <t>lấy sổ Nguyễn Văn Tường</t>
  </si>
  <si>
    <t>phí lấy sổ Nguyễn Văn Tường</t>
  </si>
  <si>
    <t>Anh Sơn Nguyễn</t>
  </si>
  <si>
    <t>gửi hs cho chị Trâm hôm 13/4</t>
  </si>
  <si>
    <t>gửi hs cho chị Vân Anh</t>
  </si>
  <si>
    <t>Chị Vân Anh</t>
  </si>
  <si>
    <t>gửi sổ cho cô Hoa</t>
  </si>
  <si>
    <t>gửi chị Vân nộp bản vẽ 15/4</t>
  </si>
  <si>
    <t>209/BK-2026	Đỗ Văn Nhỏ</t>
  </si>
  <si>
    <t>gửi bv bv Đỗ Văn Nhỏ</t>
  </si>
  <si>
    <t>186/BK-2026	Nguyễn Xuân Đức</t>
  </si>
  <si>
    <t>gửi chị Vân bv Nguyễn Xuân Đức cho anh Kim Tuấn</t>
  </si>
  <si>
    <t>220/BK-2026	Nguyễn Bá Hùng</t>
  </si>
  <si>
    <t>Anh Hoàng Sang</t>
  </si>
  <si>
    <t>012/BK-2026	Phạm Thị Trang</t>
  </si>
  <si>
    <t>gửi bv bv Nguyễn Bá Hùng, Phạm Thị Trang</t>
  </si>
  <si>
    <t>Ngô Hoàng Nam</t>
  </si>
  <si>
    <t>Dương Văn Thịnh</t>
  </si>
  <si>
    <t>giao hợp đồng cho anh Dũng</t>
  </si>
  <si>
    <t>Anh Dũng</t>
  </si>
  <si>
    <t>đóng thuế phi NN Đặng Quang Huy, Ngô Uyên Uyên, Trần Thị Bích Hậu</t>
  </si>
  <si>
    <t>Đặng Quang Huy (426)</t>
  </si>
  <si>
    <t>Ngô Uyên Uyên (356)</t>
  </si>
  <si>
    <t>gửi chị Vân nộp bản vẽ 16/4</t>
  </si>
  <si>
    <t xml:space="preserve">gửi bản vẽ Nguyễn Thu Thủy </t>
  </si>
  <si>
    <t>Anh Thường Tú</t>
  </si>
  <si>
    <t>gửi bản vẽ Đặng Quang Huy cho Cô Hoa</t>
  </si>
  <si>
    <t>trái cây + bông cúc</t>
  </si>
  <si>
    <t>công chứng cam kết Đỗ Văn Nhỏ</t>
  </si>
  <si>
    <t>sao y điện tử dưới phường hs Đỗ Văn Nhỏ</t>
  </si>
  <si>
    <t>Nguyễn Văn Lâu (223)</t>
  </si>
  <si>
    <t>gửi hợp đồng cho Chị Hằng</t>
  </si>
  <si>
    <t>Chị Hằng</t>
  </si>
  <si>
    <t>gửi chị Vân nộp bản vẽ sáng 17/4</t>
  </si>
  <si>
    <t>bao thư</t>
  </si>
  <si>
    <t>nhận hồ sơ grab gửi lên (Đỗ Văn Nhỏ)</t>
  </si>
  <si>
    <t>nộp hs Đặng Quang Huy</t>
  </si>
  <si>
    <t>gửi biên nhận Đặng Quang Huy cho Cô Hoa</t>
  </si>
  <si>
    <t>lấy sổ Nguyễn Đế Hiếu</t>
  </si>
  <si>
    <t>phí lấy sổ Nguyễn Đế Hiếu (thửa 529+530)</t>
  </si>
  <si>
    <t>kẹp phí nộp hs Tô Thị Mỹ Nương</t>
  </si>
  <si>
    <t>nhận cam kết PCC Nguyễn Điệp gửi lên</t>
  </si>
  <si>
    <t>PCC Nguyễn Điệp</t>
  </si>
  <si>
    <t>gửi GUQ Đặng Quang Huy qua PCC Nguyễn Điệp</t>
  </si>
  <si>
    <t>ly + bìa hồ sơ</t>
  </si>
  <si>
    <t>bún thịt nướng</t>
  </si>
  <si>
    <t>196/BK-2026	Nguyễn Thị Vân Anh</t>
  </si>
  <si>
    <t xml:space="preserve">Hà Thanh </t>
  </si>
  <si>
    <t>235/BK-2026	Trần Thế Huynh</t>
  </si>
  <si>
    <t>Hoàng Sang</t>
  </si>
  <si>
    <t>gửi bv bv Nguyễn Thị Vân Anh, Trần Thế Huynh</t>
  </si>
  <si>
    <t>GIÁM ĐỐC NỘP QUỸ L6 THÁNG 4</t>
  </si>
  <si>
    <t>Lương Trí Độ</t>
  </si>
  <si>
    <t>miếng rửa ly</t>
  </si>
  <si>
    <t>gửi bv bv Võ Minh Tâm</t>
  </si>
  <si>
    <t xml:space="preserve">gửi hợp đồng cho chị Hằng </t>
  </si>
  <si>
    <t>băng keo 2 mặt</t>
  </si>
  <si>
    <t>cắm mốc hs Nguyễn Hữu Thiện (4 trụ xi măng)</t>
  </si>
  <si>
    <t>197/BK-2026	Hồ Phước Hùng</t>
  </si>
  <si>
    <t>Công Trưởng</t>
  </si>
  <si>
    <t>gửi bv bv Hồ Phước Hùng, Trần Thế Huynh</t>
  </si>
  <si>
    <t>Phạm Cao Thắng PC/8028</t>
  </si>
  <si>
    <t>gửi chị Trâm bên thuế</t>
  </si>
  <si>
    <t>xác nhận vị trí Nguyễn Thị Vân Anh</t>
  </si>
  <si>
    <t>rút hs Đặng Văn Lẹ</t>
  </si>
  <si>
    <t>gửi quầy hướng dẫn hs Phạm Cao Thắng chị Phúc</t>
  </si>
  <si>
    <t>239/BK-2026	Bùi Ngươn Phong</t>
  </si>
  <si>
    <t>240/BK-2026	Bùi Ngươn Phong</t>
  </si>
  <si>
    <t>gửi bv bv Bùi Ngươn Phong</t>
  </si>
  <si>
    <t>gửi chị Trâm hs Tô Thị Mỹ Nương</t>
  </si>
  <si>
    <t>đóng thuế phi NN Trần Thế Huynh, Võ Minh Tâm, Tô Thị Mỹ Nương</t>
  </si>
  <si>
    <t>Phạm Thị Trang (371)</t>
  </si>
  <si>
    <t>Đổ Văn Nhỏ (042)</t>
  </si>
  <si>
    <t>Lê Văn Trung (366)</t>
  </si>
  <si>
    <t>gửi biên bản cọc ranh cho anh Thanh</t>
  </si>
  <si>
    <t>gửi hs Cao Thị Mỹ Phú cho chị Phú</t>
  </si>
  <si>
    <t>Chiị Phú</t>
  </si>
  <si>
    <t>GIÁM ĐỐC NỘP QUỸ L7 THÁNG 4</t>
  </si>
  <si>
    <t>đóng phi NN Nguyễn Bá Hùng</t>
  </si>
  <si>
    <t>gửi chị Trâm hồ sơ Nguyễn Bá Hùng</t>
  </si>
  <si>
    <t>nộp hs tách thửa Lê Thành Đồng - Lương Thị Triều Lưu</t>
  </si>
  <si>
    <t>gửi hs cho anh Thanh</t>
  </si>
  <si>
    <t>Nguyễn Xuân Đức (443)</t>
  </si>
  <si>
    <t>Viết hồ sơ + nộp hồ sơ dùm khách</t>
  </si>
  <si>
    <t>(Khách) Hà Ngọc Thanh Thương</t>
  </si>
  <si>
    <t>cắm mốc hs Đào Hoàng Lân</t>
  </si>
  <si>
    <t>giao bản vẽ Đỗ Đình Hưng cho Cô Hoa</t>
  </si>
  <si>
    <t>giao hợp đồng cho Anh Quốc Thương</t>
  </si>
  <si>
    <t>Anh Quốc Thương</t>
  </si>
  <si>
    <t>nộp hs Nguyễn Xuân Đức</t>
  </si>
  <si>
    <t>gửi bổ sung hs Phạm Cao Thắng quầy hướng dẫn</t>
  </si>
  <si>
    <t>Nguyễn Thị Vân Anh (421)</t>
  </si>
  <si>
    <t>Võ Minh Tâm (433)</t>
  </si>
  <si>
    <t>Trần Thế Huynh (386)</t>
  </si>
  <si>
    <t xml:space="preserve">sao y điện tử các cam kết ở phường: BV Nguyễn Kim Chi, BV Nguyễn Thị Mỹ Lợi, Giấy cam kết Lê Văn Đông, GUQ Hoàng Vân Anh, Giấy cam kết Phạm Đăng Khoa, bản đồ hiện trạng Lê Văn Đông, bản đồ hiện trạng Phạm Đăng Khoa, BV Nguyễn Mạnh Hiếu, Giấy cam kết Đỗ Văn Nhỏ, Giấy cam kết Phùng Kim Hoàng, Scan sổ Đỗ Văn Nhỏ, Sổ Đỗ Văn Nhỏ, BV Đỗ Văn Nhỏ </t>
  </si>
  <si>
    <t>Hồ Phước Hùng (082)</t>
  </si>
  <si>
    <t>GIÁM ĐỐC NỘP QUỸ L8 THÁNG 4</t>
  </si>
  <si>
    <t>Bản vẽ cấp giấy hs XPXD Phạm Vũ</t>
  </si>
  <si>
    <t>nộp hồ sơ Trần Thế Huynh</t>
  </si>
  <si>
    <t>nộp cấp số nhà: Đặng Nguyễn Thảo Phương, Đặng Việt Anh</t>
  </si>
  <si>
    <t>nộp cấp số nhà: Nguyễn Công Luận</t>
  </si>
  <si>
    <t>nộp bổ sung chứng từ hs Trần Thị Kiều (A. Cương nhờ)</t>
  </si>
  <si>
    <t>gửi chị Trâm hs Hồ Phước Hùng</t>
  </si>
  <si>
    <t>đóng thuế phi NN Hồ Phước Hùng</t>
  </si>
  <si>
    <t>nộp hs Hồ Phước Hùng</t>
  </si>
  <si>
    <t>GIÁM ĐỐC NỘP QUỸ L9 THÁNG 4</t>
  </si>
  <si>
    <t>231/BK-2026	Đặng Văn Phát</t>
  </si>
  <si>
    <t>gửi bv bv Đặng Văn Phát</t>
  </si>
  <si>
    <t>gửi chị Trâm hồ sơ Nguyễn Thị Vân Anh, Đào Hoàng Lân</t>
  </si>
  <si>
    <t>Đóng phi NN Nguyễn Thị Vân Anh</t>
  </si>
  <si>
    <t>Đóng phi NN Đào Hoàng Lân</t>
  </si>
  <si>
    <t>gửi hồ sơ cho cô Ngọc</t>
  </si>
  <si>
    <t>Cô Ngọc</t>
  </si>
  <si>
    <t>gửi hồ sơ cho Anh Thương</t>
  </si>
  <si>
    <t>Anh Thương</t>
  </si>
  <si>
    <t>Gửi Anh Dân</t>
  </si>
  <si>
    <t>nộp hồ sơ Nguyễn Thị Vân Anh</t>
  </si>
  <si>
    <t>gửi chị Hoài hồ sơ Phạm Cao Thắng</t>
  </si>
  <si>
    <t>phí gửi bảo vệ lễ</t>
  </si>
  <si>
    <t>Bùi Ngươn Phong (397)</t>
  </si>
  <si>
    <t>Đào Thị Hoa, Lê Quang (3 sổ) hs anh Dựng với XPXD của Minh</t>
  </si>
  <si>
    <t>Đặng Văn Phát (410)</t>
  </si>
  <si>
    <t>GIÁM ĐỐC NỘP QUỸ L1 THÁNG 5</t>
  </si>
  <si>
    <t>252/BK-2026	Đào Hoàng Lân</t>
  </si>
  <si>
    <t>259/BK-2026	Nguyễn Trọng Ngân</t>
  </si>
  <si>
    <t>gửi bv bv Đào Hoàng Lân, Nguyễn Trọng Ngân</t>
  </si>
  <si>
    <t>tiền rác</t>
  </si>
  <si>
    <t>đá tháng 4</t>
  </si>
  <si>
    <t>giao hs Đỗ Văn Nhỏ cho anh Trung</t>
  </si>
  <si>
    <t>Anh Trung</t>
  </si>
  <si>
    <t>029/BK-2026	Nguyễn Văn Trung</t>
  </si>
  <si>
    <t>Anh Xuất (Minh Chi)</t>
  </si>
  <si>
    <t>154/BK-2026	Trần Trung Tín 1</t>
  </si>
  <si>
    <t>Anh Kim Tuấn (Minh Chi)</t>
  </si>
  <si>
    <t>155/BK-2026	Trần Trung Tín 2</t>
  </si>
  <si>
    <t>nộp chứng từ Phạm Thị Yến (chưa nộp được)</t>
  </si>
  <si>
    <t>thu phí đóng tiền lấy bản vẽ + phí đóng 25k</t>
  </si>
  <si>
    <t>gửi Giấy nộp tiền Phạm Thị Yến cho anh Hoàng</t>
  </si>
  <si>
    <t xml:space="preserve">Anh Hoàng </t>
  </si>
  <si>
    <t>phí lấy sổ Lê Thành Đồng - Lương Thị Triều Lưu</t>
  </si>
  <si>
    <t>lấy sổ Lê Thành Đồng - Lương Thị Triều Lưu</t>
  </si>
  <si>
    <t>GIÁM ĐỐC NỘP QUỸ L2 THÁNG 5</t>
  </si>
  <si>
    <t>làm xác nhận nghĩa vụ tài chính Phạm Thị Yến</t>
  </si>
  <si>
    <t>nộp chứng từ Phạm Thị Yến</t>
  </si>
  <si>
    <t>Tôn Nữ Chi Giao (hs anh Dựng)</t>
  </si>
  <si>
    <t>sao y điện tử Trần Văn Dự</t>
  </si>
  <si>
    <t>nộp hồ sơ Trần Thanh Song</t>
  </si>
  <si>
    <t>dưa lưới</t>
  </si>
  <si>
    <t>tiền vệ sinh tháng 4</t>
  </si>
  <si>
    <t>nộp bản vẽ (chị Huy)</t>
  </si>
  <si>
    <t>nước rửa chén + hộp quẹt</t>
  </si>
  <si>
    <t>nộp hồ sơ Phạm Thị Trang, Phạm Thị Thanh</t>
  </si>
  <si>
    <t>nộp bản vẽ (chị Huy) chiều 5/5</t>
  </si>
  <si>
    <t>GIÁM ĐỐC NỘP QUỸ L3 THÁNG 5</t>
  </si>
  <si>
    <t>143/BK-2026	Tạ Ngọc Toàn</t>
  </si>
  <si>
    <t>gửi bv bv Tạ Ngọc Toàn</t>
  </si>
  <si>
    <t>Hồ Phước Hùng đưa làm cam kết</t>
  </si>
  <si>
    <t>Hồ Phước Hùng</t>
  </si>
  <si>
    <t>làm GUQ, Cam kết TS chung Hồ Phước Hùng</t>
  </si>
  <si>
    <t>bao rác</t>
  </si>
  <si>
    <t>nộp hồ sơ tách thửa Võ Minh Tâm</t>
  </si>
  <si>
    <t>phi công chứng Lê Thành Đồng, Lương Thị Triều Lưu</t>
  </si>
  <si>
    <t>238/BK-2026	Nguyễn Ngọc Tráng</t>
  </si>
  <si>
    <t>gửi quầy tiếp nhận Nguyễn Ngọc Tráng</t>
  </si>
  <si>
    <t>Trần Trung Tín (494)</t>
  </si>
  <si>
    <t>Nguyễn Văn Trung (157)</t>
  </si>
  <si>
    <t>Nguyễn Trọng Ngân (428)</t>
  </si>
  <si>
    <t>nộp bản vẽ (Chị Huy) 6/5</t>
  </si>
  <si>
    <t>262/BK-2026	Đỗ Ngọc Sơn</t>
  </si>
  <si>
    <t>gửi bv bv Đỗ Ngọc Sơn</t>
  </si>
  <si>
    <t>làm ăn bản thỏa thuận tài sản riên vợ chồng, hủy TS chung (HS Hồ Phước Hùng)</t>
  </si>
  <si>
    <t xml:space="preserve">lấy sổ Đặng Quang Huy </t>
  </si>
  <si>
    <t>nộp hồ sơ Lê Thành Đồng - Lương Thị Triều Lưu</t>
  </si>
  <si>
    <t xml:space="preserve">chi hồ sơ Phạm Văn Dũng </t>
  </si>
  <si>
    <t>Trần Thị Diễm Thúy</t>
  </si>
  <si>
    <t>gửi bản vẽ XPXD cho anh Khiêm</t>
  </si>
  <si>
    <t>lấy kết quả trích lục Nguyễn Văn Trung</t>
  </si>
  <si>
    <t>lấy kết quả số nhà Nguyễn Công Luận</t>
  </si>
  <si>
    <t>Chị Trang</t>
  </si>
  <si>
    <t>lấy kết quả số nhà Đặng Việt Anh - Đặng Nguyễn Thảo Phương</t>
  </si>
  <si>
    <t>nộp hồ sơ Nguyễn Đức Mẫn</t>
  </si>
  <si>
    <t xml:space="preserve">Anh Đức </t>
  </si>
  <si>
    <t>nộp hồ sơ Lê Tiến Nhật Minh</t>
  </si>
  <si>
    <t>con dấu chữ ký</t>
  </si>
  <si>
    <t>nộp bản vẽ sáng 7/5 (Chị Huy)</t>
  </si>
  <si>
    <t>GIÁM ĐỐC NỘP QUỸ L4 THÁNG 5</t>
  </si>
  <si>
    <t xml:space="preserve">phí lấy sổ Đặng Quang Huy </t>
  </si>
  <si>
    <t>nhận hồ sơ Đặng Văn Phát</t>
  </si>
  <si>
    <t>gửi GUQ Đặng Quang Huy qua cho cô Hoa</t>
  </si>
  <si>
    <t>nộp hồ sơ Nguyễn Thị Thúy Hằng, Nguyễn Thị Phượng, Nguyễn Thị Nga Hoa</t>
  </si>
  <si>
    <t>bổ sung cam kết tháo dỡ hồ sơ Võ Minh Tâm</t>
  </si>
  <si>
    <t>GIÁM ĐỐC NỘP QUỸ L5 THÁNG 5</t>
  </si>
  <si>
    <t xml:space="preserve">thanh toán tiền cafe </t>
  </si>
  <si>
    <t>Chị Thảo coffee</t>
  </si>
  <si>
    <t>gửi chị Trâm làm phi NN Đặng Văn Phát</t>
  </si>
  <si>
    <t>đóng phi NN ĐặngVăn Phát</t>
  </si>
  <si>
    <t>lấy kết quả Đỗ Bình Trọng</t>
  </si>
  <si>
    <t>Chị Thảo bên thuế</t>
  </si>
  <si>
    <t>Phạm Mạnh Cường (GĐ chi thuế 2tr)</t>
  </si>
  <si>
    <t>Đặng Thị Thanh Hằng (GĐ chi thuế 2tr)</t>
  </si>
  <si>
    <t>Đào Hoàng Lân (421)</t>
  </si>
  <si>
    <t>nộp bổ sung chứng từ Phạm Hoàng Yến</t>
  </si>
  <si>
    <t>nộp bản vẽ chiều 7/5 (Chị Huy)</t>
  </si>
  <si>
    <t>khăn giấy</t>
  </si>
  <si>
    <t>gửi chị Hoài hồ sơ Phạm Thị Yến</t>
  </si>
  <si>
    <t>gửi cấp số nhà Nguyễn Công Luận</t>
  </si>
  <si>
    <t>nộp hồ sơ Đặng Văn Lẹ (20/4)</t>
  </si>
  <si>
    <t>gửi hợp đồng nguyên tắc cho anh Thanh</t>
  </si>
  <si>
    <t>gửi biên bản cọc ranh Phạm Xuân Tình cho anh Chiến</t>
  </si>
  <si>
    <t>Anh Chiến</t>
  </si>
  <si>
    <t>phí làm giấy ủy quyền Phạm Văn Dũng</t>
  </si>
  <si>
    <t>bút xóa</t>
  </si>
  <si>
    <t>lấy sổ Tô Thị Mỹ Nương</t>
  </si>
  <si>
    <t>lấy kết quả hs Nguyễn Xuân Đức</t>
  </si>
  <si>
    <t>nộp hồ sơ Nguyễn Xuân Đức</t>
  </si>
  <si>
    <t>thanh toán trích lục Trần Thị Diễm Thúy</t>
  </si>
  <si>
    <t>248/BK-2026	Trương Thị Thu Hằng</t>
  </si>
  <si>
    <t>gửi bv Trương Thị Thu Hằng ở quầy 19 (chị Huy)</t>
  </si>
  <si>
    <t>gửi hồ sơ Cao Thị Mỹ Phú cho Anh Tín ở Phường Cát Lái</t>
  </si>
  <si>
    <t>Anh Tín phường Cát Lái</t>
  </si>
  <si>
    <t>lấy sổ Phạm Thị Yến</t>
  </si>
  <si>
    <t>tiền nước</t>
  </si>
  <si>
    <t xml:space="preserve">Mega </t>
  </si>
  <si>
    <t>Tạ Ngọc Toàn (1164)</t>
  </si>
  <si>
    <t>thanh toán trích lục Lê Văn Mai</t>
  </si>
  <si>
    <t xml:space="preserve">đồ ăn trưa </t>
  </si>
  <si>
    <t>353-1/BK-2025	Đặng Đức Ý</t>
  </si>
  <si>
    <t>gửi bv bv Đặng Đức Ý</t>
  </si>
  <si>
    <t>gửi bổ sung hs Trương Thị Thu Hằng ở quầy 19 cho anh Kim Tuấn</t>
  </si>
  <si>
    <t>gửi bản vẽ Nguyễn Văn Rượu</t>
  </si>
  <si>
    <t>Chú Rượu</t>
  </si>
  <si>
    <t xml:space="preserve">nộp hs Trần Phi Long </t>
  </si>
  <si>
    <t>GIÁM ĐỐC NỘP QUỸ L6 THÁNG 5</t>
  </si>
  <si>
    <t>nửa ký cafe</t>
  </si>
  <si>
    <t>nộp bản vẽ (chị Vân) 11/5</t>
  </si>
  <si>
    <t>gửi chị Trâm kê khai thuế phi NN hồ sơ Trần Phi Long</t>
  </si>
  <si>
    <t>đóng phi NN hs Trần Phi Long</t>
  </si>
  <si>
    <t>326-1/BK-2025	Tiêu Văn Hiền</t>
  </si>
  <si>
    <t>326-2/BK-2025	Tiêu Văn Hiền</t>
  </si>
  <si>
    <t>gửi bv bv Tiêu Văn Hiền</t>
  </si>
  <si>
    <t>lấy sổ Nguyễn Thị Vân Anh</t>
  </si>
  <si>
    <t xml:space="preserve">nộp hồ sơ Đặng Văn Phát </t>
  </si>
  <si>
    <t>làm GUQ, sao y hồ sơ Nguyễn Thị Vân Anh</t>
  </si>
  <si>
    <t>nộp cấp số nhà Đặng Quang Huy</t>
  </si>
  <si>
    <t>280/BK-2026	Trần Thị Diễm Thúy</t>
  </si>
  <si>
    <t>gửi bv bv Trần Thị Diễm Thúy, Nguyễn Bá Hùng</t>
  </si>
  <si>
    <t>gửi bản vẽ Nguyễn Thị Kim Cúc cho anh Đạt</t>
  </si>
  <si>
    <t>gửi chị Trâm kê khai thuế phi NN Trần Thanh Tùng</t>
  </si>
  <si>
    <t>đóng thuế phi NN Trần Đình Sĩ Tấn</t>
  </si>
  <si>
    <t>nộp hồ sơ Trần Đình Sĩ Tấn</t>
  </si>
  <si>
    <t>Nguyễn Thị Phúc Long</t>
  </si>
  <si>
    <t>Nguyễn Ngọc Tráng (517)</t>
  </si>
  <si>
    <t>Trương Thị Thu Hằng (516)</t>
  </si>
  <si>
    <t>Đặng Đức Ý (672)</t>
  </si>
  <si>
    <t>Phạm Văn Cường</t>
  </si>
  <si>
    <t>nộp bản vẽ (Chị Vân) 13/5</t>
  </si>
  <si>
    <t>sao y điện tử bản vẽ Nguyễn Ngọc Tráng</t>
  </si>
  <si>
    <t>scan bản vẽ Trương Ngọc Yên</t>
  </si>
  <si>
    <t>sao y điện tử cam kết Nguyễn Ngọc Tráng</t>
  </si>
  <si>
    <t>nộp bản vẽ (chị Vân) sáng 14/5</t>
  </si>
  <si>
    <t xml:space="preserve">gửi chị Trâm khai thuế phi NN Trương Thị Thu Hằng </t>
  </si>
  <si>
    <t>đóng phi NN Trương Thị Thu Hằng</t>
  </si>
  <si>
    <t>gửi chị Hoài hồ sơ tách thửa Võ Minh Tâm</t>
  </si>
  <si>
    <t>nộp bản vẽ chiều 14/5 (Chị Vân)</t>
  </si>
  <si>
    <t>GIÁM ĐỐC NỘP QUỸ L7 THÁNG 5</t>
  </si>
  <si>
    <t>lấy sổ Võ Minh Tâm</t>
  </si>
  <si>
    <t>phí lấy Võ Minh Tâm</t>
  </si>
  <si>
    <t>nộp cấp số nhà Nguyễn Thị Vân Anh</t>
  </si>
  <si>
    <t>205/BK-2026	Phạm Chí Cường</t>
  </si>
  <si>
    <t>anh Hòa</t>
  </si>
  <si>
    <t>gửi bv bv Phạm Chí Cường, Trần Thị Diễm Thúy</t>
  </si>
  <si>
    <t>GIÁM ĐỐC NỘP QUỸ L8 THÁNG 5</t>
  </si>
  <si>
    <t>283/BK-2026	Lê Văn Mai - Phạm Thị Soi</t>
  </si>
  <si>
    <t xml:space="preserve">gửi bv bv Lê Văn Mai </t>
  </si>
  <si>
    <t>nộp hồ sơ Trương Thị Thu Hằng</t>
  </si>
  <si>
    <t>gửi hồ sơ Nguyễn Đức Mẫn cho sếp</t>
  </si>
  <si>
    <t>sữa tươi</t>
  </si>
  <si>
    <t>rút hồ sơ Đặng Đức Ý</t>
  </si>
  <si>
    <t>GIÁM ĐỐC NỘP QUỸ L9 THÁNG 5</t>
  </si>
  <si>
    <t>Nguyễn Bá Hùng (457)</t>
  </si>
  <si>
    <t>Tiêu Văn Hiều (1217)</t>
  </si>
  <si>
    <t>nộp bản vẽ (chị Vân) chiều 15/5</t>
  </si>
  <si>
    <t>khăn ướt</t>
  </si>
  <si>
    <t>Hồ Trọng Dũng PC/9411</t>
  </si>
  <si>
    <t>Lê Quang Duy PC/9478</t>
  </si>
  <si>
    <t>Lê Thành Đồng PC/9480</t>
  </si>
  <si>
    <t>gửi chị Trâm hs Lê Văn Mai, Phạm Chí Cường</t>
  </si>
  <si>
    <t>nhận cam kết PCC Nguyễn Điệp gửi qua</t>
  </si>
  <si>
    <t>bìa lá lỗ a4 + ly nhựa</t>
  </si>
  <si>
    <t>Đỗ Thị Nga</t>
  </si>
  <si>
    <t>vải</t>
  </si>
  <si>
    <t>GIÁM ĐỐC NỘP QUỸ 10 THÁNG 5</t>
  </si>
  <si>
    <t>lấy sổ Trần Thế Huynh - Trần Bích Vân</t>
  </si>
  <si>
    <t>phí lấy sổ Trần Thế Huynh - Trần Bích Vân</t>
  </si>
  <si>
    <t>nộp chứng từ Hồ Trọng Dũng</t>
  </si>
  <si>
    <t xml:space="preserve">lấy kết quả hồ sơ Trần Đình Sĩ Tấn </t>
  </si>
  <si>
    <t>Trần Thị Diễm Thúy (289)</t>
  </si>
  <si>
    <t>Đào Thị Hoa (1278)</t>
  </si>
  <si>
    <t>nộp hồ sơ Trần Trung Tín</t>
  </si>
  <si>
    <t>287/BK-2026	Nguyễn Đình Kỳ</t>
  </si>
  <si>
    <t>gửi bv bv Nguyễn Đình Kỳ</t>
  </si>
  <si>
    <t>sửa dù</t>
  </si>
  <si>
    <t>Sửa chữa nhỏ</t>
  </si>
  <si>
    <t>nộp hồ sơ cmđ Phạm Thị Yến</t>
  </si>
  <si>
    <t>lấy sổ Hồ Trọng Dũng</t>
  </si>
  <si>
    <t>phí lấy sổ Hồ Trọng Dũng</t>
  </si>
  <si>
    <t>gửi chị Trâm khai thuế phi NN Trần Trung Tín, Nguyễn Văn Thiệu</t>
  </si>
  <si>
    <t>Đóng phi NN Phạm Thị Soi</t>
  </si>
  <si>
    <t>Đóng phi NN Trần Trung Tín</t>
  </si>
  <si>
    <t>GIÁM ĐỐC NỘP QUỸ 11 THÁNG 5</t>
  </si>
  <si>
    <t>293/BK-2026	Đặng Văn Lẹ</t>
  </si>
  <si>
    <t>gửi bv bv Đặng Văn Lẹ, Phạm Văn Dũng, 2 bản vẽ Phạm Cao Thắng</t>
  </si>
  <si>
    <t>gửi chị Trâm khai thuế phi NN Trần Thị Diễm Thúy</t>
  </si>
  <si>
    <t>đóng phi NN Trần Thị Diễm Thúy</t>
  </si>
  <si>
    <t>gửi bản vẽ Đào Thị Hoa cho anh Sơn hải</t>
  </si>
  <si>
    <t xml:space="preserve">nộp hồ sơ Ngô Uyên Uyên </t>
  </si>
  <si>
    <t>nộp hồ sơ XPXD Tạ Quốc Dũng</t>
  </si>
  <si>
    <t>lấy kết quả Trương Thị Thu Hằng</t>
  </si>
  <si>
    <t>nộp chứng từ Lê Quang Đạo</t>
  </si>
  <si>
    <t>lấy sổ Hồ Phước Hùng</t>
  </si>
  <si>
    <t>phí lấy sổ Hồ Phước Hùng</t>
  </si>
  <si>
    <t>gửi hs Chung Thị Kim Anh cho anh Đạt</t>
  </si>
  <si>
    <t>gửi biên bản cọc ranh Nguyễn Thị Bích Vân</t>
  </si>
  <si>
    <t>nộp hồ sơ Nguyễn Đức Mẫn lần 2</t>
  </si>
  <si>
    <t>gửi chị quầy thuế làm nhanh đóng thuế chị Lưu</t>
  </si>
  <si>
    <t>nộp chứng từ chị Lưu</t>
  </si>
  <si>
    <t>Nguyễn Xuân Đức - Phạm Thị Hiền PC/11154</t>
  </si>
  <si>
    <t>Nguyễn Văn Hải PC/9904</t>
  </si>
  <si>
    <t>Nộp hs Trần Thị Diễm Thúy</t>
  </si>
  <si>
    <t>bổ sung hồ sơ Nguyễn Xuân Đức cho anh Hải thụ lý</t>
  </si>
  <si>
    <t>trích lục bản vẽ cấp giấy Lê Hồng Thư</t>
  </si>
  <si>
    <t>lấy sổ Phạm Thị Trang - Phạm Thị Thanh</t>
  </si>
  <si>
    <t>gửi cấp số nhà Đặng Nguyễn Thảo Phương cho cô Hoa</t>
  </si>
  <si>
    <t>309/BK-2026	Hồ Trọng Dũng</t>
  </si>
  <si>
    <t>Nguyễn Đình Kỳ (386)</t>
  </si>
  <si>
    <t>Đặng Văn Lẹ (528)</t>
  </si>
  <si>
    <t>Phạm Chí Cường (723)</t>
  </si>
  <si>
    <t>lấy sổ Lê Thành Đồng - Lê Quang Duy - Lương Thị Triều Lưu</t>
  </si>
  <si>
    <t>gửi sổ Phạm Thị Trang - Phạm Thị Thanh, Trần Thế Huynh - Trần Thị Bích Vân xuống cho Hoa</t>
  </si>
  <si>
    <t>GIÁM ĐỐC NỘP QUỸ 12 THÁNG 5</t>
  </si>
  <si>
    <t>nhận cam kết Đinh Thị Hà Vân</t>
  </si>
  <si>
    <t>658/BK-2025	Nguyễn Lưu Như Ý</t>
  </si>
  <si>
    <t>Anh Hòa</t>
  </si>
  <si>
    <t>gửi bv bv Nguyễn Lưu Như Ý</t>
  </si>
  <si>
    <t>bổ sung cam kết hs ĐinhThị Hà Vân cho thụ lý</t>
  </si>
  <si>
    <t xml:space="preserve">lấy sổ Trần Phi Long </t>
  </si>
  <si>
    <t xml:space="preserve">phí lấy sổ Trần Phi Long </t>
  </si>
  <si>
    <t>GIÁM ĐỐC NỘP QUỸ 13 THÁNG 5</t>
  </si>
  <si>
    <t xml:space="preserve">gửi bản vẽ Lê Hồng Thư qua bưu điện </t>
  </si>
  <si>
    <t>Anh Thư</t>
  </si>
  <si>
    <t>Phạm Văn Dũng (475)</t>
  </si>
  <si>
    <t>Phạm Cao Thắng (476)</t>
  </si>
  <si>
    <t>Nguyễn Thị Hồng Trâm (1292)</t>
  </si>
  <si>
    <t xml:space="preserve">Trích lục bản vẽ cấp giấy Lê Hồng Thư </t>
  </si>
  <si>
    <t xml:space="preserve">nộp hồ sơ Đặng Văn Lẹ </t>
  </si>
  <si>
    <t>gửi anh Doanh thụ lý hồ sơ Trần Thị Diễm Thúy</t>
  </si>
  <si>
    <t>Anh Doanh thụ lý</t>
  </si>
  <si>
    <t>285/BK-2026	Bùi Thị Ngọc Tâm</t>
  </si>
  <si>
    <t>gửi bv bv Bùi Thị Ngọc Tâm</t>
  </si>
  <si>
    <t>nộp hồ sơ Phạm Văn Dũng</t>
  </si>
  <si>
    <t xml:space="preserve">GIÁM ĐỐC NỘP QUỸ 14 THÁNG 5 </t>
  </si>
  <si>
    <t>gửi lại sếp 9tr8</t>
  </si>
  <si>
    <t xml:space="preserve">GIÁM ĐỐC NỘP QUỸ 15 THÁNG 5 </t>
  </si>
  <si>
    <t>nộp hồ sơ Nguyễn Thị Hồng Trâm</t>
  </si>
  <si>
    <t>274/BK-2026	Đặng Hiếu Hiền</t>
  </si>
  <si>
    <t>gửi quầy 19 bản vẽ Đặng Hiếu Hiền cho anh Kim Tuấn</t>
  </si>
  <si>
    <t>gửi hs Lê Văn Mai cho anh Đạt</t>
  </si>
  <si>
    <t>gửi tài liệu cắm mốc cho anh Duẩn</t>
  </si>
  <si>
    <t>gửi chị Trâm hồ sơ Bùi Trung Toàn, Đỗ Thị Nga, Phạm Văn Dũng</t>
  </si>
  <si>
    <t>Đóng thuế phi NN Bùi Trung Toàn</t>
  </si>
  <si>
    <t>Đóng thuế phi NN Đỗ Thị Nga</t>
  </si>
  <si>
    <t>Viết hồ sơ cấp đổi Lê Thị Hồng Vân</t>
  </si>
  <si>
    <t>bổ sung tờ khai thuế TNCN hs Tạ Ngọc Toàn</t>
  </si>
  <si>
    <t>gửi anh bốc số</t>
  </si>
  <si>
    <t>anh bốc số</t>
  </si>
  <si>
    <t>Tạ Ngọc Toàn PC/10272</t>
  </si>
  <si>
    <t>Đinh Thị Hà Vân PC/222598</t>
  </si>
  <si>
    <t xml:space="preserve">GIÁM ĐỐC NỘP QUỸ 16 THÁNG 5 </t>
  </si>
  <si>
    <t>phí lấy sổ Bùi Ngọc Phượng</t>
  </si>
  <si>
    <t>Chị Bùi Ngọc Phượng</t>
  </si>
  <si>
    <t>gửi bổ sung hs Nguyễn Văn Hải (đơn xin nợ tiền sử dụng đất) ở quầy hướng dẫn cho anh Hải thụ lý</t>
  </si>
  <si>
    <t>thanh toán trích lục Ngô Xuân Hữu</t>
  </si>
  <si>
    <t>nộp chứng từ Tạ Ngọc Toàn</t>
  </si>
  <si>
    <t>313/BK-2026	Trần Văn Hiếu-Nguyễn Thị Phương Hoài</t>
  </si>
  <si>
    <t>gửi bv bv Trần Văn Hiếu</t>
  </si>
  <si>
    <t xml:space="preserve">GIÁM ĐỐC NỘP QUỸ 17 THÁNG 5 </t>
  </si>
  <si>
    <t>Trần Trung Tín PC/222599</t>
  </si>
  <si>
    <t>Hồ Trọng Dũng (1326)</t>
  </si>
  <si>
    <t xml:space="preserve">GIÁM ĐỐC NỘP QUỸ 18 THÁNG 5 </t>
  </si>
  <si>
    <t>gửi hs Trần Đình Sĩ Tấn cho chị Quyên</t>
  </si>
  <si>
    <t>Chị Quyên</t>
  </si>
  <si>
    <t>thanh toán trích lục Trần Thị Yến Điệp</t>
  </si>
  <si>
    <t>Đặng Hiếu Hiền (579)</t>
  </si>
  <si>
    <t>Bùi Thị Ngọc Tâm (551)</t>
  </si>
  <si>
    <t>gửi bản vẽ cho chị Vân Anh</t>
  </si>
  <si>
    <t>gửi bảo vệ cơm trưa</t>
  </si>
  <si>
    <t>gửi chị Vân nộp bản vẽ 28/5</t>
  </si>
  <si>
    <t>làm đơn rút Nguyễn Thị Hồng Trâm</t>
  </si>
  <si>
    <t>92/BK-2026 Phạm Thị Giao Linh</t>
  </si>
  <si>
    <t>Anh Tiền</t>
  </si>
  <si>
    <t>Viết hồ sơ tặng cho Nguyễn Văn Ngọc Châu</t>
  </si>
  <si>
    <t>Cô Ngọc Duyên</t>
  </si>
  <si>
    <t xml:space="preserve">Đinh Thị Hà Vân </t>
  </si>
  <si>
    <t>nộp hs Phạm Chí Cường</t>
  </si>
  <si>
    <t>326/BK-2026 Nguyễn Thanh Hải</t>
  </si>
  <si>
    <t>gửi bv bv Nguyễn Thanh Hải</t>
  </si>
  <si>
    <t>Trần Trung Tín</t>
  </si>
  <si>
    <t>lấy sổ Đinh Thị Hà Vân</t>
  </si>
  <si>
    <t>nhận hồ sơ cô Hoa gửi lên (sao y, ủy quyền Hồ Trọng Dũng)</t>
  </si>
  <si>
    <t>bịch đựng ly cafe mang đi</t>
  </si>
  <si>
    <t>phí lấy sổ Đinh Thị Hà Vân</t>
  </si>
  <si>
    <t>301/BK-2026	Trương Ngọc Yên</t>
  </si>
  <si>
    <t xml:space="preserve">gửi bv bv Trương Ngọc Yên </t>
  </si>
  <si>
    <t>gửi hđ Nguyễn Ngọc Hiền cho chị Tiên</t>
  </si>
  <si>
    <t>Chị Tiên</t>
  </si>
  <si>
    <t>giao bảng hiệu (tiền xe)</t>
  </si>
  <si>
    <t>Trần Minh Quang</t>
  </si>
  <si>
    <t>Nguyễn Lưu Như Ý (763)</t>
  </si>
  <si>
    <t>sửa máy tính</t>
  </si>
  <si>
    <t xml:space="preserve">Anh Tuyên </t>
  </si>
  <si>
    <t>lấy sổ Trần Trung Tín</t>
  </si>
  <si>
    <t>GIÁM ĐỐC NỘP QUỸ LẦN 1 THÁNG 6</t>
  </si>
  <si>
    <t>lấy cấp số nhà Đặng Quang Huy</t>
  </si>
  <si>
    <t>gửi cấp số nhà Đặng Quang Huy</t>
  </si>
  <si>
    <t>Đặng Quang Huy</t>
  </si>
  <si>
    <t>Vũ Mạnh Tú PC/222889</t>
  </si>
  <si>
    <t>Chị Hồng Ngọc</t>
  </si>
  <si>
    <t>Trần Văn Hiếu (501)</t>
  </si>
  <si>
    <t>nộp bản vẽ (chị Huy) 2/6</t>
  </si>
  <si>
    <t>tiền đá tháng 5</t>
  </si>
  <si>
    <t>gửi bản vẽ Trần Văn Hiếu cho anh Tuấn Anh</t>
  </si>
  <si>
    <t>Phạm Văn Dũng PC/222915</t>
  </si>
  <si>
    <t xml:space="preserve">rút hồ sơ Nguyễn Đức Mẫn </t>
  </si>
  <si>
    <t>thanh toán tiền vệ sinh tháng 5</t>
  </si>
  <si>
    <t>gửi biên nhận Lại Quốc Huy cho sếp</t>
  </si>
  <si>
    <t>Nguyễn Thanh Hải (1374)</t>
  </si>
  <si>
    <t>Phạm Thị Giao Linh (428)</t>
  </si>
  <si>
    <t>Đặng Thị Ngọc Loan PC/10269</t>
  </si>
  <si>
    <t xml:space="preserve">Đặng Thị Ngọc Loan </t>
  </si>
  <si>
    <t>Dây xích</t>
  </si>
  <si>
    <t>gửi bản vẽ cho anh Trung Hiếu</t>
  </si>
  <si>
    <t>Anh Trung Hiếu</t>
  </si>
  <si>
    <t>gửi máy quạt qua tiệm sửa</t>
  </si>
  <si>
    <t>đóng phi NN Nguyễn Thanh Hải</t>
  </si>
  <si>
    <t xml:space="preserve">nộp hồ sơ Nguyễn Thanh Hải </t>
  </si>
  <si>
    <t>GIÁM ĐỐC NỘP QUỸ LẦN 2 THÁNG 6</t>
  </si>
  <si>
    <t>Trần Thị Diễm Thúy PC/222660</t>
  </si>
  <si>
    <t xml:space="preserve">Nguyễn Thanh Hải </t>
  </si>
  <si>
    <t>lấy quyết định xử phạt Vũ Mạnh Tú</t>
  </si>
  <si>
    <t>337/BK-2026	Trần Trung Tín</t>
  </si>
  <si>
    <t>338/BK-2026	Trần Trung Tín</t>
  </si>
  <si>
    <t>gửi chị Huy quầy 19 hs Trần Trung Tín</t>
  </si>
  <si>
    <t>đưa sếp 2tr</t>
  </si>
  <si>
    <t>gửi bản vẽ XĐDT Trần Văn Quang cho anh Lê Văn Lên</t>
  </si>
  <si>
    <t>Anh Lên</t>
  </si>
  <si>
    <t>GIÁM ĐỐC NỘP QUỸ LẦN 3 THÁNG 6</t>
  </si>
  <si>
    <t>lấy sổ Phạm Văn Dũng</t>
  </si>
  <si>
    <t>phí lấy sổ Phạm Văn Dũng</t>
  </si>
  <si>
    <t>635/BK-2025	Nguyễn Văn Quang</t>
  </si>
  <si>
    <t>gửi bv bv Nguyễn Văn Quang</t>
  </si>
  <si>
    <t>nộp bản vẽ (Chị Huy) 5/6</t>
  </si>
  <si>
    <t>sao y điện tử Vũ Sơn Bảo</t>
  </si>
  <si>
    <t>đóng tiền lấy bản vẽ Thiên Gia Phát</t>
  </si>
  <si>
    <t>phí đóng tiền lấy bản vẽ Thiên Gia Phát 20k + 50k</t>
  </si>
  <si>
    <t>nộp bổ sung chứng từ hs Nguyễn Văn Hải</t>
  </si>
  <si>
    <t>Viết hồ sơ Trương Quang Long Triều - Nguyễn Thị Song Thao</t>
  </si>
  <si>
    <t>Khách (Anh Sĩ)</t>
  </si>
  <si>
    <t>đặt grab gửi máy quạt qua cty</t>
  </si>
  <si>
    <t>nhận GUQ Phạm Văn Dũng</t>
  </si>
  <si>
    <t>nộp bản vẽ 6/6 (Chị Huy)</t>
  </si>
  <si>
    <t>305/BK-2026	Hồ Đình Cường 744</t>
  </si>
  <si>
    <t>307/BK-2026	Hồ Đình Cường 894</t>
  </si>
  <si>
    <t>gửi biên bản bàn giao hs Hồ Đình Cường cho anh Mạnh Quân</t>
  </si>
  <si>
    <t>GIÁM ĐỐC NỘP QUỸ LẦN 4 THÁNG 6</t>
  </si>
  <si>
    <t>GIÁM ĐỐC NỘP QUỸ LẦN 5 THÁNG 6</t>
  </si>
  <si>
    <t>đóng xử phạt chậm hđ Đặng Thị Ngọc Loan</t>
  </si>
  <si>
    <t>đóng xử phạt chậm hđ Vũ Mạnh Tú</t>
  </si>
  <si>
    <t>giao hđ đo đạc cho chị Ngọc</t>
  </si>
  <si>
    <t>nộp chứng từ Đặng Thị Ngọc Loan, Vũ Mạnh Tú</t>
  </si>
  <si>
    <t>gửi bản vẽ hs Hồ Đình Cường cho anh Mạnh Quân</t>
  </si>
  <si>
    <t>gửi báo cáo đo đạc và sơ đồ hiện trạng hs Hồ Đình Cường cho anh Mạnh Quân</t>
  </si>
  <si>
    <t>nộp bản vẽ (Chị Vân) 8/6</t>
  </si>
  <si>
    <t>photo bản vẽ Nguyễn Văn Hồng</t>
  </si>
  <si>
    <t>Photo Hoàng Kim</t>
  </si>
  <si>
    <t>Trương Ngọc Yên (1392)</t>
  </si>
  <si>
    <t>gửi chị Trâm khai thuế phi NN Hồ Đình Cường thửa: 228-286, tờ 14</t>
  </si>
  <si>
    <t>gửi chị Trâm khai thuế phi NN Hồ Đình Cường thửa: 224-286, tờ 14</t>
  </si>
  <si>
    <t>gửi chị Trâm khai thuế phi NN Đoàn Hiền Lê</t>
  </si>
  <si>
    <t>đóng thuế phi NN Đoàn Hiền Lê</t>
  </si>
  <si>
    <t>gửi bảo vệ bản đồ vị trí Hồ Đình Cường cho anh Mạnh Quân</t>
  </si>
  <si>
    <t>bao rác (2)</t>
  </si>
  <si>
    <t>nộp bản vẽ sáng 9/6 (Chị Vân)</t>
  </si>
  <si>
    <t>gửi bv bv Hồ Đình Cường</t>
  </si>
  <si>
    <t>trích lục bản vẽ cấp giấy Nguyễn Thị Năm</t>
  </si>
  <si>
    <t>sao y giấy phép, giấy chứng nhận đăng ký KD của cty</t>
  </si>
  <si>
    <t>gửi GPXD cho anh Trang Bach (hs anh Khiêm)</t>
  </si>
  <si>
    <t>Anh Trang Bach</t>
  </si>
  <si>
    <t>gửi chị Duy scan dùm sổ Hồ Trọng Dũng</t>
  </si>
  <si>
    <t>Chị Duy</t>
  </si>
  <si>
    <t xml:space="preserve">lấy sổ Hồ Trọng Dũng </t>
  </si>
  <si>
    <t xml:space="preserve">phí lấy sổ Hồ Trọng Dũng </t>
  </si>
  <si>
    <t>lấy sổ Vũ Mạnh Tú</t>
  </si>
  <si>
    <t xml:space="preserve">phí lấy Vũ Mạnh Tú </t>
  </si>
  <si>
    <t>lấy sổ Nguyễn Văn Hải</t>
  </si>
  <si>
    <t>Trần Trung Tín (625)</t>
  </si>
  <si>
    <t>Nguyễn Văn Quan (1416)</t>
  </si>
  <si>
    <t>nộp bản vẽ (chị Vân) 10/6</t>
  </si>
  <si>
    <t xml:space="preserve">nộp hs Đoàn Hiền Lê </t>
  </si>
  <si>
    <t>gửi bv Nguyễn Văn Quan cho anh Long</t>
  </si>
  <si>
    <t>Anh Long</t>
  </si>
  <si>
    <t>Hồ Đình Cường (664)</t>
  </si>
  <si>
    <t>Hồ Đình Cường (665)</t>
  </si>
  <si>
    <t>nộp 2 hồ sơ Hồ Đình Cường</t>
  </si>
  <si>
    <t>319/BK-2026	Nguyễn Văn Bồn-Nguyễn Thị Thu Hà</t>
  </si>
  <si>
    <t>gửi bv bv Nguyễn Văn Bổn</t>
  </si>
  <si>
    <t>lấy quyết định xử phạt và nộp lại chứng từ Đặng Thị Ngọc Loan</t>
  </si>
  <si>
    <t>bổ sung biên bản làm việc Nguyễn Thị Phượng</t>
  </si>
  <si>
    <t>gửi LPTB Trần Thị Thanh Bình cho chị Trâm</t>
  </si>
  <si>
    <t>gửi chị Trâm khai thuế phi NN Lê Nguyên Vỹ</t>
  </si>
  <si>
    <t>GIÁM ĐỐC NỘP QUỸ LẦN 6 THÁNG 6</t>
  </si>
  <si>
    <t>nộp hồ sơ tách thửa Trần Trung Tín</t>
  </si>
  <si>
    <t xml:space="preserve">đưa sếp </t>
  </si>
  <si>
    <t>lấy sổ Đặng Thị Ngọc Loan (đại diện)</t>
  </si>
  <si>
    <t>nước lau sàn</t>
  </si>
  <si>
    <t>lấy sổ Phạm Chí Cường</t>
  </si>
  <si>
    <t>phí lấy sổ Phạm Chí Cường</t>
  </si>
  <si>
    <t>gửi bản vẽ Hồ Kim Quy cho chị Ngọc</t>
  </si>
  <si>
    <t xml:space="preserve">thanh toán tiền cơm </t>
  </si>
  <si>
    <t>rút hồ sơ Nguyễn Thị Hồng Trâm</t>
  </si>
  <si>
    <t>photo BVXP HS Nguyễn Thị Hồng Trâm</t>
  </si>
  <si>
    <t>Hoàng Kim</t>
  </si>
  <si>
    <t>sao y GPXD và BVXP HS Nguyễn Thị Hồng Trâm</t>
  </si>
  <si>
    <t>công chứng GUQ và cam kết ko công nhận nhà Nguyễn Thị Hồng Trâm</t>
  </si>
  <si>
    <t>gửi hồ sơ Đặng Công Hoán</t>
  </si>
  <si>
    <t>Anh Hoán</t>
  </si>
  <si>
    <t xml:space="preserve">nộp hồ sơ Nguyễn Thị Hồng Trâm </t>
  </si>
  <si>
    <t xml:space="preserve">gửi hđ Võ Trí Nguyên </t>
  </si>
  <si>
    <t>Chị Kiều</t>
  </si>
  <si>
    <t>388/BK-2025	Nguyễn Văn Chức</t>
  </si>
  <si>
    <t>gửi bv bv Nguyễn Văn Chức (Nguyễn Thị Hồng)</t>
  </si>
  <si>
    <t>nộp hs Thái Minh Anh Khoa</t>
  </si>
  <si>
    <t>hs xin phép Bình Thạnh (Tạ Quốc Dũng - Tạ Diệu Phương)</t>
  </si>
  <si>
    <t>đóng quyết định xử phạt Trần Thị Diễm Thúy</t>
  </si>
  <si>
    <t>nộp chứng từ Trần Thị Diễm Thúy</t>
  </si>
  <si>
    <t>gửi bản vẽ Lưu Sanh Đạt cho anh Đạt</t>
  </si>
  <si>
    <t>nộp hs Nguyễn Ngọc Tráng</t>
  </si>
  <si>
    <t>tiền dừa</t>
  </si>
  <si>
    <t>Phạm Văn Dũng (537)</t>
  </si>
  <si>
    <t>Bản vẽ cấp giấy Hồ Thị Hòa</t>
  </si>
  <si>
    <t>làm đơn rút Nguyễn Thanh Hải</t>
  </si>
  <si>
    <t xml:space="preserve">gửi biên bản bàn giao cho anh Duẩn </t>
  </si>
  <si>
    <t>Viết hồ sơ Võ Thị Thu Hà</t>
  </si>
  <si>
    <t>Khách (Thu Hà)</t>
  </si>
  <si>
    <t>nộp hồ sơ tách thửa Phạm Văn Dũng</t>
  </si>
  <si>
    <t>gửi bản vẽ Nguyễn Văn Hạnh</t>
  </si>
  <si>
    <t>Nguyễn Văn Bổn (541)</t>
  </si>
  <si>
    <t>cắm mốc Huỳnh Thị Diễm Trâm (phường Long Bình), Nguyễn Hữu Thiện (phường Long Trường)</t>
  </si>
  <si>
    <t>Cắm mốc Lê Quang Vinh (Tăng Nhơn Phú)</t>
  </si>
  <si>
    <t>chi phí cắm mốc hs Bùi Ngươn Quới (Hiệp Bình)</t>
  </si>
  <si>
    <t>làm đơn rút Đoàn Hiền Lê</t>
  </si>
  <si>
    <t>gửi hồ sơ Nguyễn Văn Đức</t>
  </si>
  <si>
    <t>Nguyễn Văn Đức</t>
  </si>
  <si>
    <t xml:space="preserve">2 trụ bê tông 1m2 2 trụ hs Phạm Hồng Quang </t>
  </si>
  <si>
    <t xml:space="preserve">mua vòi nước </t>
  </si>
  <si>
    <t>360/BK-2026	Lê Quang Vinh</t>
  </si>
  <si>
    <t>gửi bv bv Lê Quang Vinh</t>
  </si>
  <si>
    <t>nộp hs Nguyễn Gia Đức</t>
  </si>
  <si>
    <t>GIÁM ĐỐC NỘP QUỸ LẦN 7 THÁNG 6</t>
  </si>
  <si>
    <t>nộp hồ sơ Đặng Văn Lẹ</t>
  </si>
  <si>
    <t>Lê Xuân Hưng - Nguyễn Thị Kim Yến PC/223756</t>
  </si>
  <si>
    <t xml:space="preserve">gửi chị Trâm khai thuế phi NN Nguyễn Ngọc Tráng </t>
  </si>
  <si>
    <t>gửi bản vẽ cho anh Hùng Q.7</t>
  </si>
  <si>
    <t>cắm mốc Đỗ Thị Ánh Hằng (2 trụ 1m5)</t>
  </si>
  <si>
    <t>giấy a4</t>
  </si>
  <si>
    <t>gửi hs Đỗ Thị Nga cho chị Thủy</t>
  </si>
  <si>
    <t>182/BK-2026	Nguyễn Thị Năm</t>
  </si>
  <si>
    <t>gửi bv bv Nguyễn Thị Năm</t>
  </si>
  <si>
    <t>đóng tiền lấy bản vẽ cty Thiên Gia Phát</t>
  </si>
  <si>
    <t>thu tiền đóng bản vẽ Cty Thiên Gia Phát</t>
  </si>
  <si>
    <t xml:space="preserve">gửi hs cho anh Khiêm </t>
  </si>
  <si>
    <t>ống hút</t>
  </si>
  <si>
    <t>bổ sung chứng từ Nguyễn Xuân Đức</t>
  </si>
  <si>
    <t>bôm mực</t>
  </si>
  <si>
    <t>Hoàng Vinh (máy in)</t>
  </si>
  <si>
    <t>trích lục GCN thửa 660, 662 tờ 24 Lê Thị Kim Hoàng (HS Đỗ Thị Nga)</t>
  </si>
  <si>
    <t>bổ sung hs Lê Xuân Hưng</t>
  </si>
  <si>
    <t>Nguyễn Thị Hồng (524)</t>
  </si>
  <si>
    <t>gửi bản vẽ xác định vị trí cho anh Hưng</t>
  </si>
  <si>
    <t>Anh Hưng</t>
  </si>
  <si>
    <t>GIÁM ĐỐC NỘP QUỸ LẦN 8 THÁNG 6</t>
  </si>
  <si>
    <t xml:space="preserve">tiền nhậu </t>
  </si>
  <si>
    <t>Nhà Hàng Bên Sông</t>
  </si>
  <si>
    <t>tiền karaoke</t>
  </si>
  <si>
    <t>ICOOL</t>
  </si>
  <si>
    <t>tiền bắt xe tới quán karaoke</t>
  </si>
  <si>
    <t>chi thụ lý hs Nguyễn Văn Dũng</t>
  </si>
  <si>
    <t>anh Hùng</t>
  </si>
  <si>
    <t xml:space="preserve">gửi hs Nguyễn Thị Hoa </t>
  </si>
  <si>
    <t>Cô Nguyễn Thị Hoa</t>
  </si>
  <si>
    <t>GIÁM ĐỐC NỘP QUỸ LẦN 9 THÁNG 6</t>
  </si>
  <si>
    <t xml:space="preserve">381/BK-2026	Nguyễn Thanh Hải </t>
  </si>
  <si>
    <t>GIÁM ĐỐC NỘP QUỸ LẦN 10 THÁNG 6</t>
  </si>
  <si>
    <t>342/BK-2026	Nguyễn Tấn Tài</t>
  </si>
  <si>
    <t>gửi bv bv Nguyễn Tấn Tài</t>
  </si>
  <si>
    <t>nộp bản vẽ</t>
  </si>
  <si>
    <t>quầy 19</t>
  </si>
  <si>
    <t>GIÁM ĐỐC NỘP QUỸ LẦN 11 THÁNG 6</t>
  </si>
  <si>
    <t xml:space="preserve">Nguyễn Thành Nam </t>
  </si>
  <si>
    <t>Lê Thành Lợi</t>
  </si>
  <si>
    <t>Nguyễn Văn Chức</t>
  </si>
  <si>
    <t>đóng phi NN Nguyễn Văn Chức</t>
  </si>
  <si>
    <t>lấy sổ tách thửa Trần Trung Tín</t>
  </si>
  <si>
    <t>phí lấy sổ tách thửa Trần Trung Tín</t>
  </si>
  <si>
    <t>Hồ Đình Cường PC/224467</t>
  </si>
  <si>
    <t>Hồ Đình Cường PC/224431</t>
  </si>
  <si>
    <t>chai xịt kính</t>
  </si>
  <si>
    <t>lấy sổ Nguyễn Xuân Đức</t>
  </si>
  <si>
    <t>374/BK-2026	Đỗ Thị Ánh Hằng</t>
  </si>
  <si>
    <t>gửi bv bv Đỗ Thị Ánh Hằng</t>
  </si>
  <si>
    <t>Thiết lập</t>
  </si>
  <si>
    <t>Giá trị</t>
  </si>
  <si>
    <t>Số dư đầu kỳ</t>
  </si>
  <si>
    <t>Loại_List</t>
  </si>
  <si>
    <t>Hạng mục_List</t>
  </si>
  <si>
    <t>Phòng Kỹ Thuật</t>
  </si>
  <si>
    <t>Giám đốc</t>
  </si>
  <si>
    <t>Phòng Pháp Lý</t>
  </si>
  <si>
    <t xml:space="preserve">Phòng Marketing </t>
  </si>
  <si>
    <t>Đi lại - Xăng xe - Gửi xe</t>
  </si>
  <si>
    <t>Điện - Nước - Internet</t>
  </si>
  <si>
    <t>Hỗ trợ sự kiện - Marketing</t>
  </si>
  <si>
    <t>Chưa chi</t>
  </si>
  <si>
    <t>Đợi chi</t>
  </si>
  <si>
    <t>Từ chối</t>
  </si>
  <si>
    <t>Tháng (mm/yyyy)</t>
  </si>
  <si>
    <t>Tháng (số)</t>
  </si>
  <si>
    <t>Năm</t>
  </si>
  <si>
    <t>Chỉ tiêu</t>
  </si>
  <si>
    <t>Tổng THU</t>
  </si>
  <si>
    <t>Tổng CHI</t>
  </si>
  <si>
    <t>Chênh lệch (Thu-Chi)</t>
  </si>
  <si>
    <t>Số dư cuối kỳ</t>
  </si>
  <si>
    <t>Mục</t>
  </si>
  <si>
    <t>Tiền mặt kiểm kê</t>
  </si>
  <si>
    <t>Số dư theo sổ</t>
  </si>
  <si>
    <t>Chênh lệch (Thực tế - Sổ)</t>
  </si>
  <si>
    <t>HƯỚNG DẪN SỬ DỤNG MẪU THU CHI VẶT</t>
  </si>
  <si>
    <t>1) Thiết lập số dư đầu kỳ tại DanhMuc!B2 (đồng).</t>
  </si>
  <si>
    <t>2) Nhập phát sinh tại sheet ThuChiVat: ngày, diễn giải, Loại (Thu/Chi), Hạng mục, Số tiền, v.v.</t>
  </si>
  <si>
    <t xml:space="preserve">   - Cột J (Thu +) và K (Chi -) tính tự động dựa trên Loại &amp; Số tiền.</t>
  </si>
  <si>
    <t xml:space="preserve">   - Cột L (Số dư sau GD) tự chạy theo dòng.</t>
  </si>
  <si>
    <t>3) Xem tổng hợp theo tháng tại sheet TongHopThang: nhập tháng mm/yyyy vào ô B1.</t>
  </si>
  <si>
    <t>4) Đối chiếu quỹ: nhập số tiền mặt kiểm kê vào DoiChieuQuy!B2 để xem chênh lệch.</t>
  </si>
  <si>
    <t>5) DanhMuc: thêm/sửa Hạng mục, Hình thức, Trạng thái theo nhu cầu.</t>
  </si>
  <si>
    <t>LOGO</t>
  </si>
  <si>
    <t>PHIẾU CHI</t>
  </si>
  <si>
    <t>Ngày in:</t>
  </si>
  <si>
    <t/>
  </si>
  <si>
    <t>Chọn Số chứng từ:</t>
  </si>
  <si>
    <t>Số CT</t>
  </si>
  <si>
    <t>Người nhận</t>
  </si>
  <si>
    <t>Phòng ban</t>
  </si>
  <si>
    <t>Kế toán</t>
  </si>
  <si>
    <t>(Ký, ghi rõ họ tên)</t>
  </si>
  <si>
    <t>Gợi ý in: A5 dọc (mặc định). Để in A4, Page Setup → Paper Size → A4.</t>
  </si>
  <si>
    <t>HƯỚNG DẪN THÊM HÀM VIETTEXT (Google Sheets)</t>
  </si>
  <si>
    <t>1) Extensions → Apps Script.</t>
  </si>
  <si>
    <t>2) Dán đoạn code này để dùng =VIETTEXT(sotien):</t>
  </si>
  <si>
    <t>function VIETTEXT(n) {
  n = Math.floor(Number(n));
  if (isNaN(n)) return "";
  if (n === 0) return "không đồng";
  var dv = ["","một","hai","ba","bốn","năm","sáu","bảy","tám","chín"];
  function read3(x, full) {
    var s="", tr = Math.floor(x/100), ch = Math.floor((x%100)/10), dv1 = x%10;
    if (full || tr&gt;0) s += dv[tr] + " trăm";
    if (s &amp;&amp; (ch&gt;0 || dv1&gt;0)) s += " ";
    if (ch&gt;1) {
      s += dv[ch] + " mươi";
      if (dv1===1) s += " mốt";
      else if (dv1===5) s += " lăm";
      else if (dv1&gt;0) s += " " + dv[dv1];
    } else if (ch===1) {
      s += "mười";
      if (dv1===5) s += " lăm";
      else if (dv1&gt;0) s += " " + dv[dv1];
    } else if (ch===0 &amp;&amp; dv1&gt;0) {
      if (full || tr&gt;0) s += "lẻ " + dv[dv1];
      else s += dv[dv1];
    }
    return s.trim();
  }
  var parts = [], i = 0;
  var units = ["", " nghìn", " triệu", " tỷ", " nghìn tỷ", " triệu tỷ"];
  while (n &gt; 0 &amp;&amp; i &lt; units.length) {
    var block = n % 1000;
    if (block &gt; 0) parts.unshift(read3(block, parts.length&gt;0) + units[i]);
    n = Math.floor(n / 1000); i++;
  }
  var txt = parts.join(" ").replace(/\s+/g," ").trim();
  return txt + " đồng";
}</t>
  </si>
  <si>
    <t>3) Lưu script, quay lại sheet và dùng =VIETTEXT(số_tiền). Trên 'PhieuChi' đã có sẵn ô công thức.</t>
  </si>
  <si>
    <t>BẢNG ĐIỀU KHIỂN THU-CHI (Theo tháng)</t>
  </si>
  <si>
    <t>Chọn tháng (mm/yyyy)</t>
  </si>
  <si>
    <t>Tổng Thu</t>
  </si>
  <si>
    <t>Tổng Chi</t>
  </si>
  <si>
    <t>Chênh lệch</t>
  </si>
  <si>
    <t>Theo Hạng mục</t>
  </si>
  <si>
    <t>Theo Phòng ban</t>
  </si>
  <si>
    <t>PHIẾU TẠM ỨNG</t>
  </si>
  <si>
    <t>PHIẾU HOÀN ỨNG</t>
  </si>
  <si>
    <t>Người nộp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</si>
</sst>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yy"/>
    <numFmt numFmtId="165" formatCode="#,##0\ [$đ-42A]"/>
    <numFmt numFmtId="166" formatCode="m/yyyy"/>
  </numFmts>
  <fonts count="15" x14ac:knownFonts="1">
    <font>
      <sz val="11"/>
      <color theme="1"/>
      <name val="Calibri"/>
      <scheme val="minor"/>
    </font>
    <font>
      <sz val="11"/>
      <color theme="1"/>
      <name val="Calibri"/>
      <family val="2"/>
      <scheme val="minor"/>
    </font>
    <font>
      <b/>
      <sz val="11"/>
      <color theme="1"/>
      <name val="Calibri"/>
      <family val="2"/>
    </font>
    <font>
      <sz val="11"/>
      <color theme="1"/>
      <name val="Calibri"/>
      <family val="2"/>
    </font>
    <font>
      <b/>
      <sz val="11"/>
      <color rgb="FF980000"/>
      <name val="Calibri"/>
      <family val="2"/>
    </font>
    <font>
      <sz val="11"/>
      <color rgb="FF434343"/>
      <name val="Roboto"/>
    </font>
    <font>
      <sz val="11"/>
      <color rgb="FF434343"/>
      <name val="Calibri"/>
      <family val="2"/>
    </font>
    <font>
      <sz val="11"/>
      <color theme="1"/>
      <name val="Montserrat"/>
    </font>
    <font>
      <b/>
      <sz val="11"/>
      <color rgb="FF000000"/>
      <name val="Calibri"/>
      <family val="2"/>
    </font>
    <font>
      <b/>
      <sz val="11"/>
      <color rgb="FFFF0000"/>
      <name val="Calibri"/>
      <family val="2"/>
    </font>
    <font>
      <sz val="11"/>
      <color rgb="FFFF0000"/>
      <name val="Calibri"/>
      <family val="2"/>
      <scheme val="minor"/>
    </font>
    <font>
      <b/>
      <sz val="14"/>
      <color theme="1"/>
      <name val="Calibri"/>
      <family val="2"/>
    </font>
    <font>
      <sz val="11"/>
      <name val="Calibri"/>
      <family val="2"/>
    </font>
    <font>
      <b/>
      <sz val="18"/>
      <color theme="1"/>
      <name val="Calibri"/>
      <family val="2"/>
    </font>
    <font>
      <i/>
      <sz val="9"/>
      <color theme="1"/>
      <name val="Calibri"/>
      <family val="2"/>
    </font>
  </fonts>
  <fills count="9">
    <fill>
      <patternFill patternType="none"/>
    </fill>
    <fill>
      <patternFill patternType="gray125"/>
    </fill>
    <fill>
      <patternFill patternType="solid">
        <fgColor rgb="FF00FF00"/>
        <bgColor rgb="FF00FF00"/>
      </patternFill>
    </fill>
    <fill>
      <patternFill patternType="solid">
        <fgColor rgb="FFF6F8F9"/>
        <bgColor rgb="FFF6F8F9"/>
      </patternFill>
    </fill>
    <fill>
      <patternFill patternType="solid">
        <fgColor rgb="FFF4CCCC"/>
        <bgColor rgb="FFF4CCCC"/>
      </patternFill>
    </fill>
    <fill>
      <patternFill patternType="solid">
        <fgColor theme="0"/>
        <bgColor theme="0"/>
      </patternFill>
    </fill>
    <fill>
      <patternFill patternType="solid">
        <fgColor theme="9"/>
        <bgColor theme="9"/>
      </patternFill>
    </fill>
    <fill>
      <patternFill patternType="solid">
        <fgColor rgb="FFD9D9D9"/>
        <bgColor rgb="FFD9D9D9"/>
      </patternFill>
    </fill>
    <fill>
      <patternFill patternType="solid">
        <fgColor rgb="FFEFEFEF"/>
        <bgColor rgb="FFEFEFEF"/>
      </patternFill>
    </fill>
  </fills>
  <borders count="16">
    <border>
      <left/>
      <right/>
      <top/>
      <bottom/>
      <diagonal/>
    </border>
    <border>
      <left style="thin">
        <color rgb="FFD9D9D9"/>
      </left>
      <right style="thin">
        <color rgb="FFD9D9D9"/>
      </right>
      <top style="thin">
        <color rgb="FFD9D9D9"/>
      </top>
      <bottom style="thin">
        <color rgb="FFD9D9D9"/>
      </bottom>
      <diagonal/>
    </border>
    <border>
      <left style="thin">
        <color rgb="FF284E3F"/>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9E9E9E"/>
      </left>
      <right/>
      <top style="thin">
        <color rgb="FF9E9E9E"/>
      </top>
      <bottom/>
      <diagonal/>
    </border>
    <border>
      <left/>
      <right/>
      <top style="thin">
        <color rgb="FF9E9E9E"/>
      </top>
      <bottom/>
      <diagonal/>
    </border>
    <border>
      <left/>
      <right style="thin">
        <color rgb="FF9E9E9E"/>
      </right>
      <top style="thin">
        <color rgb="FF9E9E9E"/>
      </top>
      <bottom/>
      <diagonal/>
    </border>
    <border>
      <left style="thin">
        <color rgb="FF9E9E9E"/>
      </left>
      <right/>
      <top/>
      <bottom/>
      <diagonal/>
    </border>
    <border>
      <left/>
      <right style="thin">
        <color rgb="FF9E9E9E"/>
      </right>
      <top/>
      <bottom/>
      <diagonal/>
    </border>
    <border>
      <left style="thin">
        <color rgb="FF9E9E9E"/>
      </left>
      <right/>
      <top/>
      <bottom style="thin">
        <color rgb="FF9E9E9E"/>
      </bottom>
      <diagonal/>
    </border>
    <border>
      <left/>
      <right/>
      <top/>
      <bottom style="thin">
        <color rgb="FF9E9E9E"/>
      </bottom>
      <diagonal/>
    </border>
    <border>
      <left/>
      <right style="thin">
        <color rgb="FF9E9E9E"/>
      </right>
      <top/>
      <bottom style="thin">
        <color rgb="FF9E9E9E"/>
      </bottom>
      <diagonal/>
    </border>
    <border>
      <left style="thin">
        <color rgb="FF9E9E9E"/>
      </left>
      <right style="thin">
        <color rgb="FF9E9E9E"/>
      </right>
      <top style="thin">
        <color rgb="FF9E9E9E"/>
      </top>
      <bottom style="thin">
        <color rgb="FF9E9E9E"/>
      </bottom>
      <diagonal/>
    </border>
    <border>
      <left style="thin">
        <color rgb="FF9E9E9E"/>
      </left>
      <right/>
      <top style="thin">
        <color rgb="FF9E9E9E"/>
      </top>
      <bottom style="thin">
        <color rgb="FF9E9E9E"/>
      </bottom>
      <diagonal/>
    </border>
    <border>
      <left/>
      <right/>
      <top style="thin">
        <color rgb="FF9E9E9E"/>
      </top>
      <bottom style="thin">
        <color rgb="FF9E9E9E"/>
      </bottom>
      <diagonal/>
    </border>
    <border>
      <left/>
      <right style="thin">
        <color rgb="FF9E9E9E"/>
      </right>
      <top style="thin">
        <color rgb="FF9E9E9E"/>
      </top>
      <bottom style="thin">
        <color rgb="FF9E9E9E"/>
      </bottom>
      <diagonal/>
    </border>
  </borders>
  <cellStyleXfs count="1">
    <xf numFmtId="0" fontId="0" fillId="0" borderId="0"/>
  </cellStyleXfs>
  <cellXfs count="63">
    <xf numFmtId="0" fontId="0" fillId="0" borderId="0" xfId="0"/>
    <xf numFmtId="0" fontId="1" fillId="0" borderId="0" xfId="0" applyFont="1" applyAlignment="1">
      <alignment horizontal="left" vertical="center"/>
    </xf>
    <xf numFmtId="0" fontId="2" fillId="0" borderId="0" xfId="0" applyFont="1" applyAlignment="1">
      <alignment horizontal="center" vertical="center"/>
    </xf>
    <xf numFmtId="164" fontId="1" fillId="0" borderId="0" xfId="0" applyNumberFormat="1" applyFont="1" applyAlignment="1">
      <alignment vertical="center"/>
    </xf>
    <xf numFmtId="0" fontId="1" fillId="0" borderId="0" xfId="0" applyFont="1" applyAlignment="1">
      <alignment vertical="center"/>
    </xf>
    <xf numFmtId="0" fontId="3" fillId="0" borderId="0" xfId="0" applyFont="1" applyAlignment="1">
      <alignment vertical="center"/>
    </xf>
    <xf numFmtId="3" fontId="3" fillId="0" borderId="0" xfId="0" applyNumberFormat="1" applyFont="1" applyAlignment="1">
      <alignment vertical="center"/>
    </xf>
    <xf numFmtId="0" fontId="3" fillId="0" borderId="0" xfId="0" applyFont="1" applyAlignment="1">
      <alignment vertical="center" wrapText="1"/>
    </xf>
    <xf numFmtId="0" fontId="7" fillId="0" borderId="0" xfId="0" applyFont="1" applyAlignment="1">
      <alignment wrapText="1"/>
    </xf>
    <xf numFmtId="0" fontId="7" fillId="0" borderId="0" xfId="0" applyFont="1"/>
    <xf numFmtId="0" fontId="1" fillId="0" borderId="0" xfId="0" applyFont="1" applyAlignment="1">
      <alignment vertical="center" wrapText="1"/>
    </xf>
    <xf numFmtId="0" fontId="2" fillId="0" borderId="3" xfId="0" applyFont="1" applyBorder="1"/>
    <xf numFmtId="165" fontId="2" fillId="0" borderId="3" xfId="0" applyNumberFormat="1" applyFont="1" applyBorder="1"/>
    <xf numFmtId="165" fontId="1" fillId="0" borderId="0" xfId="0" applyNumberFormat="1" applyFont="1"/>
    <xf numFmtId="0" fontId="3" fillId="0" borderId="3" xfId="0" applyFont="1" applyBorder="1"/>
    <xf numFmtId="165" fontId="3" fillId="0" borderId="3" xfId="0" applyNumberFormat="1" applyFont="1" applyBorder="1"/>
    <xf numFmtId="0" fontId="8" fillId="7" borderId="3" xfId="0" applyFont="1" applyFill="1" applyBorder="1"/>
    <xf numFmtId="165" fontId="2" fillId="8" borderId="3" xfId="0" applyNumberFormat="1" applyFont="1" applyFill="1" applyBorder="1" applyAlignment="1">
      <alignment horizontal="center" vertical="center"/>
    </xf>
    <xf numFmtId="0" fontId="2" fillId="8" borderId="3" xfId="0" applyFont="1" applyFill="1" applyBorder="1" applyAlignment="1">
      <alignment horizontal="center" vertical="center"/>
    </xf>
    <xf numFmtId="0" fontId="1" fillId="0" borderId="0" xfId="0" applyFont="1"/>
    <xf numFmtId="0" fontId="9" fillId="0" borderId="3" xfId="0" applyFont="1" applyBorder="1"/>
    <xf numFmtId="0" fontId="10" fillId="0" borderId="0" xfId="0" applyFont="1"/>
    <xf numFmtId="166" fontId="1" fillId="0" borderId="0" xfId="0" applyNumberFormat="1" applyFont="1"/>
    <xf numFmtId="0" fontId="2" fillId="0" borderId="0" xfId="0" applyFont="1"/>
    <xf numFmtId="0" fontId="11" fillId="0" borderId="0" xfId="0" applyFont="1"/>
    <xf numFmtId="164" fontId="3" fillId="0" borderId="0" xfId="0" applyNumberFormat="1" applyFont="1"/>
    <xf numFmtId="0" fontId="3" fillId="0" borderId="0" xfId="0" applyFont="1"/>
    <xf numFmtId="0" fontId="3" fillId="0" borderId="12" xfId="0" applyFont="1" applyBorder="1"/>
    <xf numFmtId="0" fontId="2" fillId="0" borderId="12" xfId="0" applyFont="1" applyBorder="1"/>
    <xf numFmtId="164" fontId="3" fillId="0" borderId="12" xfId="0" applyNumberFormat="1" applyFont="1" applyBorder="1" applyAlignment="1">
      <alignment horizontal="left"/>
    </xf>
    <xf numFmtId="0" fontId="3" fillId="0" borderId="12" xfId="0" applyFont="1" applyBorder="1" applyAlignment="1">
      <alignment horizontal="left"/>
    </xf>
    <xf numFmtId="0" fontId="14" fillId="0" borderId="12" xfId="0" applyFont="1" applyBorder="1"/>
    <xf numFmtId="0" fontId="3" fillId="0" borderId="13" xfId="0" applyFont="1" applyBorder="1" applyAlignment="1">
      <alignment horizontal="left" vertical="center"/>
    </xf>
    <xf numFmtId="0" fontId="12" fillId="0" borderId="14" xfId="0" applyFont="1" applyBorder="1"/>
    <xf numFmtId="0" fontId="12" fillId="0" borderId="15" xfId="0" applyFont="1" applyBorder="1"/>
    <xf numFmtId="0" fontId="2" fillId="0" borderId="13" xfId="0" applyFont="1" applyBorder="1"/>
    <xf numFmtId="0" fontId="2" fillId="0" borderId="4" xfId="0" applyFont="1" applyBorder="1" applyAlignment="1">
      <alignment horizontal="center" vertical="center"/>
    </xf>
    <xf numFmtId="0" fontId="12" fillId="0" borderId="5" xfId="0" applyFont="1" applyBorder="1"/>
    <xf numFmtId="0" fontId="12" fillId="0" borderId="6" xfId="0" applyFont="1" applyBorder="1"/>
    <xf numFmtId="0" fontId="12" fillId="0" borderId="7" xfId="0" applyFont="1" applyBorder="1"/>
    <xf numFmtId="0" fontId="0" fillId="0" borderId="0" xfId="0"/>
    <xf numFmtId="0" fontId="12" fillId="0" borderId="8" xfId="0" applyFont="1" applyBorder="1"/>
    <xf numFmtId="0" fontId="12" fillId="0" borderId="9" xfId="0" applyFont="1" applyBorder="1"/>
    <xf numFmtId="0" fontId="12" fillId="0" borderId="10" xfId="0" applyFont="1" applyBorder="1"/>
    <xf numFmtId="0" fontId="12" fillId="0" borderId="11" xfId="0" applyFont="1" applyBorder="1"/>
    <xf numFmtId="0" fontId="13" fillId="0" borderId="0" xfId="0" applyFont="1" applyAlignment="1">
      <alignment horizontal="center"/>
    </xf>
    <xf numFmtId="3" fontId="3" fillId="0" borderId="13" xfId="0" applyNumberFormat="1" applyFont="1" applyBorder="1" applyAlignment="1">
      <alignment horizontal="left" vertical="center"/>
    </xf>
    <xf numFmtId="0" fontId="2" fillId="0" borderId="0" xfId="0" applyFont="1"/>
    <xf numFmtId="164" fontId="5" fillId="3" borderId="0" xfId="0" applyNumberFormat="1" applyFont="1" applyFill="1" applyBorder="1" applyAlignment="1">
      <alignment horizontal="right" vertical="center"/>
    </xf>
    <xf numFmtId="164" fontId="1" fillId="0" borderId="2" xfId="0" applyNumberFormat="1" applyFont="1" applyBorder="1" applyAlignment="1">
      <alignment vertical="center"/>
    </xf>
    <xf numFmtId="0" fontId="5" fillId="3" borderId="0" xfId="0" applyFont="1" applyFill="1" applyBorder="1" applyAlignment="1">
      <alignment vertical="center" wrapText="1"/>
    </xf>
    <xf numFmtId="0" fontId="3" fillId="0" borderId="1" xfId="0" applyFont="1" applyBorder="1" applyAlignment="1">
      <alignment vertical="center"/>
    </xf>
    <xf numFmtId="0" fontId="5" fillId="3" borderId="0" xfId="0" applyFont="1" applyFill="1" applyBorder="1" applyAlignment="1">
      <alignment vertical="center"/>
    </xf>
    <xf numFmtId="0" fontId="3" fillId="0" borderId="1" xfId="0" applyFont="1" applyBorder="1" applyAlignment="1">
      <alignment vertical="center" wrapText="1"/>
    </xf>
    <xf numFmtId="0" fontId="6" fillId="4" borderId="0" xfId="0" applyFont="1" applyFill="1" applyBorder="1" applyAlignment="1">
      <alignment vertical="center"/>
    </xf>
    <xf numFmtId="0" fontId="3" fillId="2" borderId="0" xfId="0" applyFont="1" applyFill="1" applyBorder="1" applyAlignment="1">
      <alignment vertical="center"/>
    </xf>
    <xf numFmtId="0" fontId="6" fillId="5" borderId="0" xfId="0" applyFont="1" applyFill="1" applyBorder="1" applyAlignment="1">
      <alignment vertical="center"/>
    </xf>
    <xf numFmtId="0" fontId="6" fillId="3" borderId="0" xfId="0" applyFont="1" applyFill="1" applyBorder="1" applyAlignment="1">
      <alignment vertical="center"/>
    </xf>
    <xf numFmtId="0" fontId="3" fillId="3" borderId="0" xfId="0" applyFont="1" applyFill="1" applyBorder="1" applyAlignment="1">
      <alignment vertical="center"/>
    </xf>
    <xf numFmtId="0" fontId="4" fillId="3" borderId="0" xfId="0" applyFont="1" applyFill="1" applyBorder="1" applyAlignment="1">
      <alignment vertical="center"/>
    </xf>
    <xf numFmtId="3" fontId="3" fillId="6" borderId="0" xfId="0" applyNumberFormat="1" applyFont="1" applyFill="1" applyBorder="1" applyAlignment="1">
      <alignment horizontal="right" vertical="center"/>
    </xf>
    <xf numFmtId="3" fontId="3" fillId="3" borderId="0" xfId="0" applyNumberFormat="1" applyFont="1" applyFill="1" applyBorder="1" applyAlignment="1">
      <alignment horizontal="right" vertical="center"/>
    </xf>
    <xf numFmtId="3" fontId="3" fillId="0" borderId="1" xfId="0" applyNumberFormat="1" applyFont="1" applyBorder="1" applyAlignment="1">
      <alignment vertical="center"/>
    </xf>
  </cellXfs>
  <cellStyles count="1">
    <cellStyle name="Normal" xfId="0" builtinId="0"/>
  </cellStyles>
  <dxfs count="12">
    <dxf>
      <fill>
        <patternFill patternType="solid">
          <fgColor rgb="FFFF9900"/>
          <bgColor rgb="FFFF9900"/>
        </patternFill>
      </fill>
    </dxf>
    <dxf>
      <font>
        <color rgb="FF000000"/>
      </font>
      <fill>
        <patternFill patternType="solid">
          <fgColor rgb="FF4A86E8"/>
          <bgColor rgb="FF4A86E8"/>
        </patternFill>
      </fill>
    </dxf>
    <dxf>
      <fill>
        <patternFill patternType="solid">
          <fgColor rgb="FFB7E1CD"/>
          <bgColor rgb="FFB7E1CD"/>
        </patternFill>
      </fill>
    </dxf>
    <dxf>
      <fill>
        <patternFill patternType="solid">
          <fgColor rgb="FF00FFFF"/>
          <bgColor rgb="FF00FFFF"/>
        </patternFill>
      </fill>
    </dxf>
    <dxf>
      <fill>
        <patternFill patternType="solid">
          <fgColor rgb="FF00FF00"/>
          <bgColor rgb="FF00FF00"/>
        </patternFill>
      </fill>
    </dxf>
    <dxf>
      <font>
        <color rgb="FF000000"/>
      </font>
      <fill>
        <patternFill patternType="solid">
          <fgColor rgb="FFF4CCCC"/>
          <bgColor rgb="FFF4CCCC"/>
        </patternFill>
      </fill>
    </dxf>
    <dxf>
      <font>
        <b/>
        <color rgb="FF980000"/>
      </font>
      <fill>
        <patternFill patternType="none"/>
      </fill>
    </dxf>
    <dxf>
      <fill>
        <patternFill patternType="solid">
          <fgColor rgb="FF00FFFF"/>
          <bgColor rgb="FF00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ThuChiVat-style" pivot="0" count="4" xr9:uid="{00000000-0011-0000-FFFF-FFFF00000000}">
      <tableStyleElement type="wholeTable" size="0" dxfId="8"/>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n-US" sz="1800" b="1" i="0">
                <a:solidFill>
                  <a:srgbClr val="757575"/>
                </a:solidFill>
                <a:latin typeface="+mn-lt"/>
              </a:rPr>
              <a:t>Thu / Chi theo Hạng mục</a:t>
            </a:r>
          </a:p>
        </c:rich>
      </c:tx>
      <c:overlay val="0"/>
    </c:title>
    <c:autoTitleDeleted val="0"/>
    <c:plotArea>
      <c:layout>
        <c:manualLayout>
          <c:layoutTarget val="inner"/>
          <c:xMode val="edge"/>
          <c:yMode val="edge"/>
          <c:x val="0.18973113343164261"/>
          <c:y val="0.11815104384036799"/>
          <c:w val="0.66824369568644904"/>
          <c:h val="0.30556300603767284"/>
        </c:manualLayout>
      </c:layout>
      <c:barChart>
        <c:barDir val="col"/>
        <c:grouping val="clustered"/>
        <c:varyColors val="1"/>
        <c:ser>
          <c:idx val="0"/>
          <c:order val="0"/>
          <c:spPr>
            <a:solidFill>
              <a:srgbClr val="4F81BD"/>
            </a:solidFill>
            <a:ln cmpd="sng">
              <a:noFill/>
            </a:ln>
          </c:spPr>
          <c:invertIfNegative val="1"/>
          <c:cat>
            <c:strRef>
              <c:f>Dashboard!$A$11:$A$30</c:f>
              <c:strCache>
                <c:ptCount val="20"/>
                <c:pt idx="0">
                  <c:v>Văn phòng phẩm</c:v>
                </c:pt>
                <c:pt idx="1">
                  <c:v>In ấn - Photocopy</c:v>
                </c:pt>
                <c:pt idx="2">
                  <c:v>Chi quầy tiếp nhận</c:v>
                </c:pt>
                <c:pt idx="3">
                  <c:v>Ăn uống </c:v>
                </c:pt>
                <c:pt idx="4">
                  <c:v>Đi lại - Xăng xe - Gửi xe</c:v>
                </c:pt>
                <c:pt idx="5">
                  <c:v>Công tác phí</c:v>
                </c:pt>
                <c:pt idx="6">
                  <c:v>Chuyển phát - Bưu chính-Grap</c:v>
                </c:pt>
                <c:pt idx="7">
                  <c:v>Điện - Nước - Internet</c:v>
                </c:pt>
                <c:pt idx="8">
                  <c:v>Sửa chữa nhỏ</c:v>
                </c:pt>
                <c:pt idx="9">
                  <c:v>Bảo trì thiết bị</c:v>
                </c:pt>
                <c:pt idx="10">
                  <c:v>Vệ sinh - Rác thải</c:v>
                </c:pt>
                <c:pt idx="11">
                  <c:v>#REF!</c:v>
                </c:pt>
                <c:pt idx="12">
                  <c:v>Tiền mặt</c:v>
                </c:pt>
                <c:pt idx="13">
                  <c:v>Chuyển khoản</c:v>
                </c:pt>
                <c:pt idx="14">
                  <c:v>#REF!</c:v>
                </c:pt>
                <c:pt idx="15">
                  <c:v>Hỗ trợ sự kiện - Marketing</c:v>
                </c:pt>
                <c:pt idx="16">
                  <c:v>Đã chi</c:v>
                </c:pt>
                <c:pt idx="17">
                  <c:v>Chưa chi</c:v>
                </c:pt>
                <c:pt idx="18">
                  <c:v>Đợi chi</c:v>
                </c:pt>
                <c:pt idx="19">
                  <c:v>Từ chối</c:v>
                </c:pt>
              </c:strCache>
            </c:strRef>
          </c:cat>
          <c:val>
            <c:numRef>
              <c:f>Dashboard!$B$11:$B$30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B63E-364E-84B7-F9648D4F8A43}"/>
            </c:ext>
          </c:extLst>
        </c:ser>
        <c:ser>
          <c:idx val="1"/>
          <c:order val="1"/>
          <c:spPr>
            <a:solidFill>
              <a:srgbClr val="C0504D"/>
            </a:solidFill>
            <a:ln cmpd="sng">
              <a:noFill/>
            </a:ln>
          </c:spPr>
          <c:invertIfNegative val="1"/>
          <c:cat>
            <c:strRef>
              <c:f>Dashboard!$A$11:$A$30</c:f>
              <c:strCache>
                <c:ptCount val="20"/>
                <c:pt idx="0">
                  <c:v>Văn phòng phẩm</c:v>
                </c:pt>
                <c:pt idx="1">
                  <c:v>In ấn - Photocopy</c:v>
                </c:pt>
                <c:pt idx="2">
                  <c:v>Chi quầy tiếp nhận</c:v>
                </c:pt>
                <c:pt idx="3">
                  <c:v>Ăn uống </c:v>
                </c:pt>
                <c:pt idx="4">
                  <c:v>Đi lại - Xăng xe - Gửi xe</c:v>
                </c:pt>
                <c:pt idx="5">
                  <c:v>Công tác phí</c:v>
                </c:pt>
                <c:pt idx="6">
                  <c:v>Chuyển phát - Bưu chính-Grap</c:v>
                </c:pt>
                <c:pt idx="7">
                  <c:v>Điện - Nước - Internet</c:v>
                </c:pt>
                <c:pt idx="8">
                  <c:v>Sửa chữa nhỏ</c:v>
                </c:pt>
                <c:pt idx="9">
                  <c:v>Bảo trì thiết bị</c:v>
                </c:pt>
                <c:pt idx="10">
                  <c:v>Vệ sinh - Rác thải</c:v>
                </c:pt>
                <c:pt idx="11">
                  <c:v>#REF!</c:v>
                </c:pt>
                <c:pt idx="12">
                  <c:v>Tiền mặt</c:v>
                </c:pt>
                <c:pt idx="13">
                  <c:v>Chuyển khoản</c:v>
                </c:pt>
                <c:pt idx="14">
                  <c:v>#REF!</c:v>
                </c:pt>
                <c:pt idx="15">
                  <c:v>Hỗ trợ sự kiện - Marketing</c:v>
                </c:pt>
                <c:pt idx="16">
                  <c:v>Đã chi</c:v>
                </c:pt>
                <c:pt idx="17">
                  <c:v>Chưa chi</c:v>
                </c:pt>
                <c:pt idx="18">
                  <c:v>Đợi chi</c:v>
                </c:pt>
                <c:pt idx="19">
                  <c:v>Từ chối</c:v>
                </c:pt>
              </c:strCache>
            </c:strRef>
          </c:cat>
          <c:val>
            <c:numRef>
              <c:f>Dashboard!$C$11:$C$30</c:f>
              <c:numCache>
                <c:formatCode>General</c:formatCode>
                <c:ptCount val="20"/>
                <c:pt idx="0">
                  <c:v>701000</c:v>
                </c:pt>
                <c:pt idx="1">
                  <c:v>23000</c:v>
                </c:pt>
                <c:pt idx="2">
                  <c:v>4600000</c:v>
                </c:pt>
                <c:pt idx="3">
                  <c:v>15080000</c:v>
                </c:pt>
                <c:pt idx="4">
                  <c:v>0</c:v>
                </c:pt>
                <c:pt idx="5">
                  <c:v>22625000</c:v>
                </c:pt>
                <c:pt idx="6">
                  <c:v>1713000</c:v>
                </c:pt>
                <c:pt idx="7">
                  <c:v>0</c:v>
                </c:pt>
                <c:pt idx="8">
                  <c:v>350000</c:v>
                </c:pt>
                <c:pt idx="9">
                  <c:v>1420000</c:v>
                </c:pt>
                <c:pt idx="10">
                  <c:v>1280000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B63E-364E-84B7-F9648D4F8A43}"/>
            </c:ext>
          </c:extLst>
        </c:ser>
        <c:dLbls>
          <c:showLegendKey val="0"/>
          <c:showVal val="0"/>
          <c:showCatName val="0"/>
          <c:showSerName val="0"/>
          <c:showPercent val="0"/>
          <c:showBubbleSize val="0"/>
        </c:dLbls>
        <c:gapWidth val="150"/>
        <c:axId val="1375969632"/>
        <c:axId val="240437869"/>
      </c:barChart>
      <c:catAx>
        <c:axId val="1375969632"/>
        <c:scaling>
          <c:orientation val="minMax"/>
        </c:scaling>
        <c:delete val="0"/>
        <c:axPos val="b"/>
        <c:title>
          <c:tx>
            <c:rich>
              <a:bodyPr/>
              <a:lstStyle/>
              <a:p>
                <a:pPr lvl="0">
                  <a:defRPr b="0">
                    <a:solidFill>
                      <a:srgbClr val="000000"/>
                    </a:solidFill>
                    <a:latin typeface="+mn-lt"/>
                  </a:defRPr>
                </a:pPr>
                <a:endParaRPr lang="en-VN"/>
              </a:p>
            </c:rich>
          </c:tx>
          <c:overlay val="0"/>
        </c:title>
        <c:numFmt formatCode="General" sourceLinked="1"/>
        <c:majorTickMark val="none"/>
        <c:minorTickMark val="none"/>
        <c:tickLblPos val="nextTo"/>
        <c:spPr>
          <a:ln>
            <a:noFill/>
          </a:ln>
        </c:spPr>
        <c:txPr>
          <a:bodyPr/>
          <a:lstStyle/>
          <a:p>
            <a:pPr lvl="0">
              <a:defRPr sz="1000" b="0" i="0">
                <a:solidFill>
                  <a:srgbClr val="000000"/>
                </a:solidFill>
                <a:latin typeface="+mn-lt"/>
              </a:defRPr>
            </a:pPr>
            <a:endParaRPr lang="en-VN"/>
          </a:p>
        </c:txPr>
        <c:crossAx val="240437869"/>
        <c:crosses val="autoZero"/>
        <c:auto val="1"/>
        <c:lblAlgn val="ctr"/>
        <c:lblOffset val="100"/>
        <c:noMultiLvlLbl val="1"/>
      </c:catAx>
      <c:valAx>
        <c:axId val="24043786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VN"/>
              </a:p>
            </c:rich>
          </c:tx>
          <c:overlay val="0"/>
        </c:title>
        <c:numFmt formatCode="General" sourceLinked="1"/>
        <c:majorTickMark val="none"/>
        <c:minorTickMark val="none"/>
        <c:tickLblPos val="nextTo"/>
        <c:spPr>
          <a:ln>
            <a:noFill/>
          </a:ln>
        </c:spPr>
        <c:txPr>
          <a:bodyPr/>
          <a:lstStyle/>
          <a:p>
            <a:pPr lvl="0">
              <a:defRPr sz="1000" b="0" i="0">
                <a:solidFill>
                  <a:srgbClr val="000000"/>
                </a:solidFill>
                <a:latin typeface="+mn-lt"/>
              </a:defRPr>
            </a:pPr>
            <a:endParaRPr lang="en-VN"/>
          </a:p>
        </c:txPr>
        <c:crossAx val="1375969632"/>
        <c:crosses val="autoZero"/>
        <c:crossBetween val="between"/>
      </c:valAx>
    </c:plotArea>
    <c:legend>
      <c:legendPos val="r"/>
      <c:overlay val="0"/>
      <c:txPr>
        <a:bodyPr/>
        <a:lstStyle/>
        <a:p>
          <a:pPr lvl="0">
            <a:defRPr sz="1000" b="0" i="0">
              <a:solidFill>
                <a:srgbClr val="1A1A1A"/>
              </a:solidFill>
              <a:latin typeface="+mn-lt"/>
            </a:defRPr>
          </a:pPr>
          <a:endParaRPr lang="en-VN"/>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n-US" sz="1800" b="1" i="0">
                <a:solidFill>
                  <a:srgbClr val="757575"/>
                </a:solidFill>
                <a:latin typeface="+mn-lt"/>
              </a:rPr>
              <a:t>Tỷ trọng Thu theo Phòng ban</a:t>
            </a:r>
          </a:p>
        </c:rich>
      </c:tx>
      <c:overlay val="0"/>
    </c:title>
    <c:autoTitleDeleted val="0"/>
    <c:plotArea>
      <c:layout/>
      <c:pieChart>
        <c:varyColors val="1"/>
        <c:ser>
          <c:idx val="0"/>
          <c:order val="0"/>
          <c:dPt>
            <c:idx val="0"/>
            <c:bubble3D val="0"/>
            <c:extLst>
              <c:ext xmlns:c16="http://schemas.microsoft.com/office/drawing/2014/chart" uri="{C3380CC4-5D6E-409C-BE32-E72D297353CC}">
                <c16:uniqueId val="{00000000-4E56-7E4B-B4BA-670F24331465}"/>
              </c:ext>
            </c:extLst>
          </c:dPt>
          <c:dPt>
            <c:idx val="1"/>
            <c:bubble3D val="0"/>
            <c:extLst>
              <c:ext xmlns:c16="http://schemas.microsoft.com/office/drawing/2014/chart" uri="{C3380CC4-5D6E-409C-BE32-E72D297353CC}">
                <c16:uniqueId val="{00000001-4E56-7E4B-B4BA-670F24331465}"/>
              </c:ext>
            </c:extLst>
          </c:dPt>
          <c:dPt>
            <c:idx val="2"/>
            <c:bubble3D val="0"/>
            <c:extLst>
              <c:ext xmlns:c16="http://schemas.microsoft.com/office/drawing/2014/chart" uri="{C3380CC4-5D6E-409C-BE32-E72D297353CC}">
                <c16:uniqueId val="{00000002-4E56-7E4B-B4BA-670F24331465}"/>
              </c:ext>
            </c:extLst>
          </c:dPt>
          <c:dPt>
            <c:idx val="3"/>
            <c:bubble3D val="0"/>
            <c:extLst>
              <c:ext xmlns:c16="http://schemas.microsoft.com/office/drawing/2014/chart" uri="{C3380CC4-5D6E-409C-BE32-E72D297353CC}">
                <c16:uniqueId val="{00000003-4E56-7E4B-B4BA-670F24331465}"/>
              </c:ext>
            </c:extLst>
          </c:dPt>
          <c:dPt>
            <c:idx val="4"/>
            <c:bubble3D val="0"/>
            <c:extLst>
              <c:ext xmlns:c16="http://schemas.microsoft.com/office/drawing/2014/chart" uri="{C3380CC4-5D6E-409C-BE32-E72D297353CC}">
                <c16:uniqueId val="{00000004-4E56-7E4B-B4BA-670F24331465}"/>
              </c:ext>
            </c:extLst>
          </c:dPt>
          <c:dPt>
            <c:idx val="5"/>
            <c:bubble3D val="0"/>
            <c:extLst>
              <c:ext xmlns:c16="http://schemas.microsoft.com/office/drawing/2014/chart" uri="{C3380CC4-5D6E-409C-BE32-E72D297353CC}">
                <c16:uniqueId val="{00000005-4E56-7E4B-B4BA-670F24331465}"/>
              </c:ext>
            </c:extLst>
          </c:dPt>
          <c:dPt>
            <c:idx val="6"/>
            <c:bubble3D val="0"/>
            <c:extLst>
              <c:ext xmlns:c16="http://schemas.microsoft.com/office/drawing/2014/chart" uri="{C3380CC4-5D6E-409C-BE32-E72D297353CC}">
                <c16:uniqueId val="{00000006-4E56-7E4B-B4BA-670F24331465}"/>
              </c:ext>
            </c:extLst>
          </c:dPt>
          <c:dPt>
            <c:idx val="7"/>
            <c:bubble3D val="0"/>
            <c:extLst>
              <c:ext xmlns:c16="http://schemas.microsoft.com/office/drawing/2014/chart" uri="{C3380CC4-5D6E-409C-BE32-E72D297353CC}">
                <c16:uniqueId val="{00000007-4E56-7E4B-B4BA-670F24331465}"/>
              </c:ext>
            </c:extLst>
          </c:dPt>
          <c:dPt>
            <c:idx val="8"/>
            <c:bubble3D val="0"/>
            <c:extLst>
              <c:ext xmlns:c16="http://schemas.microsoft.com/office/drawing/2014/chart" uri="{C3380CC4-5D6E-409C-BE32-E72D297353CC}">
                <c16:uniqueId val="{00000008-4E56-7E4B-B4BA-670F24331465}"/>
              </c:ext>
            </c:extLst>
          </c:dPt>
          <c:dPt>
            <c:idx val="9"/>
            <c:bubble3D val="0"/>
            <c:extLst>
              <c:ext xmlns:c16="http://schemas.microsoft.com/office/drawing/2014/chart" uri="{C3380CC4-5D6E-409C-BE32-E72D297353CC}">
                <c16:uniqueId val="{00000009-4E56-7E4B-B4BA-670F24331465}"/>
              </c:ext>
            </c:extLst>
          </c:dPt>
          <c:dPt>
            <c:idx val="10"/>
            <c:bubble3D val="0"/>
            <c:extLst>
              <c:ext xmlns:c16="http://schemas.microsoft.com/office/drawing/2014/chart" uri="{C3380CC4-5D6E-409C-BE32-E72D297353CC}">
                <c16:uniqueId val="{0000000A-4E56-7E4B-B4BA-670F24331465}"/>
              </c:ext>
            </c:extLst>
          </c:dPt>
          <c:dPt>
            <c:idx val="11"/>
            <c:bubble3D val="0"/>
            <c:extLst>
              <c:ext xmlns:c16="http://schemas.microsoft.com/office/drawing/2014/chart" uri="{C3380CC4-5D6E-409C-BE32-E72D297353CC}">
                <c16:uniqueId val="{0000000B-4E56-7E4B-B4BA-670F24331465}"/>
              </c:ext>
            </c:extLst>
          </c:dPt>
          <c:dPt>
            <c:idx val="12"/>
            <c:bubble3D val="0"/>
            <c:extLst>
              <c:ext xmlns:c16="http://schemas.microsoft.com/office/drawing/2014/chart" uri="{C3380CC4-5D6E-409C-BE32-E72D297353CC}">
                <c16:uniqueId val="{0000000C-4E56-7E4B-B4BA-670F24331465}"/>
              </c:ext>
            </c:extLst>
          </c:dPt>
          <c:dPt>
            <c:idx val="13"/>
            <c:bubble3D val="0"/>
            <c:extLst>
              <c:ext xmlns:c16="http://schemas.microsoft.com/office/drawing/2014/chart" uri="{C3380CC4-5D6E-409C-BE32-E72D297353CC}">
                <c16:uniqueId val="{0000000D-4E56-7E4B-B4BA-670F24331465}"/>
              </c:ext>
            </c:extLst>
          </c:dPt>
          <c:dPt>
            <c:idx val="14"/>
            <c:bubble3D val="0"/>
            <c:extLst>
              <c:ext xmlns:c16="http://schemas.microsoft.com/office/drawing/2014/chart" uri="{C3380CC4-5D6E-409C-BE32-E72D297353CC}">
                <c16:uniqueId val="{0000000E-4E56-7E4B-B4BA-670F24331465}"/>
              </c:ext>
            </c:extLst>
          </c:dPt>
          <c:dPt>
            <c:idx val="15"/>
            <c:bubble3D val="0"/>
            <c:extLst>
              <c:ext xmlns:c16="http://schemas.microsoft.com/office/drawing/2014/chart" uri="{C3380CC4-5D6E-409C-BE32-E72D297353CC}">
                <c16:uniqueId val="{0000000F-4E56-7E4B-B4BA-670F24331465}"/>
              </c:ext>
            </c:extLst>
          </c:dPt>
          <c:dPt>
            <c:idx val="16"/>
            <c:bubble3D val="0"/>
            <c:extLst>
              <c:ext xmlns:c16="http://schemas.microsoft.com/office/drawing/2014/chart" uri="{C3380CC4-5D6E-409C-BE32-E72D297353CC}">
                <c16:uniqueId val="{00000010-4E56-7E4B-B4BA-670F24331465}"/>
              </c:ext>
            </c:extLst>
          </c:dPt>
          <c:dPt>
            <c:idx val="17"/>
            <c:bubble3D val="0"/>
            <c:extLst>
              <c:ext xmlns:c16="http://schemas.microsoft.com/office/drawing/2014/chart" uri="{C3380CC4-5D6E-409C-BE32-E72D297353CC}">
                <c16:uniqueId val="{00000011-4E56-7E4B-B4BA-670F24331465}"/>
              </c:ext>
            </c:extLst>
          </c:dPt>
          <c:dPt>
            <c:idx val="18"/>
            <c:bubble3D val="0"/>
            <c:extLst>
              <c:ext xmlns:c16="http://schemas.microsoft.com/office/drawing/2014/chart" uri="{C3380CC4-5D6E-409C-BE32-E72D297353CC}">
                <c16:uniqueId val="{00000012-4E56-7E4B-B4BA-670F24331465}"/>
              </c:ext>
            </c:extLst>
          </c:dPt>
          <c:dPt>
            <c:idx val="19"/>
            <c:bubble3D val="0"/>
            <c:extLst>
              <c:ext xmlns:c16="http://schemas.microsoft.com/office/drawing/2014/chart" uri="{C3380CC4-5D6E-409C-BE32-E72D297353CC}">
                <c16:uniqueId val="{00000013-4E56-7E4B-B4BA-670F24331465}"/>
              </c:ext>
            </c:extLst>
          </c:dPt>
          <c:cat>
            <c:numRef>
              <c:f>Dashboard!$A$35:$A$54</c:f>
              <c:numCache>
                <c:formatCode>General</c:formatCode>
                <c:ptCount val="20"/>
                <c:pt idx="0">
                  <c:v>0</c:v>
                </c:pt>
              </c:numCache>
            </c:numRef>
          </c:cat>
          <c:val>
            <c:numRef>
              <c:f>Dashboard!$B$35:$B$54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14-4E56-7E4B-B4BA-670F2433146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sz="1000" b="0" i="0">
              <a:solidFill>
                <a:srgbClr val="1A1A1A"/>
              </a:solidFill>
              <a:latin typeface="+mn-lt"/>
            </a:defRPr>
          </a:pPr>
          <a:endParaRPr lang="en-VN"/>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4</xdr:col>
      <xdr:colOff>0</xdr:colOff>
      <xdr:row>8</xdr:row>
      <xdr:rowOff>0</xdr:rowOff>
    </xdr:from>
    <xdr:ext cx="5391150" cy="2695575"/>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0</xdr:colOff>
      <xdr:row>24</xdr:row>
      <xdr:rowOff>0</xdr:rowOff>
    </xdr:from>
    <xdr:ext cx="5391150" cy="2695575"/>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ảng_1" displayName="Bảng_1" ref="A1:S2000">
  <autoFilter ref="A1:S2000" xr:uid="{00000000-0009-0000-0100-000001000000}"/>
  <sortState xmlns:xlrd2="http://schemas.microsoft.com/office/spreadsheetml/2017/richdata2" ref="A2:S2000">
    <sortCondition descending="1" ref="A1:A2000"/>
  </sortState>
  <tableColumns count="19">
    <tableColumn id="1" xr3:uid="{00000000-0010-0000-0000-000001000000}" name="Ngày"/>
    <tableColumn id="2" xr3:uid="{00000000-0010-0000-0000-000002000000}" name="Số chứng từ"/>
    <tableColumn id="3" xr3:uid="{00000000-0010-0000-0000-000003000000}" name="Diễn giải"/>
    <tableColumn id="4" xr3:uid="{00000000-0010-0000-0000-000004000000}" name="Loại (Thu/Chi)"/>
    <tableColumn id="5" xr3:uid="{00000000-0010-0000-0000-000005000000}" name="Hạng mục"/>
    <tableColumn id="6" xr3:uid="{00000000-0010-0000-0000-000006000000}" name="Dự án/Phòng ban"/>
    <tableColumn id="7" xr3:uid="{00000000-0010-0000-0000-000007000000}" name="Người nhận/Nộp"/>
    <tableColumn id="8" xr3:uid="{00000000-0010-0000-0000-000008000000}" name="Hình thức"/>
    <tableColumn id="9" xr3:uid="{00000000-0010-0000-0000-000009000000}" name="Số tiền"/>
    <tableColumn id="10" xr3:uid="{00000000-0010-0000-0000-00000A000000}" name="Thu (+)"/>
    <tableColumn id="11" xr3:uid="{00000000-0010-0000-0000-00000B000000}" name="Chi (-)"/>
    <tableColumn id="12" xr3:uid="{00000000-0010-0000-0000-00000C000000}" name="Tổng Số dư sau GD"/>
    <tableColumn id="13" xr3:uid="{00000000-0010-0000-0000-00000D000000}" name="Số dư tiền mặt"/>
    <tableColumn id="14" xr3:uid="{00000000-0010-0000-0000-00000E000000}" name="Số dư CK"/>
    <tableColumn id="15" xr3:uid="{00000000-0010-0000-0000-00000F000000}" name="Chứng từ"/>
    <tableColumn id="16" xr3:uid="{00000000-0010-0000-0000-000010000000}" name="Ghi chú"/>
    <tableColumn id="17" xr3:uid="{00000000-0010-0000-0000-000011000000}" name="Người lập"/>
    <tableColumn id="18" xr3:uid="{00000000-0010-0000-0000-000012000000}" name="Người duyệt"/>
    <tableColumn id="19" xr3:uid="{00000000-0010-0000-0000-000013000000}" name="Trạng thái"/>
  </tableColumns>
  <tableStyleInfo name="ThuChiVa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00"/>
  <sheetViews>
    <sheetView workbookViewId="0">
      <pane ySplit="1" topLeftCell="A2" activePane="bottomLeft" state="frozen"/>
      <selection pane="bottomLeft" activeCell="M15" sqref="M15"/>
    </sheetView>
  </sheetViews>
  <sheetFormatPr baseColWidth="10" defaultColWidth="14.5" defaultRowHeight="15" customHeight="1" x14ac:dyDescent="0.2"/>
  <cols>
    <col min="1" max="1" width="13.6640625" customWidth="1"/>
    <col min="2" max="2" width="17.5" customWidth="1"/>
    <col min="3" max="3" width="37.1640625" customWidth="1"/>
    <col min="4" max="4" width="17.1640625" customWidth="1"/>
    <col min="5" max="5" width="28.33203125" customWidth="1"/>
    <col min="6" max="6" width="18" hidden="1" customWidth="1"/>
    <col min="7" max="7" width="19.1640625" customWidth="1"/>
    <col min="8" max="8" width="15.33203125" customWidth="1"/>
    <col min="9" max="9" width="15.5" customWidth="1"/>
    <col min="10" max="10" width="14.6640625" customWidth="1"/>
    <col min="11" max="11" width="14.5" customWidth="1"/>
    <col min="12" max="12" width="21.1640625" customWidth="1"/>
    <col min="13" max="13" width="18.33203125" customWidth="1"/>
    <col min="14" max="14" width="17.83203125" customWidth="1"/>
    <col min="15" max="16" width="16.83203125" customWidth="1"/>
    <col min="17" max="17" width="15" customWidth="1"/>
    <col min="18" max="18" width="15.1640625" customWidth="1"/>
    <col min="19" max="19" width="15" customWidth="1"/>
    <col min="20" max="29" width="9" customWidth="1"/>
  </cols>
  <sheetData>
    <row r="1" spans="1:19" ht="22.5" customHeight="1" x14ac:dyDescent="0.2">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spans="1:19" ht="22.5" customHeight="1" x14ac:dyDescent="0.2">
      <c r="A2" s="3">
        <v>46196</v>
      </c>
      <c r="B2" s="4" t="str">
        <f>IF(A2="","","PC-"&amp;TEXT(A2,"mm/yyyy")&amp;"-"&amp;TEXT(COUNTIFS($A$2:A2,"&gt;="&amp;EOMONTH(A2,-1)+1,$A$2:A2,"&lt;="&amp;EOMONTH(A2,0)),"000"))</f>
        <v>PC-06/2026-001</v>
      </c>
      <c r="C2" s="5" t="s">
        <v>1595</v>
      </c>
      <c r="D2" s="5" t="s">
        <v>29</v>
      </c>
      <c r="E2" s="5" t="s">
        <v>64</v>
      </c>
      <c r="F2" s="5"/>
      <c r="G2" s="5" t="s">
        <v>1408</v>
      </c>
      <c r="H2" s="5" t="s">
        <v>23</v>
      </c>
      <c r="I2" s="6">
        <v>2000000</v>
      </c>
      <c r="J2" s="6">
        <f>IF(D2="Thu",I2,0)</f>
        <v>0</v>
      </c>
      <c r="K2" s="6">
        <f>IF(D2="Chi",I2,0)</f>
        <v>2000000</v>
      </c>
      <c r="L2" s="6" t="e">
        <f>L1+J2-K2</f>
        <v>#VALUE!</v>
      </c>
      <c r="M2" s="6">
        <f ca="1">IFERROR(__xludf.DUMMYFUNCTION("SUM(FILTER(J:J, H:H=""Tiền mặt"")) - SUM(FILTER(K:K, H:H=""Tiền mặt""))
"),959000)</f>
        <v>959000</v>
      </c>
      <c r="N2" s="6">
        <f ca="1">IFERROR(__xludf.DUMMYFUNCTION("SUM(FILTER(J:J, H:H=""Chuyển khoản"")) - SUM(FILTER(K:K, H:H=""Chuyển khoản""))
"),4468984)</f>
        <v>4468984</v>
      </c>
      <c r="O2" s="5"/>
      <c r="P2" s="5"/>
      <c r="Q2" s="5"/>
      <c r="R2" s="5"/>
      <c r="S2" s="5"/>
    </row>
    <row r="3" spans="1:19" ht="22.5" customHeight="1" x14ac:dyDescent="0.2">
      <c r="A3" s="3">
        <v>46196</v>
      </c>
      <c r="B3" s="4" t="str">
        <f>IF(A3="","","PC-"&amp;TEXT(A3,"mm/yyyy")&amp;"-"&amp;TEXT(COUNTIFS($A$2:A3,"&gt;="&amp;EOMONTH(A3,-1)+1,$A$2:A3,"&lt;="&amp;EOMONTH(A3,0)),"000"))</f>
        <v>PC-06/2026-002</v>
      </c>
      <c r="C3" s="5" t="s">
        <v>1596</v>
      </c>
      <c r="D3" s="5" t="s">
        <v>29</v>
      </c>
      <c r="E3" s="5" t="s">
        <v>64</v>
      </c>
      <c r="F3" s="5"/>
      <c r="G3" s="5" t="s">
        <v>1408</v>
      </c>
      <c r="H3" s="5" t="s">
        <v>23</v>
      </c>
      <c r="I3" s="6">
        <v>2000000</v>
      </c>
      <c r="J3" s="6">
        <f>IF(D3="Thu",I3,0)</f>
        <v>0</v>
      </c>
      <c r="K3" s="6">
        <f>IF(D3="Chi",I3,0)</f>
        <v>2000000</v>
      </c>
      <c r="L3" s="6" t="e">
        <f>L2+J3-K3</f>
        <v>#VALUE!</v>
      </c>
      <c r="M3" s="6">
        <f ca="1">IFERROR(__xludf.DUMMYFUNCTION("SUM(FILTER(J:J, H:H=""Tiền mặt"")) - SUM(FILTER(K:K, H:H=""Tiền mặt""))
"),959000)</f>
        <v>959000</v>
      </c>
      <c r="N3" s="6">
        <f ca="1">IFERROR(__xludf.DUMMYFUNCTION("SUM(FILTER(J:J, H:H=""Chuyển khoản"")) - SUM(FILTER(K:K, H:H=""Chuyển khoản""))
"),4468984)</f>
        <v>4468984</v>
      </c>
      <c r="O3" s="5"/>
      <c r="P3" s="5"/>
      <c r="Q3" s="5"/>
      <c r="R3" s="5"/>
      <c r="S3" s="5"/>
    </row>
    <row r="4" spans="1:19" ht="22.5" customHeight="1" x14ac:dyDescent="0.2">
      <c r="A4" s="3">
        <v>46196</v>
      </c>
      <c r="B4" s="4" t="str">
        <f>IF(A4="","","PC-"&amp;TEXT(A4,"mm/yyyy")&amp;"-"&amp;TEXT(COUNTIFS($A$2:A4,"&gt;="&amp;EOMONTH(A4,-1)+1,$A$2:A4,"&lt;="&amp;EOMONTH(A4,0)),"000"))</f>
        <v>PC-06/2026-003</v>
      </c>
      <c r="C4" s="5" t="s">
        <v>528</v>
      </c>
      <c r="D4" s="5" t="s">
        <v>29</v>
      </c>
      <c r="E4" s="5" t="s">
        <v>36</v>
      </c>
      <c r="F4" s="5"/>
      <c r="G4" s="5" t="s">
        <v>37</v>
      </c>
      <c r="H4" s="5" t="s">
        <v>23</v>
      </c>
      <c r="I4" s="6">
        <v>130000</v>
      </c>
      <c r="J4" s="6">
        <f>IF(D4="Thu",I4,0)</f>
        <v>0</v>
      </c>
      <c r="K4" s="6">
        <f>IF(D4="Chi",I4,0)</f>
        <v>130000</v>
      </c>
      <c r="L4" s="6" t="e">
        <f>L3+J4-K4</f>
        <v>#VALUE!</v>
      </c>
      <c r="M4" s="6">
        <f ca="1">IFERROR(__xludf.DUMMYFUNCTION("SUM(FILTER(J:J, H:H=""Tiền mặt"")) - SUM(FILTER(K:K, H:H=""Tiền mặt""))
"),959000)</f>
        <v>959000</v>
      </c>
      <c r="N4" s="6">
        <f ca="1">IFERROR(__xludf.DUMMYFUNCTION("SUM(FILTER(J:J, H:H=""Chuyển khoản"")) - SUM(FILTER(K:K, H:H=""Chuyển khoản""))
"),4468984)</f>
        <v>4468984</v>
      </c>
      <c r="O4" s="5"/>
      <c r="P4" s="5"/>
      <c r="Q4" s="5"/>
      <c r="R4" s="5"/>
      <c r="S4" s="5"/>
    </row>
    <row r="5" spans="1:19" ht="22.5" customHeight="1" x14ac:dyDescent="0.2">
      <c r="A5" s="3">
        <v>46196</v>
      </c>
      <c r="B5" s="4" t="str">
        <f>IF(A5="","","PC-"&amp;TEXT(A5,"mm/yyyy")&amp;"-"&amp;TEXT(COUNTIFS($A$2:A5,"&gt;="&amp;EOMONTH(A5,-1)+1,$A$2:A5,"&lt;="&amp;EOMONTH(A5,0)),"000"))</f>
        <v>PC-06/2026-004</v>
      </c>
      <c r="C5" s="5" t="s">
        <v>1597</v>
      </c>
      <c r="D5" s="5" t="s">
        <v>29</v>
      </c>
      <c r="E5" s="5" t="s">
        <v>36</v>
      </c>
      <c r="F5" s="5"/>
      <c r="G5" s="5" t="s">
        <v>37</v>
      </c>
      <c r="H5" s="5" t="s">
        <v>23</v>
      </c>
      <c r="I5" s="6">
        <v>27000</v>
      </c>
      <c r="J5" s="6">
        <f>IF(D5="Thu",I5,0)</f>
        <v>0</v>
      </c>
      <c r="K5" s="6">
        <f>IF(D5="Chi",I5,0)</f>
        <v>27000</v>
      </c>
      <c r="L5" s="6" t="e">
        <f>L4+J5-K5</f>
        <v>#VALUE!</v>
      </c>
      <c r="M5" s="6">
        <f ca="1">IFERROR(__xludf.DUMMYFUNCTION("SUM(FILTER(J:J, H:H=""Tiền mặt"")) - SUM(FILTER(K:K, H:H=""Tiền mặt""))
"),959000)</f>
        <v>959000</v>
      </c>
      <c r="N5" s="6">
        <f ca="1">IFERROR(__xludf.DUMMYFUNCTION("SUM(FILTER(J:J, H:H=""Chuyển khoản"")) - SUM(FILTER(K:K, H:H=""Chuyển khoản""))
"),4468984)</f>
        <v>4468984</v>
      </c>
      <c r="O5" s="5"/>
      <c r="P5" s="5"/>
      <c r="Q5" s="5"/>
      <c r="R5" s="5"/>
      <c r="S5" s="5"/>
    </row>
    <row r="6" spans="1:19" ht="22.5" customHeight="1" x14ac:dyDescent="0.2">
      <c r="A6" s="3">
        <v>46196</v>
      </c>
      <c r="B6" s="4" t="str">
        <f>IF(A6="","","PC-"&amp;TEXT(A6,"mm/yyyy")&amp;"-"&amp;TEXT(COUNTIFS($A$2:A6,"&gt;="&amp;EOMONTH(A6,-1)+1,$A$2:A6,"&lt;="&amp;EOMONTH(A6,0)),"000"))</f>
        <v>PC-06/2026-005</v>
      </c>
      <c r="C6" s="5" t="s">
        <v>1598</v>
      </c>
      <c r="D6" s="5" t="s">
        <v>29</v>
      </c>
      <c r="E6" s="5" t="s">
        <v>41</v>
      </c>
      <c r="F6" s="5"/>
      <c r="G6" s="5" t="s">
        <v>82</v>
      </c>
      <c r="H6" s="5" t="s">
        <v>23</v>
      </c>
      <c r="I6" s="6">
        <v>100000</v>
      </c>
      <c r="J6" s="6">
        <f>IF(D6="Thu",I6,0)</f>
        <v>0</v>
      </c>
      <c r="K6" s="6">
        <f>IF(D6="Chi",I6,0)</f>
        <v>100000</v>
      </c>
      <c r="L6" s="6" t="e">
        <f>L5+J6-K6</f>
        <v>#VALUE!</v>
      </c>
      <c r="M6" s="6">
        <f ca="1">IFERROR(__xludf.DUMMYFUNCTION("SUM(FILTER(J:J, H:H=""Tiền mặt"")) - SUM(FILTER(K:K, H:H=""Tiền mặt""))
"),959000)</f>
        <v>959000</v>
      </c>
      <c r="N6" s="6">
        <f ca="1">IFERROR(__xludf.DUMMYFUNCTION("SUM(FILTER(J:J, H:H=""Chuyển khoản"")) - SUM(FILTER(K:K, H:H=""Chuyển khoản""))
"),4468984)</f>
        <v>4468984</v>
      </c>
      <c r="O6" s="5"/>
      <c r="P6" s="5"/>
      <c r="Q6" s="5"/>
      <c r="R6" s="5"/>
      <c r="S6" s="5"/>
    </row>
    <row r="7" spans="1:19" ht="22.5" customHeight="1" x14ac:dyDescent="0.2">
      <c r="A7" s="3">
        <v>46196</v>
      </c>
      <c r="B7" s="4" t="str">
        <f>IF(A7="","","PC-"&amp;TEXT(A7,"mm/yyyy")&amp;"-"&amp;TEXT(COUNTIFS($A$2:A7,"&gt;="&amp;EOMONTH(A7,-1)+1,$A$2:A7,"&lt;="&amp;EOMONTH(A7,0)),"000"))</f>
        <v>PC-06/2026-006</v>
      </c>
      <c r="C7" s="5" t="s">
        <v>1599</v>
      </c>
      <c r="D7" s="5" t="s">
        <v>29</v>
      </c>
      <c r="E7" s="5" t="s">
        <v>44</v>
      </c>
      <c r="F7" s="5"/>
      <c r="G7" s="5" t="s">
        <v>202</v>
      </c>
      <c r="H7" s="5" t="s">
        <v>23</v>
      </c>
      <c r="I7" s="6">
        <v>1500000</v>
      </c>
      <c r="J7" s="6">
        <f>IF(D7="Thu",I7,0)</f>
        <v>0</v>
      </c>
      <c r="K7" s="6">
        <f>IF(D7="Chi",I7,0)</f>
        <v>1500000</v>
      </c>
      <c r="L7" s="6" t="e">
        <f>L6+J7-K7</f>
        <v>#VALUE!</v>
      </c>
      <c r="M7" s="6">
        <f ca="1">IFERROR(__xludf.DUMMYFUNCTION("SUM(FILTER(J:J, H:H=""Tiền mặt"")) - SUM(FILTER(K:K, H:H=""Tiền mặt""))
"),959000)</f>
        <v>959000</v>
      </c>
      <c r="N7" s="6">
        <f ca="1">IFERROR(__xludf.DUMMYFUNCTION("SUM(FILTER(J:J, H:H=""Chuyển khoản"")) - SUM(FILTER(K:K, H:H=""Chuyển khoản""))
"),4468984)</f>
        <v>4468984</v>
      </c>
      <c r="O7" s="5"/>
      <c r="P7" s="5"/>
      <c r="Q7" s="5"/>
      <c r="R7" s="5"/>
      <c r="S7" s="5"/>
    </row>
    <row r="8" spans="1:19" ht="22.5" customHeight="1" x14ac:dyDescent="0.2">
      <c r="A8" s="3">
        <v>46196</v>
      </c>
      <c r="B8" s="4" t="str">
        <f>IF(A8="","","PC-"&amp;TEXT(A8,"mm/yyyy")&amp;"-"&amp;TEXT(COUNTIFS($A$2:A8,"&gt;="&amp;EOMONTH(A8,-1)+1,$A$2:A8,"&lt;="&amp;EOMONTH(A8,0)),"000"))</f>
        <v>PC-06/2026-007</v>
      </c>
      <c r="C8" s="5" t="s">
        <v>1600</v>
      </c>
      <c r="D8" s="5" t="s">
        <v>29</v>
      </c>
      <c r="E8" s="5" t="s">
        <v>47</v>
      </c>
      <c r="F8" s="5"/>
      <c r="G8" s="5" t="s">
        <v>48</v>
      </c>
      <c r="H8" s="5" t="s">
        <v>23</v>
      </c>
      <c r="I8" s="6">
        <v>50000</v>
      </c>
      <c r="J8" s="6">
        <f>IF(D8="Thu",I8,0)</f>
        <v>0</v>
      </c>
      <c r="K8" s="6">
        <f>IF(D8="Chi",I8,0)</f>
        <v>50000</v>
      </c>
      <c r="L8" s="6" t="e">
        <f>L7+J8-K8</f>
        <v>#VALUE!</v>
      </c>
      <c r="M8" s="6">
        <f ca="1">IFERROR(__xludf.DUMMYFUNCTION("SUM(FILTER(J:J, H:H=""Tiền mặt"")) - SUM(FILTER(K:K, H:H=""Tiền mặt""))
"),959000)</f>
        <v>959000</v>
      </c>
      <c r="N8" s="6">
        <f ca="1">IFERROR(__xludf.DUMMYFUNCTION("SUM(FILTER(J:J, H:H=""Chuyển khoản"")) - SUM(FILTER(K:K, H:H=""Chuyển khoản""))
"),4468984)</f>
        <v>4468984</v>
      </c>
      <c r="O8" s="5"/>
      <c r="P8" s="5"/>
      <c r="Q8" s="5"/>
      <c r="R8" s="5"/>
      <c r="S8" s="5"/>
    </row>
    <row r="9" spans="1:19" ht="22.5" customHeight="1" x14ac:dyDescent="0.2">
      <c r="A9" s="3">
        <v>46195</v>
      </c>
      <c r="B9" s="4" t="str">
        <f>IF(A9="","","PC-"&amp;TEXT(A9,"mm/yyyy")&amp;"-"&amp;TEXT(COUNTIFS($A$2:A9,"&gt;="&amp;EOMONTH(A9,-1)+1,$A$2:A9,"&lt;="&amp;EOMONTH(A9,0)),"000"))</f>
        <v>PC-06/2026-008</v>
      </c>
      <c r="C9" s="5" t="s">
        <v>1579</v>
      </c>
      <c r="D9" s="5" t="s">
        <v>29</v>
      </c>
      <c r="E9" s="5" t="s">
        <v>71</v>
      </c>
      <c r="F9" s="5"/>
      <c r="G9" s="5" t="s">
        <v>1580</v>
      </c>
      <c r="H9" s="5" t="s">
        <v>27</v>
      </c>
      <c r="I9" s="6">
        <v>104000</v>
      </c>
      <c r="J9" s="6">
        <f>IF(D9="Thu",I9,0)</f>
        <v>0</v>
      </c>
      <c r="K9" s="6">
        <f>IF(D9="Chi",I9,0)</f>
        <v>104000</v>
      </c>
      <c r="L9" s="6" t="e">
        <f>L8+J9-K9</f>
        <v>#VALUE!</v>
      </c>
      <c r="M9" s="6">
        <f ca="1">IFERROR(__xludf.DUMMYFUNCTION("SUM(FILTER(J:J, H:H=""Tiền mặt"")) - SUM(FILTER(K:K, H:H=""Tiền mặt""))
"),959000)</f>
        <v>959000</v>
      </c>
      <c r="N9" s="6">
        <f ca="1">IFERROR(__xludf.DUMMYFUNCTION("SUM(FILTER(J:J, H:H=""Chuyển khoản"")) - SUM(FILTER(K:K, H:H=""Chuyển khoản""))
"),4468984)</f>
        <v>4468984</v>
      </c>
      <c r="O9" s="5"/>
      <c r="P9" s="5"/>
      <c r="Q9" s="5"/>
      <c r="R9" s="5"/>
      <c r="S9" s="5"/>
    </row>
    <row r="10" spans="1:19" ht="22.5" customHeight="1" x14ac:dyDescent="0.2">
      <c r="A10" s="3">
        <v>46195</v>
      </c>
      <c r="B10" s="4" t="str">
        <f>IF(A10="","","PC-"&amp;TEXT(A10,"mm/yyyy")&amp;"-"&amp;TEXT(COUNTIFS($A$2:A10,"&gt;="&amp;EOMONTH(A10,-1)+1,$A$2:A10,"&lt;="&amp;EOMONTH(A10,0)),"000"))</f>
        <v>PC-06/2026-009</v>
      </c>
      <c r="C10" s="5" t="s">
        <v>1581</v>
      </c>
      <c r="D10" s="5" t="s">
        <v>20</v>
      </c>
      <c r="E10" s="5" t="s">
        <v>21</v>
      </c>
      <c r="F10" s="5"/>
      <c r="G10" s="5" t="s">
        <v>22</v>
      </c>
      <c r="H10" s="5" t="s">
        <v>23</v>
      </c>
      <c r="I10" s="6">
        <v>1000000</v>
      </c>
      <c r="J10" s="6">
        <f>IF(D10="Thu",I10,0)</f>
        <v>1000000</v>
      </c>
      <c r="K10" s="6">
        <f>IF(D10="Chi",I10,0)</f>
        <v>0</v>
      </c>
      <c r="L10" s="6" t="e">
        <f>L9+J10-K10</f>
        <v>#VALUE!</v>
      </c>
      <c r="M10" s="6">
        <f ca="1">IFERROR(__xludf.DUMMYFUNCTION("SUM(FILTER(J:J, H:H=""Tiền mặt"")) - SUM(FILTER(K:K, H:H=""Tiền mặt""))
"),959000)</f>
        <v>959000</v>
      </c>
      <c r="N10" s="6">
        <f ca="1">IFERROR(__xludf.DUMMYFUNCTION("SUM(FILTER(J:J, H:H=""Chuyển khoản"")) - SUM(FILTER(K:K, H:H=""Chuyển khoản""))
"),4468984)</f>
        <v>4468984</v>
      </c>
      <c r="O10" s="5"/>
      <c r="P10" s="5"/>
      <c r="Q10" s="5"/>
      <c r="R10" s="5"/>
      <c r="S10" s="5"/>
    </row>
    <row r="11" spans="1:19" ht="22.5" customHeight="1" x14ac:dyDescent="0.2">
      <c r="A11" s="3">
        <v>46195</v>
      </c>
      <c r="B11" s="4" t="str">
        <f>IF(A11="","","PC-"&amp;TEXT(A11,"mm/yyyy")&amp;"-"&amp;TEXT(COUNTIFS($A$2:A11,"&gt;="&amp;EOMONTH(A11,-1)+1,$A$2:A11,"&lt;="&amp;EOMONTH(A11,0)),"000"))</f>
        <v>PC-06/2026-010</v>
      </c>
      <c r="C11" s="5" t="s">
        <v>1582</v>
      </c>
      <c r="D11" s="5" t="s">
        <v>29</v>
      </c>
      <c r="E11" s="5" t="s">
        <v>44</v>
      </c>
      <c r="F11" s="5"/>
      <c r="G11" s="5" t="s">
        <v>103</v>
      </c>
      <c r="H11" s="5" t="s">
        <v>23</v>
      </c>
      <c r="I11" s="6">
        <v>1000000</v>
      </c>
      <c r="J11" s="6">
        <f>IF(D11="Thu",I11,0)</f>
        <v>0</v>
      </c>
      <c r="K11" s="6">
        <f>IF(D11="Chi",I11,0)</f>
        <v>1000000</v>
      </c>
      <c r="L11" s="6" t="e">
        <f>L10+J11-K11</f>
        <v>#VALUE!</v>
      </c>
      <c r="M11" s="6">
        <f ca="1">IFERROR(__xludf.DUMMYFUNCTION("SUM(FILTER(J:J, H:H=""Tiền mặt"")) - SUM(FILTER(K:K, H:H=""Tiền mặt""))
"),959000)</f>
        <v>959000</v>
      </c>
      <c r="N11" s="6">
        <f ca="1">IFERROR(__xludf.DUMMYFUNCTION("SUM(FILTER(J:J, H:H=""Chuyển khoản"")) - SUM(FILTER(K:K, H:H=""Chuyển khoản""))
"),4468984)</f>
        <v>4468984</v>
      </c>
      <c r="O11" s="5"/>
      <c r="P11" s="5"/>
      <c r="Q11" s="5"/>
      <c r="R11" s="5"/>
      <c r="S11" s="5"/>
    </row>
    <row r="12" spans="1:19" ht="22.5" customHeight="1" x14ac:dyDescent="0.2">
      <c r="A12" s="3">
        <v>46195</v>
      </c>
      <c r="B12" s="4" t="str">
        <f>IF(A12="","","PC-"&amp;TEXT(A12,"mm/yyyy")&amp;"-"&amp;TEXT(COUNTIFS($A$2:A12,"&gt;="&amp;EOMONTH(A12,-1)+1,$A$2:A12,"&lt;="&amp;EOMONTH(A12,0)),"000"))</f>
        <v>PC-06/2026-011</v>
      </c>
      <c r="C12" s="5" t="s">
        <v>1387</v>
      </c>
      <c r="D12" s="5" t="s">
        <v>29</v>
      </c>
      <c r="E12" s="5" t="s">
        <v>47</v>
      </c>
      <c r="F12" s="5"/>
      <c r="G12" s="5" t="s">
        <v>48</v>
      </c>
      <c r="H12" s="5" t="s">
        <v>23</v>
      </c>
      <c r="I12" s="6">
        <v>50000</v>
      </c>
      <c r="J12" s="6">
        <f>IF(D12="Thu",I12,0)</f>
        <v>0</v>
      </c>
      <c r="K12" s="6">
        <f>IF(D12="Chi",I12,0)</f>
        <v>50000</v>
      </c>
      <c r="L12" s="6" t="e">
        <f>L11+J12-K12</f>
        <v>#VALUE!</v>
      </c>
      <c r="M12" s="6">
        <f ca="1">IFERROR(__xludf.DUMMYFUNCTION("SUM(FILTER(J:J, H:H=""Tiền mặt"")) - SUM(FILTER(K:K, H:H=""Tiền mặt""))
"),959000)</f>
        <v>959000</v>
      </c>
      <c r="N12" s="6">
        <f ca="1">IFERROR(__xludf.DUMMYFUNCTION("SUM(FILTER(J:J, H:H=""Chuyển khoản"")) - SUM(FILTER(K:K, H:H=""Chuyển khoản""))
"),4468984)</f>
        <v>4468984</v>
      </c>
      <c r="O12" s="5"/>
      <c r="P12" s="5"/>
      <c r="Q12" s="5"/>
      <c r="R12" s="5"/>
      <c r="S12" s="5"/>
    </row>
    <row r="13" spans="1:19" ht="22.5" customHeight="1" x14ac:dyDescent="0.2">
      <c r="A13" s="3">
        <v>46195</v>
      </c>
      <c r="B13" s="4" t="str">
        <f>IF(A13="","","PC-"&amp;TEXT(A13,"mm/yyyy")&amp;"-"&amp;TEXT(COUNTIFS($A$2:A13,"&gt;="&amp;EOMONTH(A13,-1)+1,$A$2:A13,"&lt;="&amp;EOMONTH(A13,0)),"000"))</f>
        <v>PC-06/2026-012</v>
      </c>
      <c r="C13" s="5" t="s">
        <v>1583</v>
      </c>
      <c r="D13" s="5" t="s">
        <v>20</v>
      </c>
      <c r="E13" s="5" t="s">
        <v>21</v>
      </c>
      <c r="F13" s="5"/>
      <c r="G13" s="5" t="s">
        <v>22</v>
      </c>
      <c r="H13" s="5" t="s">
        <v>23</v>
      </c>
      <c r="I13" s="6">
        <v>1500000</v>
      </c>
      <c r="J13" s="6">
        <f>IF(D13="Thu",I13,0)</f>
        <v>1500000</v>
      </c>
      <c r="K13" s="6">
        <f>IF(D13="Chi",I13,0)</f>
        <v>0</v>
      </c>
      <c r="L13" s="6" t="e">
        <f>L12+J13-K13</f>
        <v>#VALUE!</v>
      </c>
      <c r="M13" s="6">
        <f ca="1">IFERROR(__xludf.DUMMYFUNCTION("SUM(FILTER(J:J, H:H=""Tiền mặt"")) - SUM(FILTER(K:K, H:H=""Tiền mặt""))
"),959000)</f>
        <v>959000</v>
      </c>
      <c r="N13" s="6">
        <f ca="1">IFERROR(__xludf.DUMMYFUNCTION("SUM(FILTER(J:J, H:H=""Chuyển khoản"")) - SUM(FILTER(K:K, H:H=""Chuyển khoản""))
"),4468984)</f>
        <v>4468984</v>
      </c>
      <c r="O13" s="5"/>
      <c r="P13" s="5"/>
      <c r="Q13" s="5"/>
      <c r="R13" s="5"/>
      <c r="S13" s="5"/>
    </row>
    <row r="14" spans="1:19" ht="22.5" customHeight="1" x14ac:dyDescent="0.2">
      <c r="A14" s="3">
        <v>46195</v>
      </c>
      <c r="B14" s="4" t="str">
        <f>IF(A14="","","PC-"&amp;TEXT(A14,"mm/yyyy")&amp;"-"&amp;TEXT(COUNTIFS($A$2:A14,"&gt;="&amp;EOMONTH(A14,-1)+1,$A$2:A14,"&lt;="&amp;EOMONTH(A14,0)),"000"))</f>
        <v>PC-06/2026-013</v>
      </c>
      <c r="C14" s="5" t="s">
        <v>1584</v>
      </c>
      <c r="D14" s="5" t="s">
        <v>29</v>
      </c>
      <c r="E14" s="5" t="s">
        <v>44</v>
      </c>
      <c r="F14" s="5"/>
      <c r="G14" s="5" t="s">
        <v>93</v>
      </c>
      <c r="H14" s="5" t="s">
        <v>23</v>
      </c>
      <c r="I14" s="6">
        <v>1500000</v>
      </c>
      <c r="J14" s="6">
        <f>IF(D14="Thu",I14,0)</f>
        <v>0</v>
      </c>
      <c r="K14" s="6">
        <f>IF(D14="Chi",I14,0)</f>
        <v>1500000</v>
      </c>
      <c r="L14" s="6" t="e">
        <f>L13+J14-K14</f>
        <v>#VALUE!</v>
      </c>
      <c r="M14" s="6">
        <f ca="1">IFERROR(__xludf.DUMMYFUNCTION("SUM(FILTER(J:J, H:H=""Tiền mặt"")) - SUM(FILTER(K:K, H:H=""Tiền mặt""))
"),959000)</f>
        <v>959000</v>
      </c>
      <c r="N14" s="6">
        <f ca="1">IFERROR(__xludf.DUMMYFUNCTION("SUM(FILTER(J:J, H:H=""Chuyển khoản"")) - SUM(FILTER(K:K, H:H=""Chuyển khoản""))
"),4468984)</f>
        <v>4468984</v>
      </c>
      <c r="O14" s="5"/>
      <c r="P14" s="5"/>
      <c r="Q14" s="5"/>
      <c r="R14" s="5"/>
      <c r="S14" s="5"/>
    </row>
    <row r="15" spans="1:19" ht="22.5" customHeight="1" x14ac:dyDescent="0.2">
      <c r="A15" s="3">
        <v>46195</v>
      </c>
      <c r="B15" s="4" t="str">
        <f>IF(A15="","","PC-"&amp;TEXT(A15,"mm/yyyy")&amp;"-"&amp;TEXT(COUNTIFS($A$2:A15,"&gt;="&amp;EOMONTH(A15,-1)+1,$A$2:A15,"&lt;="&amp;EOMONTH(A15,0)),"000"))</f>
        <v>PC-06/2026-014</v>
      </c>
      <c r="C15" s="5" t="s">
        <v>1585</v>
      </c>
      <c r="D15" s="5" t="s">
        <v>29</v>
      </c>
      <c r="E15" s="5" t="s">
        <v>47</v>
      </c>
      <c r="F15" s="5"/>
      <c r="G15" s="5" t="s">
        <v>48</v>
      </c>
      <c r="H15" s="5" t="s">
        <v>23</v>
      </c>
      <c r="I15" s="6">
        <v>50000</v>
      </c>
      <c r="J15" s="6">
        <f>IF(D15="Thu",I15,0)</f>
        <v>0</v>
      </c>
      <c r="K15" s="6">
        <f>IF(D15="Chi",I15,0)</f>
        <v>50000</v>
      </c>
      <c r="L15" s="6" t="e">
        <f>L14+J15-K15</f>
        <v>#VALUE!</v>
      </c>
      <c r="M15" s="6">
        <f ca="1">IFERROR(__xludf.DUMMYFUNCTION("SUM(FILTER(J:J, H:H=""Tiền mặt"")) - SUM(FILTER(K:K, H:H=""Tiền mặt""))
"),959000)</f>
        <v>959000</v>
      </c>
      <c r="N15" s="6">
        <f ca="1">IFERROR(__xludf.DUMMYFUNCTION("SUM(FILTER(J:J, H:H=""Chuyển khoản"")) - SUM(FILTER(K:K, H:H=""Chuyển khoản""))
"),4468984)</f>
        <v>4468984</v>
      </c>
      <c r="O15" s="5"/>
      <c r="P15" s="5"/>
      <c r="Q15" s="5"/>
      <c r="R15" s="5"/>
      <c r="S15" s="5"/>
    </row>
    <row r="16" spans="1:19" ht="22.5" customHeight="1" x14ac:dyDescent="0.2">
      <c r="A16" s="3">
        <v>46195</v>
      </c>
      <c r="B16" s="4" t="str">
        <f>IF(A16="","","PC-"&amp;TEXT(A16,"mm/yyyy")&amp;"-"&amp;TEXT(COUNTIFS($A$2:A16,"&gt;="&amp;EOMONTH(A16,-1)+1,$A$2:A16,"&lt;="&amp;EOMONTH(A16,0)),"000"))</f>
        <v>PC-06/2026-015</v>
      </c>
      <c r="C16" s="5" t="s">
        <v>1586</v>
      </c>
      <c r="D16" s="5" t="s">
        <v>29</v>
      </c>
      <c r="E16" s="5" t="s">
        <v>41</v>
      </c>
      <c r="F16" s="5"/>
      <c r="G16" s="5" t="s">
        <v>1587</v>
      </c>
      <c r="H16" s="5" t="s">
        <v>23</v>
      </c>
      <c r="I16" s="6">
        <v>100000</v>
      </c>
      <c r="J16" s="6">
        <f>IF(D16="Thu",I16,0)</f>
        <v>0</v>
      </c>
      <c r="K16" s="6">
        <f>IF(D16="Chi",I16,0)</f>
        <v>100000</v>
      </c>
      <c r="L16" s="6" t="e">
        <f>L15+J16-K16</f>
        <v>#VALUE!</v>
      </c>
      <c r="M16" s="6">
        <f ca="1">IFERROR(__xludf.DUMMYFUNCTION("SUM(FILTER(J:J, H:H=""Tiền mặt"")) - SUM(FILTER(K:K, H:H=""Tiền mặt""))
"),959000)</f>
        <v>959000</v>
      </c>
      <c r="N16" s="6">
        <f ca="1">IFERROR(__xludf.DUMMYFUNCTION("SUM(FILTER(J:J, H:H=""Chuyển khoản"")) - SUM(FILTER(K:K, H:H=""Chuyển khoản""))
"),4468984)</f>
        <v>4468984</v>
      </c>
      <c r="O16" s="5"/>
      <c r="P16" s="5"/>
      <c r="Q16" s="5"/>
      <c r="R16" s="5"/>
      <c r="S16" s="5"/>
    </row>
    <row r="17" spans="1:19" ht="22.5" customHeight="1" x14ac:dyDescent="0.2">
      <c r="A17" s="3">
        <v>46195</v>
      </c>
      <c r="B17" s="4" t="str">
        <f>IF(A17="","","PC-"&amp;TEXT(A17,"mm/yyyy")&amp;"-"&amp;TEXT(COUNTIFS($A$2:A17,"&gt;="&amp;EOMONTH(A17,-1)+1,$A$2:A17,"&lt;="&amp;EOMONTH(A17,0)),"000"))</f>
        <v>PC-06/2026-016</v>
      </c>
      <c r="C17" s="5" t="s">
        <v>1588</v>
      </c>
      <c r="D17" s="5" t="s">
        <v>20</v>
      </c>
      <c r="E17" s="5" t="s">
        <v>21</v>
      </c>
      <c r="F17" s="5"/>
      <c r="G17" s="5" t="s">
        <v>22</v>
      </c>
      <c r="H17" s="5" t="s">
        <v>23</v>
      </c>
      <c r="I17" s="6">
        <v>3000000</v>
      </c>
      <c r="J17" s="6">
        <f>IF(D17="Thu",I17,0)</f>
        <v>3000000</v>
      </c>
      <c r="K17" s="6">
        <f>IF(D17="Chi",I17,0)</f>
        <v>0</v>
      </c>
      <c r="L17" s="6" t="e">
        <f>L16+J17-K17</f>
        <v>#VALUE!</v>
      </c>
      <c r="M17" s="6">
        <f ca="1">IFERROR(__xludf.DUMMYFUNCTION("SUM(FILTER(J:J, H:H=""Tiền mặt"")) - SUM(FILTER(K:K, H:H=""Tiền mặt""))
"),959000)</f>
        <v>959000</v>
      </c>
      <c r="N17" s="6">
        <f ca="1">IFERROR(__xludf.DUMMYFUNCTION("SUM(FILTER(J:J, H:H=""Chuyển khoản"")) - SUM(FILTER(K:K, H:H=""Chuyển khoản""))
"),4468984)</f>
        <v>4468984</v>
      </c>
      <c r="O17" s="5"/>
      <c r="P17" s="5"/>
      <c r="Q17" s="5"/>
      <c r="R17" s="5"/>
      <c r="S17" s="5"/>
    </row>
    <row r="18" spans="1:19" ht="22.5" customHeight="1" x14ac:dyDescent="0.2">
      <c r="A18" s="3">
        <v>46195</v>
      </c>
      <c r="B18" s="4" t="str">
        <f>IF(A18="","","PC-"&amp;TEXT(A18,"mm/yyyy")&amp;"-"&amp;TEXT(COUNTIFS($A$2:A18,"&gt;="&amp;EOMONTH(A18,-1)+1,$A$2:A18,"&lt;="&amp;EOMONTH(A18,0)),"000"))</f>
        <v>PC-06/2026-017</v>
      </c>
      <c r="C18" s="5" t="s">
        <v>1589</v>
      </c>
      <c r="D18" s="5" t="s">
        <v>29</v>
      </c>
      <c r="E18" s="5" t="s">
        <v>64</v>
      </c>
      <c r="F18" s="5"/>
      <c r="G18" s="5" t="s">
        <v>426</v>
      </c>
      <c r="H18" s="5" t="s">
        <v>23</v>
      </c>
      <c r="I18" s="6">
        <v>300000</v>
      </c>
      <c r="J18" s="6">
        <f>IF(D18="Thu",I18,0)</f>
        <v>0</v>
      </c>
      <c r="K18" s="6">
        <f>IF(D18="Chi",I18,0)</f>
        <v>300000</v>
      </c>
      <c r="L18" s="6" t="e">
        <f>L17+J18-K18</f>
        <v>#VALUE!</v>
      </c>
      <c r="M18" s="6">
        <f ca="1">IFERROR(__xludf.DUMMYFUNCTION("SUM(FILTER(J:J, H:H=""Tiền mặt"")) - SUM(FILTER(K:K, H:H=""Tiền mặt""))
"),959000)</f>
        <v>959000</v>
      </c>
      <c r="N18" s="6">
        <f ca="1">IFERROR(__xludf.DUMMYFUNCTION("SUM(FILTER(J:J, H:H=""Chuyển khoản"")) - SUM(FILTER(K:K, H:H=""Chuyển khoản""))
"),4468984)</f>
        <v>4468984</v>
      </c>
      <c r="O18" s="5"/>
      <c r="P18" s="5"/>
      <c r="Q18" s="5"/>
      <c r="R18" s="5"/>
      <c r="S18" s="5"/>
    </row>
    <row r="19" spans="1:19" ht="22.5" customHeight="1" x14ac:dyDescent="0.2">
      <c r="A19" s="3">
        <v>46195</v>
      </c>
      <c r="B19" s="4" t="str">
        <f>IF(A19="","","PC-"&amp;TEXT(A19,"mm/yyyy")&amp;"-"&amp;TEXT(COUNTIFS($A$2:A19,"&gt;="&amp;EOMONTH(A19,-1)+1,$A$2:A19,"&lt;="&amp;EOMONTH(A19,0)),"000"))</f>
        <v>PC-06/2026-018</v>
      </c>
      <c r="C19" s="5" t="s">
        <v>1590</v>
      </c>
      <c r="D19" s="5" t="s">
        <v>29</v>
      </c>
      <c r="E19" s="5" t="s">
        <v>64</v>
      </c>
      <c r="F19" s="5"/>
      <c r="G19" s="5" t="s">
        <v>426</v>
      </c>
      <c r="H19" s="5" t="s">
        <v>23</v>
      </c>
      <c r="I19" s="6">
        <v>300000</v>
      </c>
      <c r="J19" s="6">
        <f>IF(D19="Thu",I19,0)</f>
        <v>0</v>
      </c>
      <c r="K19" s="6">
        <f>IF(D19="Chi",I19,0)</f>
        <v>300000</v>
      </c>
      <c r="L19" s="6" t="e">
        <f>L18+J19-K19</f>
        <v>#VALUE!</v>
      </c>
      <c r="M19" s="6">
        <f ca="1">IFERROR(__xludf.DUMMYFUNCTION("SUM(FILTER(J:J, H:H=""Tiền mặt"")) - SUM(FILTER(K:K, H:H=""Tiền mặt""))
"),959000)</f>
        <v>959000</v>
      </c>
      <c r="N19" s="6">
        <f ca="1">IFERROR(__xludf.DUMMYFUNCTION("SUM(FILTER(J:J, H:H=""Chuyển khoản"")) - SUM(FILTER(K:K, H:H=""Chuyển khoản""))
"),4468984)</f>
        <v>4468984</v>
      </c>
      <c r="O19" s="5"/>
      <c r="P19" s="5"/>
      <c r="Q19" s="5"/>
      <c r="R19" s="5"/>
      <c r="S19" s="5"/>
    </row>
    <row r="20" spans="1:19" ht="22.5" customHeight="1" x14ac:dyDescent="0.2">
      <c r="A20" s="3">
        <v>46195</v>
      </c>
      <c r="B20" s="4" t="str">
        <f>IF(A20="","","PC-"&amp;TEXT(A20,"mm/yyyy")&amp;"-"&amp;TEXT(COUNTIFS($A$2:A20,"&gt;="&amp;EOMONTH(A20,-1)+1,$A$2:A20,"&lt;="&amp;EOMONTH(A20,0)),"000"))</f>
        <v>PC-06/2026-019</v>
      </c>
      <c r="C20" s="5" t="s">
        <v>1591</v>
      </c>
      <c r="D20" s="5" t="s">
        <v>29</v>
      </c>
      <c r="E20" s="5" t="s">
        <v>64</v>
      </c>
      <c r="F20" s="5"/>
      <c r="G20" s="5" t="s">
        <v>426</v>
      </c>
      <c r="H20" s="5" t="s">
        <v>23</v>
      </c>
      <c r="I20" s="6">
        <v>300000</v>
      </c>
      <c r="J20" s="6">
        <f>IF(D20="Thu",I20,0)</f>
        <v>0</v>
      </c>
      <c r="K20" s="6">
        <f>IF(D20="Chi",I20,0)</f>
        <v>300000</v>
      </c>
      <c r="L20" s="6" t="e">
        <f>L19+J20-K20</f>
        <v>#VALUE!</v>
      </c>
      <c r="M20" s="6">
        <f ca="1">IFERROR(__xludf.DUMMYFUNCTION("SUM(FILTER(J:J, H:H=""Tiền mặt"")) - SUM(FILTER(K:K, H:H=""Tiền mặt""))
"),959000)</f>
        <v>959000</v>
      </c>
      <c r="N20" s="6">
        <f ca="1">IFERROR(__xludf.DUMMYFUNCTION("SUM(FILTER(J:J, H:H=""Chuyển khoản"")) - SUM(FILTER(K:K, H:H=""Chuyển khoản""))
"),4468984)</f>
        <v>4468984</v>
      </c>
      <c r="O20" s="5"/>
      <c r="P20" s="5"/>
      <c r="Q20" s="5"/>
      <c r="R20" s="5"/>
      <c r="S20" s="5"/>
    </row>
    <row r="21" spans="1:19" ht="15.75" customHeight="1" x14ac:dyDescent="0.2">
      <c r="A21" s="3">
        <v>46195</v>
      </c>
      <c r="B21" s="4" t="str">
        <f>IF(A21="","","PC-"&amp;TEXT(A21,"mm/yyyy")&amp;"-"&amp;TEXT(COUNTIFS($A$2:A21,"&gt;="&amp;EOMONTH(A21,-1)+1,$A$2:A21,"&lt;="&amp;EOMONTH(A21,0)),"000"))</f>
        <v>PC-06/2026-020</v>
      </c>
      <c r="C21" s="5" t="s">
        <v>1592</v>
      </c>
      <c r="D21" s="5" t="s">
        <v>29</v>
      </c>
      <c r="E21" s="5" t="s">
        <v>88</v>
      </c>
      <c r="F21" s="5"/>
      <c r="G21" s="5" t="s">
        <v>571</v>
      </c>
      <c r="H21" s="5" t="s">
        <v>23</v>
      </c>
      <c r="I21" s="6">
        <v>154000</v>
      </c>
      <c r="J21" s="6">
        <f>IF(D21="Thu",I21,0)</f>
        <v>0</v>
      </c>
      <c r="K21" s="6">
        <f>IF(D21="Chi",I21,0)</f>
        <v>154000</v>
      </c>
      <c r="L21" s="6" t="e">
        <f>L20+J21-K21</f>
        <v>#VALUE!</v>
      </c>
      <c r="M21" s="6">
        <f ca="1">IFERROR(__xludf.DUMMYFUNCTION("SUM(FILTER(J:J, H:H=""Tiền mặt"")) - SUM(FILTER(K:K, H:H=""Tiền mặt""))
"),959000)</f>
        <v>959000</v>
      </c>
      <c r="N21" s="6">
        <f ca="1">IFERROR(__xludf.DUMMYFUNCTION("SUM(FILTER(J:J, H:H=""Chuyển khoản"")) - SUM(FILTER(K:K, H:H=""Chuyển khoản""))
"),4468984)</f>
        <v>4468984</v>
      </c>
      <c r="O21" s="5"/>
      <c r="P21" s="5"/>
      <c r="Q21" s="5"/>
      <c r="R21" s="5"/>
      <c r="S21" s="5"/>
    </row>
    <row r="22" spans="1:19" ht="15.75" customHeight="1" x14ac:dyDescent="0.2">
      <c r="A22" s="3">
        <v>46195</v>
      </c>
      <c r="B22" s="4" t="str">
        <f>IF(A22="","","PC-"&amp;TEXT(A22,"mm/yyyy")&amp;"-"&amp;TEXT(COUNTIFS($A$2:A22,"&gt;="&amp;EOMONTH(A22,-1)+1,$A$2:A22,"&lt;="&amp;EOMONTH(A22,0)),"000"))</f>
        <v>PC-06/2026-021</v>
      </c>
      <c r="C22" s="5" t="s">
        <v>1593</v>
      </c>
      <c r="D22" s="5" t="s">
        <v>29</v>
      </c>
      <c r="E22" s="5" t="s">
        <v>41</v>
      </c>
      <c r="F22" s="5"/>
      <c r="G22" s="5" t="s">
        <v>82</v>
      </c>
      <c r="H22" s="5" t="s">
        <v>23</v>
      </c>
      <c r="I22" s="6">
        <v>100000</v>
      </c>
      <c r="J22" s="6">
        <f>IF(D22="Thu",I22,0)</f>
        <v>0</v>
      </c>
      <c r="K22" s="6">
        <f>IF(D22="Chi",I22,0)</f>
        <v>100000</v>
      </c>
      <c r="L22" s="6" t="e">
        <f>L21+J22-K22</f>
        <v>#VALUE!</v>
      </c>
      <c r="M22" s="6">
        <f ca="1">IFERROR(__xludf.DUMMYFUNCTION("SUM(FILTER(J:J, H:H=""Tiền mặt"")) - SUM(FILTER(K:K, H:H=""Tiền mặt""))
"),959000)</f>
        <v>959000</v>
      </c>
      <c r="N22" s="6">
        <f ca="1">IFERROR(__xludf.DUMMYFUNCTION("SUM(FILTER(J:J, H:H=""Chuyển khoản"")) - SUM(FILTER(K:K, H:H=""Chuyển khoản""))
"),4468984)</f>
        <v>4468984</v>
      </c>
      <c r="O22" s="5"/>
      <c r="P22" s="5"/>
      <c r="Q22" s="5"/>
      <c r="R22" s="5"/>
      <c r="S22" s="5"/>
    </row>
    <row r="23" spans="1:19" ht="15.75" customHeight="1" x14ac:dyDescent="0.2">
      <c r="A23" s="3">
        <v>46195</v>
      </c>
      <c r="B23" s="4" t="str">
        <f>IF(A23="","","PC-"&amp;TEXT(A23,"mm/yyyy")&amp;"-"&amp;TEXT(COUNTIFS($A$2:A23,"&gt;="&amp;EOMONTH(A23,-1)+1,$A$2:A23,"&lt;="&amp;EOMONTH(A23,0)),"000"))</f>
        <v>PC-06/2026-022</v>
      </c>
      <c r="C23" s="5" t="s">
        <v>1594</v>
      </c>
      <c r="D23" s="5" t="s">
        <v>29</v>
      </c>
      <c r="E23" s="5" t="s">
        <v>141</v>
      </c>
      <c r="F23" s="5"/>
      <c r="G23" s="5" t="s">
        <v>52</v>
      </c>
      <c r="H23" s="5" t="s">
        <v>27</v>
      </c>
      <c r="I23" s="6">
        <v>2168000</v>
      </c>
      <c r="J23" s="6">
        <f>IF(D23="Thu",I23,0)</f>
        <v>0</v>
      </c>
      <c r="K23" s="6">
        <f>IF(D23="Chi",I23,0)</f>
        <v>2168000</v>
      </c>
      <c r="L23" s="6" t="e">
        <f>L22+J23-K23</f>
        <v>#VALUE!</v>
      </c>
      <c r="M23" s="6">
        <f ca="1">IFERROR(__xludf.DUMMYFUNCTION("SUM(FILTER(J:J, H:H=""Tiền mặt"")) - SUM(FILTER(K:K, H:H=""Tiền mặt""))
"),959000)</f>
        <v>959000</v>
      </c>
      <c r="N23" s="6">
        <f ca="1">IFERROR(__xludf.DUMMYFUNCTION("SUM(FILTER(J:J, H:H=""Chuyển khoản"")) - SUM(FILTER(K:K, H:H=""Chuyển khoản""))
"),4468984)</f>
        <v>4468984</v>
      </c>
      <c r="O23" s="5"/>
      <c r="P23" s="5"/>
      <c r="Q23" s="5"/>
      <c r="R23" s="5"/>
      <c r="S23" s="5"/>
    </row>
    <row r="24" spans="1:19" ht="15.75" customHeight="1" x14ac:dyDescent="0.2">
      <c r="A24" s="3">
        <v>46193</v>
      </c>
      <c r="B24" s="4" t="str">
        <f>IF(A24="","","PC-"&amp;TEXT(A24,"mm/yyyy")&amp;"-"&amp;TEXT(COUNTIFS($A$2:A24,"&gt;="&amp;EOMONTH(A24,-1)+1,$A$2:A24,"&lt;="&amp;EOMONTH(A24,0)),"000"))</f>
        <v>PC-06/2026-023</v>
      </c>
      <c r="C24" s="5" t="s">
        <v>168</v>
      </c>
      <c r="D24" s="5" t="s">
        <v>29</v>
      </c>
      <c r="E24" s="5" t="s">
        <v>153</v>
      </c>
      <c r="F24" s="5"/>
      <c r="G24" s="5" t="s">
        <v>72</v>
      </c>
      <c r="H24" s="5" t="s">
        <v>27</v>
      </c>
      <c r="I24" s="6">
        <v>347000</v>
      </c>
      <c r="J24" s="6">
        <f>IF(D24="Thu",I24,0)</f>
        <v>0</v>
      </c>
      <c r="K24" s="6">
        <f>IF(D24="Chi",I24,0)</f>
        <v>347000</v>
      </c>
      <c r="L24" s="6" t="e">
        <f>L23+J24-K24</f>
        <v>#VALUE!</v>
      </c>
      <c r="M24" s="6">
        <f ca="1">IFERROR(__xludf.DUMMYFUNCTION("SUM(FILTER(J:J, H:H=""Tiền mặt"")) - SUM(FILTER(K:K, H:H=""Tiền mặt""))
"),959000)</f>
        <v>959000</v>
      </c>
      <c r="N24" s="6">
        <f ca="1">IFERROR(__xludf.DUMMYFUNCTION("SUM(FILTER(J:J, H:H=""Chuyển khoản"")) - SUM(FILTER(K:K, H:H=""Chuyển khoản""))
"),4468984)</f>
        <v>4468984</v>
      </c>
      <c r="O24" s="5"/>
      <c r="P24" s="5"/>
      <c r="Q24" s="5"/>
      <c r="R24" s="5"/>
      <c r="S24" s="5"/>
    </row>
    <row r="25" spans="1:19" ht="15.75" customHeight="1" x14ac:dyDescent="0.2">
      <c r="A25" s="3">
        <v>46193</v>
      </c>
      <c r="B25" s="4" t="str">
        <f>IF(A25="","","PC-"&amp;TEXT(A25,"mm/yyyy")&amp;"-"&amp;TEXT(COUNTIFS($A$2:A25,"&gt;="&amp;EOMONTH(A25,-1)+1,$A$2:A25,"&lt;="&amp;EOMONTH(A25,0)),"000"))</f>
        <v>PC-06/2026-024</v>
      </c>
      <c r="C25" s="5" t="s">
        <v>554</v>
      </c>
      <c r="D25" s="5" t="s">
        <v>29</v>
      </c>
      <c r="E25" s="5" t="s">
        <v>153</v>
      </c>
      <c r="F25" s="5"/>
      <c r="G25" s="5" t="s">
        <v>1578</v>
      </c>
      <c r="H25" s="5" t="s">
        <v>27</v>
      </c>
      <c r="I25" s="6">
        <v>1155000</v>
      </c>
      <c r="J25" s="6">
        <f>IF(D25="Thu",I25,0)</f>
        <v>0</v>
      </c>
      <c r="K25" s="6">
        <f>IF(D25="Chi",I25,0)</f>
        <v>1155000</v>
      </c>
      <c r="L25" s="6" t="e">
        <f>L24+J25-K25</f>
        <v>#VALUE!</v>
      </c>
      <c r="M25" s="6">
        <f ca="1">IFERROR(__xludf.DUMMYFUNCTION("SUM(FILTER(J:J, H:H=""Tiền mặt"")) - SUM(FILTER(K:K, H:H=""Tiền mặt""))
"),959000)</f>
        <v>959000</v>
      </c>
      <c r="N25" s="6">
        <f ca="1">IFERROR(__xludf.DUMMYFUNCTION("SUM(FILTER(J:J, H:H=""Chuyển khoản"")) - SUM(FILTER(K:K, H:H=""Chuyển khoản""))
"),4468984)</f>
        <v>4468984</v>
      </c>
      <c r="O25" s="5"/>
      <c r="P25" s="5"/>
      <c r="Q25" s="5"/>
      <c r="R25" s="5"/>
      <c r="S25" s="5"/>
    </row>
    <row r="26" spans="1:19" ht="15.75" customHeight="1" x14ac:dyDescent="0.2">
      <c r="A26" s="3">
        <v>46192</v>
      </c>
      <c r="B26" s="4" t="str">
        <f>IF(A26="","","PC-"&amp;TEXT(A26,"mm/yyyy")&amp;"-"&amp;TEXT(COUNTIFS($A$2:A26,"&gt;="&amp;EOMONTH(A26,-1)+1,$A$2:A26,"&lt;="&amp;EOMONTH(A26,0)),"000"))</f>
        <v>PC-06/2026-025</v>
      </c>
      <c r="C26" s="5" t="s">
        <v>1561</v>
      </c>
      <c r="D26" s="5" t="s">
        <v>29</v>
      </c>
      <c r="E26" s="5" t="s">
        <v>71</v>
      </c>
      <c r="F26" s="5"/>
      <c r="G26" s="5" t="s">
        <v>912</v>
      </c>
      <c r="H26" s="5" t="s">
        <v>27</v>
      </c>
      <c r="I26" s="6">
        <v>58000</v>
      </c>
      <c r="J26" s="6">
        <f>IF(D26="Thu",I26,0)</f>
        <v>0</v>
      </c>
      <c r="K26" s="6">
        <f>IF(D26="Chi",I26,0)</f>
        <v>58000</v>
      </c>
      <c r="L26" s="6" t="e">
        <f>L25+J26-K26</f>
        <v>#VALUE!</v>
      </c>
      <c r="M26" s="6">
        <f ca="1">IFERROR(__xludf.DUMMYFUNCTION("SUM(FILTER(J:J, H:H=""Tiền mặt"")) - SUM(FILTER(K:K, H:H=""Tiền mặt""))
"),959000)</f>
        <v>959000</v>
      </c>
      <c r="N26" s="6">
        <f ca="1">IFERROR(__xludf.DUMMYFUNCTION("SUM(FILTER(J:J, H:H=""Chuyển khoản"")) - SUM(FILTER(K:K, H:H=""Chuyển khoản""))
"),4468984)</f>
        <v>4468984</v>
      </c>
      <c r="O26" s="5"/>
      <c r="P26" s="5"/>
      <c r="Q26" s="5"/>
      <c r="R26" s="5"/>
      <c r="S26" s="5"/>
    </row>
    <row r="27" spans="1:19" ht="15.75" customHeight="1" x14ac:dyDescent="0.2">
      <c r="A27" s="3">
        <v>46192</v>
      </c>
      <c r="B27" s="4" t="str">
        <f>IF(A27="","","PC-"&amp;TEXT(A27,"mm/yyyy")&amp;"-"&amp;TEXT(COUNTIFS($A$2:A27,"&gt;="&amp;EOMONTH(A27,-1)+1,$A$2:A27,"&lt;="&amp;EOMONTH(A27,0)),"000"))</f>
        <v>PC-06/2026-026</v>
      </c>
      <c r="C27" s="5" t="s">
        <v>1562</v>
      </c>
      <c r="D27" s="5" t="s">
        <v>29</v>
      </c>
      <c r="E27" s="5" t="s">
        <v>30</v>
      </c>
      <c r="F27" s="5"/>
      <c r="G27" s="5" t="s">
        <v>72</v>
      </c>
      <c r="H27" s="5" t="s">
        <v>27</v>
      </c>
      <c r="I27" s="6">
        <v>107000</v>
      </c>
      <c r="J27" s="6">
        <f>IF(D27="Thu",I27,0)</f>
        <v>0</v>
      </c>
      <c r="K27" s="6">
        <f>IF(D27="Chi",I27,0)</f>
        <v>107000</v>
      </c>
      <c r="L27" s="6" t="e">
        <f>L26+J27-K27</f>
        <v>#VALUE!</v>
      </c>
      <c r="M27" s="6">
        <f ca="1">IFERROR(__xludf.DUMMYFUNCTION("SUM(FILTER(J:J, H:H=""Tiền mặt"")) - SUM(FILTER(K:K, H:H=""Tiền mặt""))
"),959000)</f>
        <v>959000</v>
      </c>
      <c r="N27" s="6">
        <f ca="1">IFERROR(__xludf.DUMMYFUNCTION("SUM(FILTER(J:J, H:H=""Chuyển khoản"")) - SUM(FILTER(K:K, H:H=""Chuyển khoản""))
"),4468984)</f>
        <v>4468984</v>
      </c>
      <c r="O27" s="5"/>
      <c r="P27" s="5"/>
      <c r="Q27" s="5"/>
      <c r="R27" s="5"/>
      <c r="S27" s="5"/>
    </row>
    <row r="28" spans="1:19" ht="15.75" customHeight="1" x14ac:dyDescent="0.2">
      <c r="A28" s="3">
        <v>46192</v>
      </c>
      <c r="B28" s="4" t="str">
        <f>IF(A28="","","PC-"&amp;TEXT(A28,"mm/yyyy")&amp;"-"&amp;TEXT(COUNTIFS($A$2:A28,"&gt;="&amp;EOMONTH(A28,-1)+1,$A$2:A28,"&lt;="&amp;EOMONTH(A28,0)),"000"))</f>
        <v>PC-06/2026-027</v>
      </c>
      <c r="C28" s="5" t="s">
        <v>1563</v>
      </c>
      <c r="D28" s="5" t="s">
        <v>29</v>
      </c>
      <c r="E28" s="5" t="s">
        <v>41</v>
      </c>
      <c r="F28" s="5"/>
      <c r="G28" s="5" t="s">
        <v>82</v>
      </c>
      <c r="H28" s="5" t="s">
        <v>23</v>
      </c>
      <c r="I28" s="6">
        <v>100000</v>
      </c>
      <c r="J28" s="6">
        <f>IF(D28="Thu",I28,0)</f>
        <v>0</v>
      </c>
      <c r="K28" s="6">
        <f>IF(D28="Chi",I28,0)</f>
        <v>100000</v>
      </c>
      <c r="L28" s="6" t="e">
        <f>L27+J28-K28</f>
        <v>#VALUE!</v>
      </c>
      <c r="M28" s="6">
        <f ca="1">IFERROR(__xludf.DUMMYFUNCTION("SUM(FILTER(J:J, H:H=""Tiền mặt"")) - SUM(FILTER(K:K, H:H=""Tiền mặt""))
"),959000)</f>
        <v>959000</v>
      </c>
      <c r="N28" s="6">
        <f ca="1">IFERROR(__xludf.DUMMYFUNCTION("SUM(FILTER(J:J, H:H=""Chuyển khoản"")) - SUM(FILTER(K:K, H:H=""Chuyển khoản""))
"),4468984)</f>
        <v>4468984</v>
      </c>
      <c r="O28" s="5"/>
      <c r="P28" s="5"/>
      <c r="Q28" s="5"/>
      <c r="R28" s="5"/>
      <c r="S28" s="5"/>
    </row>
    <row r="29" spans="1:19" ht="15.75" customHeight="1" x14ac:dyDescent="0.2">
      <c r="A29" s="3">
        <v>46192</v>
      </c>
      <c r="B29" s="4" t="str">
        <f>IF(A29="","","PC-"&amp;TEXT(A29,"mm/yyyy")&amp;"-"&amp;TEXT(COUNTIFS($A$2:A29,"&gt;="&amp;EOMONTH(A29,-1)+1,$A$2:A29,"&lt;="&amp;EOMONTH(A29,0)),"000"))</f>
        <v>PC-06/2026-028</v>
      </c>
      <c r="C29" s="5" t="s">
        <v>1547</v>
      </c>
      <c r="D29" s="51" t="s">
        <v>29</v>
      </c>
      <c r="E29" s="51" t="s">
        <v>47</v>
      </c>
      <c r="F29" s="51"/>
      <c r="G29" s="5" t="s">
        <v>48</v>
      </c>
      <c r="H29" s="51" t="s">
        <v>23</v>
      </c>
      <c r="I29" s="62">
        <v>50000</v>
      </c>
      <c r="J29" s="6">
        <f>IF(D29="Thu",I29,0)</f>
        <v>0</v>
      </c>
      <c r="K29" s="6">
        <f>IF(D29="Chi",I29,0)</f>
        <v>50000</v>
      </c>
      <c r="L29" s="6" t="e">
        <f>L28+J29-K29</f>
        <v>#VALUE!</v>
      </c>
      <c r="M29" s="6">
        <f ca="1">IFERROR(__xludf.DUMMYFUNCTION("SUM(FILTER(J:J, H:H=""Tiền mặt"")) - SUM(FILTER(K:K, H:H=""Tiền mặt""))
"),959000)</f>
        <v>959000</v>
      </c>
      <c r="N29" s="6">
        <f ca="1">IFERROR(__xludf.DUMMYFUNCTION("SUM(FILTER(J:J, H:H=""Chuyển khoản"")) - SUM(FILTER(K:K, H:H=""Chuyển khoản""))
"),4468984)</f>
        <v>4468984</v>
      </c>
      <c r="O29" s="5"/>
      <c r="P29" s="5"/>
      <c r="Q29" s="5"/>
      <c r="R29" s="5"/>
      <c r="S29" s="5"/>
    </row>
    <row r="30" spans="1:19" ht="15.75" customHeight="1" x14ac:dyDescent="0.2">
      <c r="A30" s="3">
        <v>46192</v>
      </c>
      <c r="B30" s="4" t="str">
        <f>IF(A30="","","PC-"&amp;TEXT(A30,"mm/yyyy")&amp;"-"&amp;TEXT(COUNTIFS($A$2:A30,"&gt;="&amp;EOMONTH(A30,-1)+1,$A$2:A30,"&lt;="&amp;EOMONTH(A30,0)),"000"))</f>
        <v>PC-06/2026-029</v>
      </c>
      <c r="C30" s="5" t="s">
        <v>1564</v>
      </c>
      <c r="D30" s="5" t="s">
        <v>29</v>
      </c>
      <c r="E30" s="5" t="s">
        <v>75</v>
      </c>
      <c r="F30" s="5"/>
      <c r="G30" s="5" t="s">
        <v>1565</v>
      </c>
      <c r="H30" s="5" t="s">
        <v>23</v>
      </c>
      <c r="I30" s="6">
        <v>900000</v>
      </c>
      <c r="J30" s="6">
        <f>IF(D30="Thu",I30,0)</f>
        <v>0</v>
      </c>
      <c r="K30" s="6">
        <f>IF(D30="Chi",I30,0)</f>
        <v>900000</v>
      </c>
      <c r="L30" s="6" t="e">
        <f>L29+J30-K30</f>
        <v>#VALUE!</v>
      </c>
      <c r="M30" s="6">
        <f ca="1">IFERROR(__xludf.DUMMYFUNCTION("SUM(FILTER(J:J, H:H=""Tiền mặt"")) - SUM(FILTER(K:K, H:H=""Tiền mặt""))
"),959000)</f>
        <v>959000</v>
      </c>
      <c r="N30" s="6">
        <f ca="1">IFERROR(__xludf.DUMMYFUNCTION("SUM(FILTER(J:J, H:H=""Chuyển khoản"")) - SUM(FILTER(K:K, H:H=""Chuyển khoản""))
"),4468984)</f>
        <v>4468984</v>
      </c>
      <c r="O30" s="5"/>
      <c r="P30" s="5"/>
      <c r="Q30" s="5"/>
      <c r="R30" s="5"/>
      <c r="S30" s="5"/>
    </row>
    <row r="31" spans="1:19" ht="15.75" customHeight="1" x14ac:dyDescent="0.2">
      <c r="A31" s="3">
        <v>46192</v>
      </c>
      <c r="B31" s="4" t="str">
        <f>IF(A31="","","PC-"&amp;TEXT(A31,"mm/yyyy")&amp;"-"&amp;TEXT(COUNTIFS($A$2:A31,"&gt;="&amp;EOMONTH(A31,-1)+1,$A$2:A31,"&lt;="&amp;EOMONTH(A31,0)),"000"))</f>
        <v>PC-06/2026-030</v>
      </c>
      <c r="C31" s="7" t="s">
        <v>1566</v>
      </c>
      <c r="D31" s="5" t="s">
        <v>29</v>
      </c>
      <c r="E31" s="5" t="s">
        <v>61</v>
      </c>
      <c r="F31" s="5"/>
      <c r="G31" s="5" t="s">
        <v>347</v>
      </c>
      <c r="H31" s="5" t="s">
        <v>23</v>
      </c>
      <c r="I31" s="6">
        <v>2000000</v>
      </c>
      <c r="J31" s="6">
        <f>IF(D31="Thu",I31,0)</f>
        <v>0</v>
      </c>
      <c r="K31" s="6">
        <f>IF(D31="Chi",I31,0)</f>
        <v>2000000</v>
      </c>
      <c r="L31" s="6" t="e">
        <f>L30+J31-K31</f>
        <v>#VALUE!</v>
      </c>
      <c r="M31" s="6">
        <f ca="1">IFERROR(__xludf.DUMMYFUNCTION("SUM(FILTER(J:J, H:H=""Tiền mặt"")) - SUM(FILTER(K:K, H:H=""Tiền mặt""))
"),959000)</f>
        <v>959000</v>
      </c>
      <c r="N31" s="6">
        <f ca="1">IFERROR(__xludf.DUMMYFUNCTION("SUM(FILTER(J:J, H:H=""Chuyển khoản"")) - SUM(FILTER(K:K, H:H=""Chuyển khoản""))
"),4468984)</f>
        <v>4468984</v>
      </c>
      <c r="O31" s="5"/>
      <c r="P31" s="5"/>
      <c r="Q31" s="5"/>
      <c r="R31" s="5"/>
      <c r="S31" s="5"/>
    </row>
    <row r="32" spans="1:19" ht="15.75" customHeight="1" x14ac:dyDescent="0.2">
      <c r="A32" s="3">
        <v>46192</v>
      </c>
      <c r="B32" s="4" t="str">
        <f>IF(A32="","","PC-"&amp;TEXT(A32,"mm/yyyy")&amp;"-"&amp;TEXT(COUNTIFS($A$2:A32,"&gt;="&amp;EOMONTH(A32,-1)+1,$A$2:A32,"&lt;="&amp;EOMONTH(A32,0)),"000"))</f>
        <v>PC-06/2026-031</v>
      </c>
      <c r="C32" s="5" t="s">
        <v>1567</v>
      </c>
      <c r="D32" s="5" t="s">
        <v>29</v>
      </c>
      <c r="E32" s="5" t="s">
        <v>41</v>
      </c>
      <c r="F32" s="5"/>
      <c r="G32" s="5" t="s">
        <v>82</v>
      </c>
      <c r="H32" s="5" t="s">
        <v>23</v>
      </c>
      <c r="I32" s="6">
        <v>100000</v>
      </c>
      <c r="J32" s="6">
        <f>IF(D32="Thu",I32,0)</f>
        <v>0</v>
      </c>
      <c r="K32" s="6">
        <f>IF(D32="Chi",I32,0)</f>
        <v>100000</v>
      </c>
      <c r="L32" s="6" t="e">
        <f>L31+J32-K32</f>
        <v>#VALUE!</v>
      </c>
      <c r="M32" s="6">
        <f ca="1">IFERROR(__xludf.DUMMYFUNCTION("SUM(FILTER(J:J, H:H=""Tiền mặt"")) - SUM(FILTER(K:K, H:H=""Tiền mặt""))
"),959000)</f>
        <v>959000</v>
      </c>
      <c r="N32" s="6">
        <f ca="1">IFERROR(__xludf.DUMMYFUNCTION("SUM(FILTER(J:J, H:H=""Chuyển khoản"")) - SUM(FILTER(K:K, H:H=""Chuyển khoản""))
"),4468984)</f>
        <v>4468984</v>
      </c>
      <c r="O32" s="5"/>
      <c r="P32" s="5"/>
      <c r="Q32" s="5"/>
      <c r="R32" s="5"/>
      <c r="S32" s="5"/>
    </row>
    <row r="33" spans="1:19" ht="15.75" customHeight="1" x14ac:dyDescent="0.2">
      <c r="A33" s="3">
        <v>46192</v>
      </c>
      <c r="B33" s="4" t="str">
        <f>IF(A33="","","PC-"&amp;TEXT(A33,"mm/yyyy")&amp;"-"&amp;TEXT(COUNTIFS($A$2:A33,"&gt;="&amp;EOMONTH(A33,-1)+1,$A$2:A33,"&lt;="&amp;EOMONTH(A33,0)),"000"))</f>
        <v>PC-06/2026-032</v>
      </c>
      <c r="C33" s="5" t="s">
        <v>1568</v>
      </c>
      <c r="D33" s="5" t="s">
        <v>29</v>
      </c>
      <c r="E33" s="5" t="s">
        <v>51</v>
      </c>
      <c r="F33" s="5"/>
      <c r="G33" s="5" t="s">
        <v>52</v>
      </c>
      <c r="H33" s="5" t="s">
        <v>27</v>
      </c>
      <c r="I33" s="6">
        <v>154071</v>
      </c>
      <c r="J33" s="6">
        <f>IF(D33="Thu",I33,0)</f>
        <v>0</v>
      </c>
      <c r="K33" s="6">
        <f>IF(D33="Chi",I33,0)</f>
        <v>154071</v>
      </c>
      <c r="L33" s="6" t="e">
        <f>L32+J33-K33</f>
        <v>#VALUE!</v>
      </c>
      <c r="M33" s="6">
        <f ca="1">IFERROR(__xludf.DUMMYFUNCTION("SUM(FILTER(J:J, H:H=""Tiền mặt"")) - SUM(FILTER(K:K, H:H=""Tiền mặt""))
"),959000)</f>
        <v>959000</v>
      </c>
      <c r="N33" s="6">
        <f ca="1">IFERROR(__xludf.DUMMYFUNCTION("SUM(FILTER(J:J, H:H=""Chuyển khoản"")) - SUM(FILTER(K:K, H:H=""Chuyển khoản""))
"),4468984)</f>
        <v>4468984</v>
      </c>
      <c r="O33" s="5"/>
      <c r="P33" s="5"/>
      <c r="Q33" s="5"/>
      <c r="R33" s="5"/>
      <c r="S33" s="5"/>
    </row>
    <row r="34" spans="1:19" ht="15.75" customHeight="1" x14ac:dyDescent="0.2">
      <c r="A34" s="49">
        <v>46192</v>
      </c>
      <c r="B34" s="4" t="str">
        <f>IF(A34="","","PC-"&amp;TEXT(A34,"mm/yyyy")&amp;"-"&amp;TEXT(COUNTIFS($A$2:A34,"&gt;="&amp;EOMONTH(A34,-1)+1,$A$2:A34,"&lt;="&amp;EOMONTH(A34,0)),"000"))</f>
        <v>PC-06/2026-033</v>
      </c>
      <c r="C34" s="51" t="s">
        <v>1569</v>
      </c>
      <c r="D34" s="51" t="s">
        <v>29</v>
      </c>
      <c r="E34" s="51" t="s">
        <v>71</v>
      </c>
      <c r="F34" s="51"/>
      <c r="G34" s="5" t="s">
        <v>1570</v>
      </c>
      <c r="H34" s="51" t="s">
        <v>27</v>
      </c>
      <c r="I34" s="62">
        <v>63000</v>
      </c>
      <c r="J34" s="6">
        <f>IF(D34="Thu",I34,0)</f>
        <v>0</v>
      </c>
      <c r="K34" s="6">
        <f>IF(D34="Chi",I34,0)</f>
        <v>63000</v>
      </c>
      <c r="L34" s="6" t="e">
        <f>L33+J34-K34</f>
        <v>#VALUE!</v>
      </c>
      <c r="M34" s="6">
        <f ca="1">IFERROR(__xludf.DUMMYFUNCTION("SUM(FILTER(J:J, H:H=""Tiền mặt"")) - SUM(FILTER(K:K, H:H=""Tiền mặt""))
"),959000)</f>
        <v>959000</v>
      </c>
      <c r="N34" s="6">
        <f ca="1">IFERROR(__xludf.DUMMYFUNCTION("SUM(FILTER(J:J, H:H=""Chuyển khoản"")) - SUM(FILTER(K:K, H:H=""Chuyển khoản""))
"),4468984)</f>
        <v>4468984</v>
      </c>
      <c r="O34" s="5"/>
      <c r="P34" s="5"/>
      <c r="Q34" s="5"/>
      <c r="R34" s="5"/>
      <c r="S34" s="5"/>
    </row>
    <row r="35" spans="1:19" ht="15.75" customHeight="1" x14ac:dyDescent="0.2">
      <c r="A35" s="3">
        <v>46192</v>
      </c>
      <c r="B35" s="4" t="str">
        <f>IF(A35="","","PC-"&amp;TEXT(A35,"mm/yyyy")&amp;"-"&amp;TEXT(COUNTIFS($A$2:A35,"&gt;="&amp;EOMONTH(A35,-1)+1,$A$2:A35,"&lt;="&amp;EOMONTH(A35,0)),"000"))</f>
        <v>PC-06/2026-034</v>
      </c>
      <c r="C35" s="5" t="s">
        <v>1571</v>
      </c>
      <c r="D35" s="5" t="s">
        <v>20</v>
      </c>
      <c r="E35" s="5" t="s">
        <v>21</v>
      </c>
      <c r="F35" s="5"/>
      <c r="G35" s="5" t="s">
        <v>22</v>
      </c>
      <c r="H35" s="5" t="s">
        <v>27</v>
      </c>
      <c r="I35" s="6">
        <v>10000000</v>
      </c>
      <c r="J35" s="6">
        <f>IF(D35="Thu",I35,0)</f>
        <v>10000000</v>
      </c>
      <c r="K35" s="6">
        <f>IF(D35="Chi",I35,0)</f>
        <v>0</v>
      </c>
      <c r="L35" s="6" t="e">
        <f>L34+J35-K35</f>
        <v>#VALUE!</v>
      </c>
      <c r="M35" s="6">
        <f ca="1">IFERROR(__xludf.DUMMYFUNCTION("SUM(FILTER(J:J, H:H=""Tiền mặt"")) - SUM(FILTER(K:K, H:H=""Tiền mặt""))
"),959000)</f>
        <v>959000</v>
      </c>
      <c r="N35" s="6">
        <f ca="1">IFERROR(__xludf.DUMMYFUNCTION("SUM(FILTER(J:J, H:H=""Chuyển khoản"")) - SUM(FILTER(K:K, H:H=""Chuyển khoản""))
"),4468984)</f>
        <v>4468984</v>
      </c>
      <c r="O35" s="5"/>
      <c r="P35" s="5"/>
      <c r="Q35" s="5"/>
      <c r="R35" s="5"/>
      <c r="S35" s="5"/>
    </row>
    <row r="36" spans="1:19" ht="15.75" customHeight="1" x14ac:dyDescent="0.2">
      <c r="A36" s="3">
        <v>46192</v>
      </c>
      <c r="B36" s="4" t="str">
        <f>IF(A36="","","PC-"&amp;TEXT(A36,"mm/yyyy")&amp;"-"&amp;TEXT(COUNTIFS($A$2:A36,"&gt;="&amp;EOMONTH(A36,-1)+1,$A$2:A36,"&lt;="&amp;EOMONTH(A36,0)),"000"))</f>
        <v>PC-06/2026-035</v>
      </c>
      <c r="C36" s="5" t="s">
        <v>1572</v>
      </c>
      <c r="D36" s="5" t="s">
        <v>29</v>
      </c>
      <c r="E36" s="5" t="s">
        <v>153</v>
      </c>
      <c r="F36" s="5"/>
      <c r="G36" s="5" t="s">
        <v>1573</v>
      </c>
      <c r="H36" s="5" t="s">
        <v>27</v>
      </c>
      <c r="I36" s="6">
        <v>3855000</v>
      </c>
      <c r="J36" s="6">
        <f>IF(D36="Thu",I36,0)</f>
        <v>0</v>
      </c>
      <c r="K36" s="6">
        <f>IF(D36="Chi",I36,0)</f>
        <v>3855000</v>
      </c>
      <c r="L36" s="6" t="e">
        <f>L35+J36-K36</f>
        <v>#VALUE!</v>
      </c>
      <c r="M36" s="6">
        <f ca="1">IFERROR(__xludf.DUMMYFUNCTION("SUM(FILTER(J:J, H:H=""Tiền mặt"")) - SUM(FILTER(K:K, H:H=""Tiền mặt""))
"),959000)</f>
        <v>959000</v>
      </c>
      <c r="N36" s="6">
        <f ca="1">IFERROR(__xludf.DUMMYFUNCTION("SUM(FILTER(J:J, H:H=""Chuyển khoản"")) - SUM(FILTER(K:K, H:H=""Chuyển khoản""))
"),4468984)</f>
        <v>4468984</v>
      </c>
      <c r="O36" s="5"/>
      <c r="P36" s="5"/>
      <c r="Q36" s="5"/>
      <c r="R36" s="5"/>
      <c r="S36" s="5"/>
    </row>
    <row r="37" spans="1:19" ht="15.75" customHeight="1" x14ac:dyDescent="0.2">
      <c r="A37" s="3">
        <v>46192</v>
      </c>
      <c r="B37" s="4" t="str">
        <f>IF(A37="","","PC-"&amp;TEXT(A37,"mm/yyyy")&amp;"-"&amp;TEXT(COUNTIFS($A$2:A37,"&gt;="&amp;EOMONTH(A37,-1)+1,$A$2:A37,"&lt;="&amp;EOMONTH(A37,0)),"000"))</f>
        <v>PC-06/2026-036</v>
      </c>
      <c r="C37" s="5" t="s">
        <v>1574</v>
      </c>
      <c r="D37" s="5" t="s">
        <v>29</v>
      </c>
      <c r="E37" s="5" t="s">
        <v>153</v>
      </c>
      <c r="F37" s="5"/>
      <c r="G37" s="5" t="s">
        <v>1575</v>
      </c>
      <c r="H37" s="5" t="s">
        <v>27</v>
      </c>
      <c r="I37" s="6">
        <v>2523000</v>
      </c>
      <c r="J37" s="6">
        <f>IF(D37="Thu",I37,0)</f>
        <v>0</v>
      </c>
      <c r="K37" s="6">
        <f>IF(D37="Chi",I37,0)</f>
        <v>2523000</v>
      </c>
      <c r="L37" s="6" t="e">
        <f>L36+J37-K37</f>
        <v>#VALUE!</v>
      </c>
      <c r="M37" s="6">
        <f ca="1">IFERROR(__xludf.DUMMYFUNCTION("SUM(FILTER(J:J, H:H=""Tiền mặt"")) - SUM(FILTER(K:K, H:H=""Tiền mặt""))
"),959000)</f>
        <v>959000</v>
      </c>
      <c r="N37" s="6">
        <f ca="1">IFERROR(__xludf.DUMMYFUNCTION("SUM(FILTER(J:J, H:H=""Chuyển khoản"")) - SUM(FILTER(K:K, H:H=""Chuyển khoản""))
"),4468984)</f>
        <v>4468984</v>
      </c>
      <c r="O37" s="5"/>
      <c r="P37" s="5"/>
      <c r="Q37" s="5"/>
      <c r="R37" s="5"/>
      <c r="S37" s="5"/>
    </row>
    <row r="38" spans="1:19" ht="15.75" customHeight="1" x14ac:dyDescent="0.2">
      <c r="A38" s="3">
        <v>46192</v>
      </c>
      <c r="B38" s="4" t="str">
        <f>IF(A38="","","PC-"&amp;TEXT(A38,"mm/yyyy")&amp;"-"&amp;TEXT(COUNTIFS($A$2:A38,"&gt;="&amp;EOMONTH(A38,-1)+1,$A$2:A38,"&lt;="&amp;EOMONTH(A38,0)),"000"))</f>
        <v>PC-06/2026-037</v>
      </c>
      <c r="C38" s="5" t="s">
        <v>1576</v>
      </c>
      <c r="D38" s="5" t="s">
        <v>29</v>
      </c>
      <c r="E38" s="5" t="s">
        <v>71</v>
      </c>
      <c r="F38" s="5"/>
      <c r="G38" s="5" t="s">
        <v>72</v>
      </c>
      <c r="H38" s="5" t="s">
        <v>27</v>
      </c>
      <c r="I38" s="6">
        <v>81000</v>
      </c>
      <c r="J38" s="6">
        <f>IF(D38="Thu",I38,0)</f>
        <v>0</v>
      </c>
      <c r="K38" s="6">
        <f>IF(D38="Chi",I38,0)</f>
        <v>81000</v>
      </c>
      <c r="L38" s="6" t="e">
        <f>L37+J38-K38</f>
        <v>#VALUE!</v>
      </c>
      <c r="M38" s="6">
        <f ca="1">IFERROR(__xludf.DUMMYFUNCTION("SUM(FILTER(J:J, H:H=""Tiền mặt"")) - SUM(FILTER(K:K, H:H=""Tiền mặt""))
"),959000)</f>
        <v>959000</v>
      </c>
      <c r="N38" s="6">
        <f ca="1">IFERROR(__xludf.DUMMYFUNCTION("SUM(FILTER(J:J, H:H=""Chuyển khoản"")) - SUM(FILTER(K:K, H:H=""Chuyển khoản""))
"),4468984)</f>
        <v>4468984</v>
      </c>
      <c r="O38" s="5"/>
      <c r="P38" s="5"/>
      <c r="Q38" s="5"/>
      <c r="R38" s="5"/>
      <c r="S38" s="5"/>
    </row>
    <row r="39" spans="1:19" ht="15.75" customHeight="1" x14ac:dyDescent="0.2">
      <c r="A39" s="3">
        <v>46192</v>
      </c>
      <c r="B39" s="4" t="str">
        <f>IF(A39="","","PC-"&amp;TEXT(A39,"mm/yyyy")&amp;"-"&amp;TEXT(COUNTIFS($A$2:A39,"&gt;="&amp;EOMONTH(A39,-1)+1,$A$2:A39,"&lt;="&amp;EOMONTH(A39,0)),"000"))</f>
        <v>PC-06/2026-038</v>
      </c>
      <c r="C39" s="5" t="s">
        <v>1577</v>
      </c>
      <c r="D39" s="5" t="s">
        <v>29</v>
      </c>
      <c r="E39" s="5" t="s">
        <v>64</v>
      </c>
      <c r="F39" s="5"/>
      <c r="G39" s="5" t="s">
        <v>273</v>
      </c>
      <c r="H39" s="5" t="s">
        <v>27</v>
      </c>
      <c r="I39" s="6">
        <v>100000</v>
      </c>
      <c r="J39" s="6">
        <f>IF(D39="Thu",I39,0)</f>
        <v>0</v>
      </c>
      <c r="K39" s="6">
        <f>IF(D39="Chi",I39,0)</f>
        <v>100000</v>
      </c>
      <c r="L39" s="6" t="e">
        <f>L38+J39-K39</f>
        <v>#VALUE!</v>
      </c>
      <c r="M39" s="6">
        <f ca="1">IFERROR(__xludf.DUMMYFUNCTION("SUM(FILTER(J:J, H:H=""Tiền mặt"")) - SUM(FILTER(K:K, H:H=""Tiền mặt""))
"),959000)</f>
        <v>959000</v>
      </c>
      <c r="N39" s="6">
        <f ca="1">IFERROR(__xludf.DUMMYFUNCTION("SUM(FILTER(J:J, H:H=""Chuyển khoản"")) - SUM(FILTER(K:K, H:H=""Chuyển khoản""))
"),4468984)</f>
        <v>4468984</v>
      </c>
      <c r="O39" s="5"/>
      <c r="P39" s="5"/>
      <c r="Q39" s="5"/>
      <c r="R39" s="5"/>
      <c r="S39" s="5"/>
    </row>
    <row r="40" spans="1:19" ht="15.75" customHeight="1" x14ac:dyDescent="0.2">
      <c r="A40" s="3">
        <v>46191</v>
      </c>
      <c r="B40" s="4" t="str">
        <f>IF(A40="","","PC-"&amp;TEXT(A40,"mm/yyyy")&amp;"-"&amp;TEXT(COUNTIFS($A$2:A40,"&gt;="&amp;EOMONTH(A40,-1)+1,$A$2:A40,"&lt;="&amp;EOMONTH(A40,0)),"000"))</f>
        <v>PC-06/2026-039</v>
      </c>
      <c r="C40" s="5" t="s">
        <v>1546</v>
      </c>
      <c r="D40" s="5" t="s">
        <v>29</v>
      </c>
      <c r="E40" s="5" t="s">
        <v>44</v>
      </c>
      <c r="F40" s="5"/>
      <c r="G40" s="5" t="s">
        <v>718</v>
      </c>
      <c r="H40" s="5" t="s">
        <v>23</v>
      </c>
      <c r="I40" s="6">
        <v>1500000</v>
      </c>
      <c r="J40" s="6">
        <f>IF(D40="Thu",I40,0)</f>
        <v>0</v>
      </c>
      <c r="K40" s="6">
        <f>IF(D40="Chi",I40,0)</f>
        <v>1500000</v>
      </c>
      <c r="L40" s="6" t="e">
        <f>L39+J40-K40</f>
        <v>#VALUE!</v>
      </c>
      <c r="M40" s="6">
        <f ca="1">IFERROR(__xludf.DUMMYFUNCTION("SUM(FILTER(J:J, H:H=""Tiền mặt"")) - SUM(FILTER(K:K, H:H=""Tiền mặt""))
"),959000)</f>
        <v>959000</v>
      </c>
      <c r="N40" s="6">
        <f ca="1">IFERROR(__xludf.DUMMYFUNCTION("SUM(FILTER(J:J, H:H=""Chuyển khoản"")) - SUM(FILTER(K:K, H:H=""Chuyển khoản""))
"),4468984)</f>
        <v>4468984</v>
      </c>
      <c r="O40" s="5"/>
      <c r="P40" s="5"/>
      <c r="Q40" s="5"/>
      <c r="R40" s="5"/>
      <c r="S40" s="5"/>
    </row>
    <row r="41" spans="1:19" ht="15.75" customHeight="1" x14ac:dyDescent="0.2">
      <c r="A41" s="3">
        <v>46191</v>
      </c>
      <c r="B41" s="4" t="str">
        <f>IF(A41="","","PC-"&amp;TEXT(A41,"mm/yyyy")&amp;"-"&amp;TEXT(COUNTIFS($A$2:A41,"&gt;="&amp;EOMONTH(A41,-1)+1,$A$2:A41,"&lt;="&amp;EOMONTH(A41,0)),"000"))</f>
        <v>PC-06/2026-040</v>
      </c>
      <c r="C41" s="5" t="s">
        <v>1547</v>
      </c>
      <c r="D41" s="5" t="s">
        <v>29</v>
      </c>
      <c r="E41" s="5" t="s">
        <v>47</v>
      </c>
      <c r="F41" s="5"/>
      <c r="G41" s="5" t="s">
        <v>48</v>
      </c>
      <c r="H41" s="5" t="s">
        <v>23</v>
      </c>
      <c r="I41" s="6">
        <v>50000</v>
      </c>
      <c r="J41" s="6">
        <f>IF(D41="Thu",I41,0)</f>
        <v>0</v>
      </c>
      <c r="K41" s="6">
        <f>IF(D41="Chi",I41,0)</f>
        <v>50000</v>
      </c>
      <c r="L41" s="6" t="e">
        <f>L40+J41-K41</f>
        <v>#VALUE!</v>
      </c>
      <c r="M41" s="6">
        <f ca="1">IFERROR(__xludf.DUMMYFUNCTION("SUM(FILTER(J:J, H:H=""Tiền mặt"")) - SUM(FILTER(K:K, H:H=""Tiền mặt""))
"),959000)</f>
        <v>959000</v>
      </c>
      <c r="N41" s="6">
        <f ca="1">IFERROR(__xludf.DUMMYFUNCTION("SUM(FILTER(J:J, H:H=""Chuyển khoản"")) - SUM(FILTER(K:K, H:H=""Chuyển khoản""))
"),4468984)</f>
        <v>4468984</v>
      </c>
      <c r="O41" s="5"/>
      <c r="P41" s="5"/>
      <c r="Q41" s="5"/>
      <c r="R41" s="5"/>
      <c r="S41" s="5"/>
    </row>
    <row r="42" spans="1:19" ht="15.75" customHeight="1" x14ac:dyDescent="0.2">
      <c r="A42" s="3">
        <v>46191</v>
      </c>
      <c r="B42" s="4" t="str">
        <f>IF(A42="","","PC-"&amp;TEXT(A42,"mm/yyyy")&amp;"-"&amp;TEXT(COUNTIFS($A$2:A42,"&gt;="&amp;EOMONTH(A42,-1)+1,$A$2:A42,"&lt;="&amp;EOMONTH(A42,0)),"000"))</f>
        <v>PC-06/2026-041</v>
      </c>
      <c r="C42" s="5" t="s">
        <v>1548</v>
      </c>
      <c r="D42" s="5" t="s">
        <v>29</v>
      </c>
      <c r="E42" s="5" t="s">
        <v>41</v>
      </c>
      <c r="F42" s="5"/>
      <c r="G42" s="5" t="s">
        <v>82</v>
      </c>
      <c r="H42" s="5" t="s">
        <v>23</v>
      </c>
      <c r="I42" s="6">
        <v>100000</v>
      </c>
      <c r="J42" s="6">
        <f>IF(D42="Thu",I42,0)</f>
        <v>0</v>
      </c>
      <c r="K42" s="6">
        <f>IF(D42="Chi",I42,0)</f>
        <v>100000</v>
      </c>
      <c r="L42" s="6" t="e">
        <f>L41+J42-K42</f>
        <v>#VALUE!</v>
      </c>
      <c r="M42" s="6">
        <f ca="1">IFERROR(__xludf.DUMMYFUNCTION("SUM(FILTER(J:J, H:H=""Tiền mặt"")) - SUM(FILTER(K:K, H:H=""Tiền mặt""))
"),959000)</f>
        <v>959000</v>
      </c>
      <c r="N42" s="6">
        <f ca="1">IFERROR(__xludf.DUMMYFUNCTION("SUM(FILTER(J:J, H:H=""Chuyển khoản"")) - SUM(FILTER(K:K, H:H=""Chuyển khoản""))
"),4468984)</f>
        <v>4468984</v>
      </c>
      <c r="O42" s="5"/>
      <c r="P42" s="5"/>
      <c r="Q42" s="5"/>
      <c r="R42" s="5"/>
      <c r="S42" s="5"/>
    </row>
    <row r="43" spans="1:19" ht="15.75" customHeight="1" x14ac:dyDescent="0.2">
      <c r="A43" s="3">
        <v>46191</v>
      </c>
      <c r="B43" s="4" t="str">
        <f>IF(A43="","","PC-"&amp;TEXT(A43,"mm/yyyy")&amp;"-"&amp;TEXT(COUNTIFS($A$2:A43,"&gt;="&amp;EOMONTH(A43,-1)+1,$A$2:A43,"&lt;="&amp;EOMONTH(A43,0)),"000"))</f>
        <v>PC-06/2026-042</v>
      </c>
      <c r="C43" s="5" t="s">
        <v>1549</v>
      </c>
      <c r="D43" s="5" t="s">
        <v>20</v>
      </c>
      <c r="E43" s="5" t="s">
        <v>21</v>
      </c>
      <c r="F43" s="5"/>
      <c r="G43" s="5" t="s">
        <v>22</v>
      </c>
      <c r="H43" s="5" t="s">
        <v>23</v>
      </c>
      <c r="I43" s="6">
        <v>10000000</v>
      </c>
      <c r="J43" s="6">
        <f>IF(D43="Thu",I43,0)</f>
        <v>10000000</v>
      </c>
      <c r="K43" s="6">
        <f>IF(D43="Chi",I43,0)</f>
        <v>0</v>
      </c>
      <c r="L43" s="6" t="e">
        <f>L42+J43-K43</f>
        <v>#VALUE!</v>
      </c>
      <c r="M43" s="6">
        <f ca="1">IFERROR(__xludf.DUMMYFUNCTION("SUM(FILTER(J:J, H:H=""Tiền mặt"")) - SUM(FILTER(K:K, H:H=""Tiền mặt""))
"),959000)</f>
        <v>959000</v>
      </c>
      <c r="N43" s="6">
        <f ca="1">IFERROR(__xludf.DUMMYFUNCTION("SUM(FILTER(J:J, H:H=""Chuyển khoản"")) - SUM(FILTER(K:K, H:H=""Chuyển khoản""))
"),4468984)</f>
        <v>4468984</v>
      </c>
      <c r="O43" s="5"/>
      <c r="P43" s="5"/>
      <c r="Q43" s="5"/>
      <c r="R43" s="5"/>
      <c r="S43" s="5"/>
    </row>
    <row r="44" spans="1:19" ht="15.75" customHeight="1" x14ac:dyDescent="0.2">
      <c r="A44" s="3">
        <v>46191</v>
      </c>
      <c r="B44" s="4" t="str">
        <f>IF(A44="","","PC-"&amp;TEXT(A44,"mm/yyyy")&amp;"-"&amp;TEXT(COUNTIFS($A$2:A44,"&gt;="&amp;EOMONTH(A44,-1)+1,$A$2:A44,"&lt;="&amp;EOMONTH(A44,0)),"000"))</f>
        <v>PC-06/2026-043</v>
      </c>
      <c r="C44" s="5" t="s">
        <v>1550</v>
      </c>
      <c r="D44" s="5" t="s">
        <v>29</v>
      </c>
      <c r="E44" s="5" t="s">
        <v>41</v>
      </c>
      <c r="F44" s="5"/>
      <c r="G44" s="5" t="s">
        <v>82</v>
      </c>
      <c r="H44" s="5" t="s">
        <v>23</v>
      </c>
      <c r="I44" s="6">
        <v>100000</v>
      </c>
      <c r="J44" s="6">
        <f>IF(D44="Thu",I44,0)</f>
        <v>0</v>
      </c>
      <c r="K44" s="6">
        <f>IF(D44="Chi",I44,0)</f>
        <v>100000</v>
      </c>
      <c r="L44" s="6" t="e">
        <f>L43+J44-K44</f>
        <v>#VALUE!</v>
      </c>
      <c r="M44" s="6">
        <f ca="1">IFERROR(__xludf.DUMMYFUNCTION("SUM(FILTER(J:J, H:H=""Tiền mặt"")) - SUM(FILTER(K:K, H:H=""Tiền mặt""))
"),959000)</f>
        <v>959000</v>
      </c>
      <c r="N44" s="6">
        <f ca="1">IFERROR(__xludf.DUMMYFUNCTION("SUM(FILTER(J:J, H:H=""Chuyển khoản"")) - SUM(FILTER(K:K, H:H=""Chuyển khoản""))
"),4468984)</f>
        <v>4468984</v>
      </c>
      <c r="O44" s="5"/>
      <c r="P44" s="5"/>
      <c r="Q44" s="5"/>
      <c r="R44" s="5"/>
      <c r="S44" s="5"/>
    </row>
    <row r="45" spans="1:19" ht="15.75" customHeight="1" x14ac:dyDescent="0.2">
      <c r="A45" s="3">
        <v>46191</v>
      </c>
      <c r="B45" s="4" t="str">
        <f>IF(A45="","","PC-"&amp;TEXT(A45,"mm/yyyy")&amp;"-"&amp;TEXT(COUNTIFS($A$2:A45,"&gt;="&amp;EOMONTH(A45,-1)+1,$A$2:A45,"&lt;="&amp;EOMONTH(A45,0)),"000"))</f>
        <v>PC-06/2026-044</v>
      </c>
      <c r="C45" s="7" t="s">
        <v>1551</v>
      </c>
      <c r="D45" s="5" t="s">
        <v>29</v>
      </c>
      <c r="E45" s="5" t="s">
        <v>64</v>
      </c>
      <c r="F45" s="5"/>
      <c r="G45" s="5" t="s">
        <v>1408</v>
      </c>
      <c r="H45" s="5" t="s">
        <v>23</v>
      </c>
      <c r="I45" s="6">
        <v>2000000</v>
      </c>
      <c r="J45" s="6">
        <f>IF(D45="Thu",I45,0)</f>
        <v>0</v>
      </c>
      <c r="K45" s="6">
        <f>IF(D45="Chi",I45,0)</f>
        <v>2000000</v>
      </c>
      <c r="L45" s="6" t="e">
        <f>L44+J45-K45</f>
        <v>#VALUE!</v>
      </c>
      <c r="M45" s="6">
        <f ca="1">IFERROR(__xludf.DUMMYFUNCTION("SUM(FILTER(J:J, H:H=""Tiền mặt"")) - SUM(FILTER(K:K, H:H=""Tiền mặt""))
"),959000)</f>
        <v>959000</v>
      </c>
      <c r="N45" s="6">
        <f ca="1">IFERROR(__xludf.DUMMYFUNCTION("SUM(FILTER(J:J, H:H=""Chuyển khoản"")) - SUM(FILTER(K:K, H:H=""Chuyển khoản""))
"),4468984)</f>
        <v>4468984</v>
      </c>
      <c r="O45" s="5"/>
      <c r="P45" s="5"/>
      <c r="Q45" s="5"/>
      <c r="R45" s="5"/>
      <c r="S45" s="5"/>
    </row>
    <row r="46" spans="1:19" ht="15.75" customHeight="1" x14ac:dyDescent="0.2">
      <c r="A46" s="3">
        <v>46191</v>
      </c>
      <c r="B46" s="4" t="str">
        <f>IF(A46="","","PC-"&amp;TEXT(A46,"mm/yyyy")&amp;"-"&amp;TEXT(COUNTIFS($A$2:A46,"&gt;="&amp;EOMONTH(A46,-1)+1,$A$2:A46,"&lt;="&amp;EOMONTH(A46,0)),"000"))</f>
        <v>PC-06/2026-045</v>
      </c>
      <c r="C46" s="7" t="s">
        <v>1552</v>
      </c>
      <c r="D46" s="5" t="s">
        <v>29</v>
      </c>
      <c r="E46" s="5" t="s">
        <v>64</v>
      </c>
      <c r="F46" s="5"/>
      <c r="G46" s="5" t="s">
        <v>426</v>
      </c>
      <c r="H46" s="5" t="s">
        <v>23</v>
      </c>
      <c r="I46" s="6">
        <v>300000</v>
      </c>
      <c r="J46" s="6">
        <f>IF(D46="Thu",I46,0)</f>
        <v>0</v>
      </c>
      <c r="K46" s="6">
        <f>IF(D46="Chi",I46,0)</f>
        <v>300000</v>
      </c>
      <c r="L46" s="6" t="e">
        <f>L45+J46-K46</f>
        <v>#VALUE!</v>
      </c>
      <c r="M46" s="6">
        <f ca="1">IFERROR(__xludf.DUMMYFUNCTION("SUM(FILTER(J:J, H:H=""Tiền mặt"")) - SUM(FILTER(K:K, H:H=""Tiền mặt""))
"),959000)</f>
        <v>959000</v>
      </c>
      <c r="N46" s="6">
        <f ca="1">IFERROR(__xludf.DUMMYFUNCTION("SUM(FILTER(J:J, H:H=""Chuyển khoản"")) - SUM(FILTER(K:K, H:H=""Chuyển khoản""))
"),4468984)</f>
        <v>4468984</v>
      </c>
      <c r="O46" s="5"/>
      <c r="P46" s="5"/>
      <c r="Q46" s="5"/>
      <c r="R46" s="5"/>
      <c r="S46" s="5"/>
    </row>
    <row r="47" spans="1:19" ht="15.75" customHeight="1" x14ac:dyDescent="0.2">
      <c r="A47" s="3">
        <v>46191</v>
      </c>
      <c r="B47" s="4" t="str">
        <f>IF(A47="","","PC-"&amp;TEXT(A47,"mm/yyyy")&amp;"-"&amp;TEXT(COUNTIFS($A$2:A47,"&gt;="&amp;EOMONTH(A47,-1)+1,$A$2:A47,"&lt;="&amp;EOMONTH(A47,0)),"000"))</f>
        <v>PC-06/2026-046</v>
      </c>
      <c r="C47" s="5" t="s">
        <v>1553</v>
      </c>
      <c r="D47" s="5" t="s">
        <v>29</v>
      </c>
      <c r="E47" s="5" t="s">
        <v>71</v>
      </c>
      <c r="F47" s="5"/>
      <c r="G47" s="5" t="s">
        <v>154</v>
      </c>
      <c r="H47" s="5" t="s">
        <v>27</v>
      </c>
      <c r="I47" s="6">
        <v>63000</v>
      </c>
      <c r="J47" s="6">
        <f>IF(D47="Thu",I47,0)</f>
        <v>0</v>
      </c>
      <c r="K47" s="6">
        <f>IF(D47="Chi",I47,0)</f>
        <v>63000</v>
      </c>
      <c r="L47" s="6" t="e">
        <f>L46+J47-K47</f>
        <v>#VALUE!</v>
      </c>
      <c r="M47" s="6">
        <f ca="1">IFERROR(__xludf.DUMMYFUNCTION("SUM(FILTER(J:J, H:H=""Tiền mặt"")) - SUM(FILTER(K:K, H:H=""Tiền mặt""))
"),959000)</f>
        <v>959000</v>
      </c>
      <c r="N47" s="6">
        <f ca="1">IFERROR(__xludf.DUMMYFUNCTION("SUM(FILTER(J:J, H:H=""Chuyển khoản"")) - SUM(FILTER(K:K, H:H=""Chuyển khoản""))
"),4468984)</f>
        <v>4468984</v>
      </c>
      <c r="O47" s="5"/>
      <c r="P47" s="5"/>
      <c r="Q47" s="5"/>
      <c r="R47" s="5"/>
      <c r="S47" s="5"/>
    </row>
    <row r="48" spans="1:19" ht="15.75" customHeight="1" x14ac:dyDescent="0.2">
      <c r="A48" s="3">
        <v>46191</v>
      </c>
      <c r="B48" s="4" t="str">
        <f>IF(A48="","","PC-"&amp;TEXT(A48,"mm/yyyy")&amp;"-"&amp;TEXT(COUNTIFS($A$2:A48,"&gt;="&amp;EOMONTH(A48,-1)+1,$A$2:A48,"&lt;="&amp;EOMONTH(A48,0)),"000"))</f>
        <v>PC-06/2026-047</v>
      </c>
      <c r="C48" s="5" t="s">
        <v>1554</v>
      </c>
      <c r="D48" s="5" t="s">
        <v>29</v>
      </c>
      <c r="E48" s="5" t="s">
        <v>64</v>
      </c>
      <c r="F48" s="5"/>
      <c r="G48" s="5" t="s">
        <v>217</v>
      </c>
      <c r="H48" s="5" t="s">
        <v>27</v>
      </c>
      <c r="I48" s="6">
        <v>150000</v>
      </c>
      <c r="J48" s="6">
        <f>IF(D48="Thu",I48,0)</f>
        <v>0</v>
      </c>
      <c r="K48" s="6">
        <f>IF(D48="Chi",I48,0)</f>
        <v>150000</v>
      </c>
      <c r="L48" s="6" t="e">
        <f>L47+J48-K48</f>
        <v>#VALUE!</v>
      </c>
      <c r="M48" s="6">
        <f ca="1">IFERROR(__xludf.DUMMYFUNCTION("SUM(FILTER(J:J, H:H=""Tiền mặt"")) - SUM(FILTER(K:K, H:H=""Tiền mặt""))
"),959000)</f>
        <v>959000</v>
      </c>
      <c r="N48" s="6">
        <f ca="1">IFERROR(__xludf.DUMMYFUNCTION("SUM(FILTER(J:J, H:H=""Chuyển khoản"")) - SUM(FILTER(K:K, H:H=""Chuyển khoản""))
"),4468984)</f>
        <v>4468984</v>
      </c>
      <c r="O48" s="5"/>
      <c r="P48" s="5"/>
      <c r="Q48" s="5"/>
      <c r="R48" s="5"/>
      <c r="S48" s="5"/>
    </row>
    <row r="49" spans="1:19" ht="15.75" customHeight="1" x14ac:dyDescent="0.2">
      <c r="A49" s="3">
        <v>46191</v>
      </c>
      <c r="B49" s="4" t="str">
        <f>IF(A49="","","PC-"&amp;TEXT(A49,"mm/yyyy")&amp;"-"&amp;TEXT(COUNTIFS($A$2:A49,"&gt;="&amp;EOMONTH(A49,-1)+1,$A$2:A49,"&lt;="&amp;EOMONTH(A49,0)),"000"))</f>
        <v>PC-06/2026-048</v>
      </c>
      <c r="C49" s="5" t="s">
        <v>1555</v>
      </c>
      <c r="D49" s="5" t="s">
        <v>29</v>
      </c>
      <c r="E49" s="5" t="s">
        <v>78</v>
      </c>
      <c r="F49" s="5"/>
      <c r="G49" s="5" t="s">
        <v>72</v>
      </c>
      <c r="H49" s="5" t="s">
        <v>27</v>
      </c>
      <c r="I49" s="6">
        <v>701000</v>
      </c>
      <c r="J49" s="6">
        <f>IF(D49="Thu",I49,0)</f>
        <v>0</v>
      </c>
      <c r="K49" s="6">
        <f>IF(D49="Chi",I49,0)</f>
        <v>701000</v>
      </c>
      <c r="L49" s="6" t="e">
        <f>L48+J49-K49</f>
        <v>#VALUE!</v>
      </c>
      <c r="M49" s="6">
        <f ca="1">IFERROR(__xludf.DUMMYFUNCTION("SUM(FILTER(J:J, H:H=""Tiền mặt"")) - SUM(FILTER(K:K, H:H=""Tiền mặt""))
"),959000)</f>
        <v>959000</v>
      </c>
      <c r="N49" s="6">
        <f ca="1">IFERROR(__xludf.DUMMYFUNCTION("SUM(FILTER(J:J, H:H=""Chuyển khoản"")) - SUM(FILTER(K:K, H:H=""Chuyển khoản""))
"),4468984)</f>
        <v>4468984</v>
      </c>
      <c r="O49" s="5"/>
      <c r="P49" s="5"/>
      <c r="Q49" s="5"/>
      <c r="R49" s="5"/>
      <c r="S49" s="5"/>
    </row>
    <row r="50" spans="1:19" ht="15.75" customHeight="1" x14ac:dyDescent="0.2">
      <c r="A50" s="3">
        <v>46191</v>
      </c>
      <c r="B50" s="4" t="str">
        <f>IF(A50="","","PC-"&amp;TEXT(A50,"mm/yyyy")&amp;"-"&amp;TEXT(COUNTIFS($A$2:A50,"&gt;="&amp;EOMONTH(A50,-1)+1,$A$2:A50,"&lt;="&amp;EOMONTH(A50,0)),"000"))</f>
        <v>PC-06/2026-049</v>
      </c>
      <c r="C50" s="5" t="s">
        <v>1556</v>
      </c>
      <c r="D50" s="5" t="s">
        <v>29</v>
      </c>
      <c r="E50" s="5" t="s">
        <v>71</v>
      </c>
      <c r="F50" s="5"/>
      <c r="G50" s="5" t="s">
        <v>537</v>
      </c>
      <c r="H50" s="5" t="s">
        <v>27</v>
      </c>
      <c r="I50" s="6">
        <v>55000</v>
      </c>
      <c r="J50" s="6">
        <f>IF(D50="Thu",I50,0)</f>
        <v>0</v>
      </c>
      <c r="K50" s="6">
        <f>IF(D50="Chi",I50,0)</f>
        <v>55000</v>
      </c>
      <c r="L50" s="6" t="e">
        <f>L49+J50-K50</f>
        <v>#VALUE!</v>
      </c>
      <c r="M50" s="6">
        <f ca="1">IFERROR(__xludf.DUMMYFUNCTION("SUM(FILTER(J:J, H:H=""Tiền mặt"")) - SUM(FILTER(K:K, H:H=""Tiền mặt""))
"),959000)</f>
        <v>959000</v>
      </c>
      <c r="N50" s="6">
        <f ca="1">IFERROR(__xludf.DUMMYFUNCTION("SUM(FILTER(J:J, H:H=""Chuyển khoản"")) - SUM(FILTER(K:K, H:H=""Chuyển khoản""))
"),4468984)</f>
        <v>4468984</v>
      </c>
      <c r="O50" s="5"/>
      <c r="P50" s="5"/>
      <c r="Q50" s="5"/>
      <c r="R50" s="5"/>
      <c r="S50" s="5"/>
    </row>
    <row r="51" spans="1:19" ht="15.75" customHeight="1" x14ac:dyDescent="0.2">
      <c r="A51" s="3">
        <v>46191</v>
      </c>
      <c r="B51" s="4" t="str">
        <f>IF(A51="","","PC-"&amp;TEXT(A51,"mm/yyyy")&amp;"-"&amp;TEXT(COUNTIFS($A$2:A51,"&gt;="&amp;EOMONTH(A51,-1)+1,$A$2:A51,"&lt;="&amp;EOMONTH(A51,0)),"000"))</f>
        <v>PC-06/2026-050</v>
      </c>
      <c r="C51" s="5" t="s">
        <v>1547</v>
      </c>
      <c r="D51" s="5" t="s">
        <v>29</v>
      </c>
      <c r="E51" s="5" t="s">
        <v>47</v>
      </c>
      <c r="F51" s="5"/>
      <c r="G51" s="5" t="s">
        <v>48</v>
      </c>
      <c r="H51" s="5" t="s">
        <v>23</v>
      </c>
      <c r="I51" s="6">
        <v>50000</v>
      </c>
      <c r="J51" s="6">
        <f>IF(D51="Thu",I51,0)</f>
        <v>0</v>
      </c>
      <c r="K51" s="6">
        <f>IF(D51="Chi",I51,0)</f>
        <v>50000</v>
      </c>
      <c r="L51" s="6" t="e">
        <f>L50+J51-K51</f>
        <v>#VALUE!</v>
      </c>
      <c r="M51" s="6">
        <f ca="1">IFERROR(__xludf.DUMMYFUNCTION("SUM(FILTER(J:J, H:H=""Tiền mặt"")) - SUM(FILTER(K:K, H:H=""Tiền mặt""))
"),959000)</f>
        <v>959000</v>
      </c>
      <c r="N51" s="6">
        <f ca="1">IFERROR(__xludf.DUMMYFUNCTION("SUM(FILTER(J:J, H:H=""Chuyển khoản"")) - SUM(FILTER(K:K, H:H=""Chuyển khoản""))
"),4468984)</f>
        <v>4468984</v>
      </c>
      <c r="O51" s="5"/>
      <c r="P51" s="5"/>
      <c r="Q51" s="5"/>
      <c r="R51" s="5"/>
      <c r="S51" s="5"/>
    </row>
    <row r="52" spans="1:19" ht="15.75" customHeight="1" x14ac:dyDescent="0.2">
      <c r="A52" s="3">
        <v>46191</v>
      </c>
      <c r="B52" s="4" t="str">
        <f>IF(A52="","","PC-"&amp;TEXT(A52,"mm/yyyy")&amp;"-"&amp;TEXT(COUNTIFS($A$2:A52,"&gt;="&amp;EOMONTH(A52,-1)+1,$A$2:A52,"&lt;="&amp;EOMONTH(A52,0)),"000"))</f>
        <v>PC-06/2026-051</v>
      </c>
      <c r="C52" s="51" t="s">
        <v>1557</v>
      </c>
      <c r="D52" s="5" t="s">
        <v>29</v>
      </c>
      <c r="E52" s="5" t="s">
        <v>44</v>
      </c>
      <c r="F52" s="5"/>
      <c r="G52" s="5" t="s">
        <v>45</v>
      </c>
      <c r="H52" s="5" t="s">
        <v>23</v>
      </c>
      <c r="I52" s="6">
        <v>2000000</v>
      </c>
      <c r="J52" s="6">
        <f>IF(D52="Thu",I52,0)</f>
        <v>0</v>
      </c>
      <c r="K52" s="6">
        <f>IF(D52="Chi",I52,0)</f>
        <v>2000000</v>
      </c>
      <c r="L52" s="6" t="e">
        <f>L51+J52-K52</f>
        <v>#VALUE!</v>
      </c>
      <c r="M52" s="6">
        <f ca="1">IFERROR(__xludf.DUMMYFUNCTION("SUM(FILTER(J:J, H:H=""Tiền mặt"")) - SUM(FILTER(K:K, H:H=""Tiền mặt""))
"),959000)</f>
        <v>959000</v>
      </c>
      <c r="N52" s="6">
        <f ca="1">IFERROR(__xludf.DUMMYFUNCTION("SUM(FILTER(J:J, H:H=""Chuyển khoản"")) - SUM(FILTER(K:K, H:H=""Chuyển khoản""))
"),4468984)</f>
        <v>4468984</v>
      </c>
      <c r="O52" s="5"/>
      <c r="P52" s="5"/>
      <c r="Q52" s="5"/>
      <c r="R52" s="5"/>
      <c r="S52" s="5"/>
    </row>
    <row r="53" spans="1:19" ht="15.75" customHeight="1" x14ac:dyDescent="0.2">
      <c r="A53" s="3">
        <v>46191</v>
      </c>
      <c r="B53" s="4" t="str">
        <f>IF(A53="","","PC-"&amp;TEXT(A53,"mm/yyyy")&amp;"-"&amp;TEXT(COUNTIFS($A$2:A53,"&gt;="&amp;EOMONTH(A53,-1)+1,$A$2:A53,"&lt;="&amp;EOMONTH(A53,0)),"000"))</f>
        <v>PC-06/2026-052</v>
      </c>
      <c r="C53" s="5" t="s">
        <v>1558</v>
      </c>
      <c r="D53" s="5" t="s">
        <v>29</v>
      </c>
      <c r="E53" s="51" t="s">
        <v>47</v>
      </c>
      <c r="F53" s="5"/>
      <c r="G53" s="5" t="s">
        <v>48</v>
      </c>
      <c r="H53" s="5" t="s">
        <v>23</v>
      </c>
      <c r="I53" s="6">
        <v>50000</v>
      </c>
      <c r="J53" s="6">
        <f>IF(D53="Thu",I53,0)</f>
        <v>0</v>
      </c>
      <c r="K53" s="6">
        <f>IF(D53="Chi",I53,0)</f>
        <v>50000</v>
      </c>
      <c r="L53" s="6" t="e">
        <f>L52+J53-K53</f>
        <v>#VALUE!</v>
      </c>
      <c r="M53" s="6">
        <f ca="1">IFERROR(__xludf.DUMMYFUNCTION("SUM(FILTER(J:J, H:H=""Tiền mặt"")) - SUM(FILTER(K:K, H:H=""Tiền mặt""))
"),959000)</f>
        <v>959000</v>
      </c>
      <c r="N53" s="6">
        <f ca="1">IFERROR(__xludf.DUMMYFUNCTION("SUM(FILTER(J:J, H:H=""Chuyển khoản"")) - SUM(FILTER(K:K, H:H=""Chuyển khoản""))
"),4468984)</f>
        <v>4468984</v>
      </c>
      <c r="O53" s="5"/>
      <c r="P53" s="5"/>
      <c r="Q53" s="5"/>
      <c r="R53" s="5"/>
      <c r="S53" s="5"/>
    </row>
    <row r="54" spans="1:19" ht="15.75" customHeight="1" x14ac:dyDescent="0.2">
      <c r="A54" s="3">
        <v>46191</v>
      </c>
      <c r="B54" s="4" t="str">
        <f>IF(A54="","","PC-"&amp;TEXT(A54,"mm/yyyy")&amp;"-"&amp;TEXT(COUNTIFS($A$2:A54,"&gt;="&amp;EOMONTH(A54,-1)+1,$A$2:A54,"&lt;="&amp;EOMONTH(A54,0)),"000"))</f>
        <v>PC-06/2026-053</v>
      </c>
      <c r="C54" s="5" t="s">
        <v>1559</v>
      </c>
      <c r="D54" s="5" t="s">
        <v>29</v>
      </c>
      <c r="E54" s="5" t="s">
        <v>51</v>
      </c>
      <c r="F54" s="5"/>
      <c r="G54" s="5" t="s">
        <v>516</v>
      </c>
      <c r="H54" s="5" t="s">
        <v>27</v>
      </c>
      <c r="I54" s="6">
        <v>116514</v>
      </c>
      <c r="J54" s="6">
        <f>IF(D54="Thu",I54,0)</f>
        <v>0</v>
      </c>
      <c r="K54" s="6">
        <f>IF(D54="Chi",I54,0)</f>
        <v>116514</v>
      </c>
      <c r="L54" s="6" t="e">
        <f>L53+J54-K54</f>
        <v>#VALUE!</v>
      </c>
      <c r="M54" s="6">
        <f ca="1">IFERROR(__xludf.DUMMYFUNCTION("SUM(FILTER(J:J, H:H=""Tiền mặt"")) - SUM(FILTER(K:K, H:H=""Tiền mặt""))
"),959000)</f>
        <v>959000</v>
      </c>
      <c r="N54" s="6">
        <f ca="1">IFERROR(__xludf.DUMMYFUNCTION("SUM(FILTER(J:J, H:H=""Chuyển khoản"")) - SUM(FILTER(K:K, H:H=""Chuyển khoản""))
"),4468984)</f>
        <v>4468984</v>
      </c>
      <c r="O54" s="5"/>
      <c r="P54" s="5"/>
      <c r="Q54" s="5"/>
      <c r="R54" s="5"/>
      <c r="S54" s="5"/>
    </row>
    <row r="55" spans="1:19" ht="15.75" customHeight="1" x14ac:dyDescent="0.2">
      <c r="A55" s="3">
        <v>46191</v>
      </c>
      <c r="B55" s="4" t="str">
        <f>IF(A55="","","PC-"&amp;TEXT(A55,"mm/yyyy")&amp;"-"&amp;TEXT(COUNTIFS($A$2:A55,"&gt;="&amp;EOMONTH(A55,-1)+1,$A$2:A55,"&lt;="&amp;EOMONTH(A55,0)),"000"))</f>
        <v>PC-06/2026-054</v>
      </c>
      <c r="C55" s="5" t="s">
        <v>1560</v>
      </c>
      <c r="D55" s="5" t="s">
        <v>20</v>
      </c>
      <c r="E55" s="5" t="s">
        <v>21</v>
      </c>
      <c r="F55" s="5"/>
      <c r="G55" s="5" t="s">
        <v>516</v>
      </c>
      <c r="H55" s="5" t="s">
        <v>23</v>
      </c>
      <c r="I55" s="6">
        <v>140000</v>
      </c>
      <c r="J55" s="6">
        <f>IF(D55="Thu",I55,0)</f>
        <v>140000</v>
      </c>
      <c r="K55" s="6">
        <f>IF(D55="Chi",I55,0)</f>
        <v>0</v>
      </c>
      <c r="L55" s="6" t="e">
        <f>L54+J55-K55</f>
        <v>#VALUE!</v>
      </c>
      <c r="M55" s="6">
        <f ca="1">IFERROR(__xludf.DUMMYFUNCTION("SUM(FILTER(J:J, H:H=""Tiền mặt"")) - SUM(FILTER(K:K, H:H=""Tiền mặt""))
"),959000)</f>
        <v>959000</v>
      </c>
      <c r="N55" s="6">
        <f ca="1">IFERROR(__xludf.DUMMYFUNCTION("SUM(FILTER(J:J, H:H=""Chuyển khoản"")) - SUM(FILTER(K:K, H:H=""Chuyển khoản""))
"),4468984)</f>
        <v>4468984</v>
      </c>
      <c r="O55" s="5"/>
      <c r="P55" s="5"/>
      <c r="Q55" s="5"/>
      <c r="R55" s="5"/>
      <c r="S55" s="5"/>
    </row>
    <row r="56" spans="1:19" ht="15.75" customHeight="1" x14ac:dyDescent="0.2">
      <c r="A56" s="3">
        <v>46190</v>
      </c>
      <c r="B56" s="4" t="str">
        <f>IF(A56="","","PC-"&amp;TEXT(A56,"mm/yyyy")&amp;"-"&amp;TEXT(COUNTIFS($A$2:A56,"&gt;="&amp;EOMONTH(A56,-1)+1,$A$2:A56,"&lt;="&amp;EOMONTH(A56,0)),"000"))</f>
        <v>PC-06/2026-055</v>
      </c>
      <c r="C56" s="5" t="s">
        <v>528</v>
      </c>
      <c r="D56" s="5" t="s">
        <v>29</v>
      </c>
      <c r="E56" s="5" t="s">
        <v>36</v>
      </c>
      <c r="F56" s="5"/>
      <c r="G56" s="5" t="s">
        <v>37</v>
      </c>
      <c r="H56" s="5" t="s">
        <v>23</v>
      </c>
      <c r="I56" s="6">
        <v>190000</v>
      </c>
      <c r="J56" s="6">
        <f>IF(D56="Thu",I56,0)</f>
        <v>0</v>
      </c>
      <c r="K56" s="6">
        <f>IF(D56="Chi",I56,0)</f>
        <v>190000</v>
      </c>
      <c r="L56" s="6" t="e">
        <f>L55+J56-K56</f>
        <v>#VALUE!</v>
      </c>
      <c r="M56" s="6">
        <f ca="1">IFERROR(__xludf.DUMMYFUNCTION("SUM(FILTER(J:J, H:H=""Tiền mặt"")) - SUM(FILTER(K:K, H:H=""Tiền mặt""))
"),959000)</f>
        <v>959000</v>
      </c>
      <c r="N56" s="6">
        <f ca="1">IFERROR(__xludf.DUMMYFUNCTION("SUM(FILTER(J:J, H:H=""Chuyển khoản"")) - SUM(FILTER(K:K, H:H=""Chuyển khoản""))
"),4468984)</f>
        <v>4468984</v>
      </c>
      <c r="O56" s="5"/>
      <c r="P56" s="5"/>
      <c r="Q56" s="5"/>
      <c r="R56" s="5"/>
      <c r="S56" s="5"/>
    </row>
    <row r="57" spans="1:19" ht="15.75" customHeight="1" x14ac:dyDescent="0.2">
      <c r="A57" s="3">
        <v>46190</v>
      </c>
      <c r="B57" s="4" t="str">
        <f>IF(A57="","","PC-"&amp;TEXT(A57,"mm/yyyy")&amp;"-"&amp;TEXT(COUNTIFS($A$2:A57,"&gt;="&amp;EOMONTH(A57,-1)+1,$A$2:A57,"&lt;="&amp;EOMONTH(A57,0)),"000"))</f>
        <v>PC-06/2026-056</v>
      </c>
      <c r="C57" s="5" t="s">
        <v>1541</v>
      </c>
      <c r="D57" s="5" t="s">
        <v>29</v>
      </c>
      <c r="E57" s="5" t="s">
        <v>41</v>
      </c>
      <c r="F57" s="5"/>
      <c r="G57" s="5" t="s">
        <v>82</v>
      </c>
      <c r="H57" s="5" t="s">
        <v>23</v>
      </c>
      <c r="I57" s="6">
        <v>100000</v>
      </c>
      <c r="J57" s="6">
        <f>IF(D57="Thu",I57,0)</f>
        <v>0</v>
      </c>
      <c r="K57" s="6">
        <f>IF(D57="Chi",I57,0)</f>
        <v>100000</v>
      </c>
      <c r="L57" s="6" t="e">
        <f>L56+J57-K57</f>
        <v>#VALUE!</v>
      </c>
      <c r="M57" s="6">
        <f ca="1">IFERROR(__xludf.DUMMYFUNCTION("SUM(FILTER(J:J, H:H=""Tiền mặt"")) - SUM(FILTER(K:K, H:H=""Tiền mặt""))
"),959000)</f>
        <v>959000</v>
      </c>
      <c r="N57" s="6">
        <f ca="1">IFERROR(__xludf.DUMMYFUNCTION("SUM(FILTER(J:J, H:H=""Chuyển khoản"")) - SUM(FILTER(K:K, H:H=""Chuyển khoản""))
"),4468984)</f>
        <v>4468984</v>
      </c>
      <c r="O57" s="5"/>
      <c r="P57" s="5"/>
      <c r="Q57" s="5"/>
      <c r="R57" s="5"/>
      <c r="S57" s="5"/>
    </row>
    <row r="58" spans="1:19" ht="15.75" customHeight="1" x14ac:dyDescent="0.2">
      <c r="A58" s="3">
        <v>46190</v>
      </c>
      <c r="B58" s="4" t="str">
        <f>IF(A58="","","PC-"&amp;TEXT(A58,"mm/yyyy")&amp;"-"&amp;TEXT(COUNTIFS($A$2:A58,"&gt;="&amp;EOMONTH(A58,-1)+1,$A$2:A58,"&lt;="&amp;EOMONTH(A58,0)),"000"))</f>
        <v>PC-06/2026-057</v>
      </c>
      <c r="C58" s="5" t="s">
        <v>1542</v>
      </c>
      <c r="D58" s="5" t="s">
        <v>29</v>
      </c>
      <c r="E58" s="5" t="s">
        <v>71</v>
      </c>
      <c r="F58" s="5"/>
      <c r="G58" s="5" t="s">
        <v>1543</v>
      </c>
      <c r="H58" s="5" t="s">
        <v>27</v>
      </c>
      <c r="I58" s="6">
        <v>73000</v>
      </c>
      <c r="J58" s="6">
        <f>IF(D58="Thu",I58,0)</f>
        <v>0</v>
      </c>
      <c r="K58" s="6">
        <f>IF(D58="Chi",I58,0)</f>
        <v>73000</v>
      </c>
      <c r="L58" s="6" t="e">
        <f>L57+J58-K58</f>
        <v>#VALUE!</v>
      </c>
      <c r="M58" s="6">
        <f ca="1">IFERROR(__xludf.DUMMYFUNCTION("SUM(FILTER(J:J, H:H=""Tiền mặt"")) - SUM(FILTER(K:K, H:H=""Tiền mặt""))
"),959000)</f>
        <v>959000</v>
      </c>
      <c r="N58" s="6">
        <f ca="1">IFERROR(__xludf.DUMMYFUNCTION("SUM(FILTER(J:J, H:H=""Chuyển khoản"")) - SUM(FILTER(K:K, H:H=""Chuyển khoản""))
"),4468984)</f>
        <v>4468984</v>
      </c>
      <c r="O58" s="5"/>
      <c r="P58" s="5"/>
      <c r="Q58" s="5"/>
      <c r="R58" s="5"/>
      <c r="S58" s="5"/>
    </row>
    <row r="59" spans="1:19" ht="15.75" customHeight="1" x14ac:dyDescent="0.2">
      <c r="A59" s="3">
        <v>46190</v>
      </c>
      <c r="B59" s="4" t="str">
        <f>IF(A59="","","PC-"&amp;TEXT(A59,"mm/yyyy")&amp;"-"&amp;TEXT(COUNTIFS($A$2:A59,"&gt;="&amp;EOMONTH(A59,-1)+1,$A$2:A59,"&lt;="&amp;EOMONTH(A59,0)),"000"))</f>
        <v>PC-06/2026-058</v>
      </c>
      <c r="C59" s="5" t="s">
        <v>1544</v>
      </c>
      <c r="D59" s="5" t="s">
        <v>29</v>
      </c>
      <c r="E59" s="5" t="s">
        <v>64</v>
      </c>
      <c r="F59" s="5"/>
      <c r="G59" s="5" t="s">
        <v>273</v>
      </c>
      <c r="H59" s="5" t="s">
        <v>27</v>
      </c>
      <c r="I59" s="6">
        <v>80000</v>
      </c>
      <c r="J59" s="6">
        <f>IF(D59="Thu",I59,0)</f>
        <v>0</v>
      </c>
      <c r="K59" s="6">
        <f>IF(D59="Chi",I59,0)</f>
        <v>80000</v>
      </c>
      <c r="L59" s="6" t="e">
        <f>L58+J59-K59</f>
        <v>#VALUE!</v>
      </c>
      <c r="M59" s="6">
        <f ca="1">IFERROR(__xludf.DUMMYFUNCTION("SUM(FILTER(J:J, H:H=""Tiền mặt"")) - SUM(FILTER(K:K, H:H=""Tiền mặt""))
"),959000)</f>
        <v>959000</v>
      </c>
      <c r="N59" s="6">
        <f ca="1">IFERROR(__xludf.DUMMYFUNCTION("SUM(FILTER(J:J, H:H=""Chuyển khoản"")) - SUM(FILTER(K:K, H:H=""Chuyển khoản""))
"),4468984)</f>
        <v>4468984</v>
      </c>
      <c r="O59" s="5"/>
      <c r="P59" s="5"/>
      <c r="Q59" s="5"/>
      <c r="R59" s="5"/>
      <c r="S59" s="5"/>
    </row>
    <row r="60" spans="1:19" ht="15.75" customHeight="1" x14ac:dyDescent="0.2">
      <c r="A60" s="3">
        <v>46190</v>
      </c>
      <c r="B60" s="4" t="str">
        <f>IF(A60="","","PC-"&amp;TEXT(A60,"mm/yyyy")&amp;"-"&amp;TEXT(COUNTIFS($A$2:A60,"&gt;="&amp;EOMONTH(A60,-1)+1,$A$2:A60,"&lt;="&amp;EOMONTH(A60,0)),"000"))</f>
        <v>PC-06/2026-059</v>
      </c>
      <c r="C60" s="5" t="s">
        <v>1545</v>
      </c>
      <c r="D60" s="5" t="s">
        <v>29</v>
      </c>
      <c r="E60" s="5" t="s">
        <v>75</v>
      </c>
      <c r="F60" s="5"/>
      <c r="G60" s="5" t="s">
        <v>951</v>
      </c>
      <c r="H60" s="5" t="s">
        <v>23</v>
      </c>
      <c r="I60" s="6">
        <v>520000</v>
      </c>
      <c r="J60" s="6">
        <f>IF(D60="Thu",I60,0)</f>
        <v>0</v>
      </c>
      <c r="K60" s="6">
        <f>IF(D60="Chi",I60,0)</f>
        <v>520000</v>
      </c>
      <c r="L60" s="6" t="e">
        <f>L59+J60-K60</f>
        <v>#VALUE!</v>
      </c>
      <c r="M60" s="6">
        <f ca="1">IFERROR(__xludf.DUMMYFUNCTION("SUM(FILTER(J:J, H:H=""Tiền mặt"")) - SUM(FILTER(K:K, H:H=""Tiền mặt""))
"),959000)</f>
        <v>959000</v>
      </c>
      <c r="N60" s="6">
        <f ca="1">IFERROR(__xludf.DUMMYFUNCTION("SUM(FILTER(J:J, H:H=""Chuyển khoản"")) - SUM(FILTER(K:K, H:H=""Chuyển khoản""))
"),4468984)</f>
        <v>4468984</v>
      </c>
      <c r="O60" s="5"/>
      <c r="P60" s="5"/>
      <c r="Q60" s="5"/>
      <c r="R60" s="5"/>
      <c r="S60" s="5"/>
    </row>
    <row r="61" spans="1:19" ht="15.75" customHeight="1" x14ac:dyDescent="0.2">
      <c r="A61" s="3">
        <v>46189</v>
      </c>
      <c r="B61" s="4" t="str">
        <f>IF(A61="","","PC-"&amp;TEXT(A61,"mm/yyyy")&amp;"-"&amp;TEXT(COUNTIFS($A$2:A61,"&gt;="&amp;EOMONTH(A61,-1)+1,$A$2:A61,"&lt;="&amp;EOMONTH(A61,0)),"000"))</f>
        <v>PC-06/2026-060</v>
      </c>
      <c r="C61" s="5" t="s">
        <v>1531</v>
      </c>
      <c r="D61" s="5" t="s">
        <v>29</v>
      </c>
      <c r="E61" s="5" t="s">
        <v>41</v>
      </c>
      <c r="F61" s="5"/>
      <c r="G61" s="5" t="s">
        <v>82</v>
      </c>
      <c r="H61" s="5" t="s">
        <v>23</v>
      </c>
      <c r="I61" s="6">
        <v>100000</v>
      </c>
      <c r="J61" s="6">
        <f>IF(D61="Thu",I61,0)</f>
        <v>0</v>
      </c>
      <c r="K61" s="6">
        <f>IF(D61="Chi",I61,0)</f>
        <v>100000</v>
      </c>
      <c r="L61" s="6" t="e">
        <f>L60+J61-K61</f>
        <v>#VALUE!</v>
      </c>
      <c r="M61" s="6">
        <f ca="1">IFERROR(__xludf.DUMMYFUNCTION("SUM(FILTER(J:J, H:H=""Tiền mặt"")) - SUM(FILTER(K:K, H:H=""Tiền mặt""))
"),959000)</f>
        <v>959000</v>
      </c>
      <c r="N61" s="6">
        <f ca="1">IFERROR(__xludf.DUMMYFUNCTION("SUM(FILTER(J:J, H:H=""Chuyển khoản"")) - SUM(FILTER(K:K, H:H=""Chuyển khoản""))
"),4468984)</f>
        <v>4468984</v>
      </c>
      <c r="O61" s="5"/>
      <c r="P61" s="5"/>
      <c r="Q61" s="5"/>
      <c r="R61" s="5"/>
      <c r="S61" s="5"/>
    </row>
    <row r="62" spans="1:19" ht="15.75" customHeight="1" x14ac:dyDescent="0.2">
      <c r="A62" s="3">
        <v>46189</v>
      </c>
      <c r="B62" s="4" t="str">
        <f>IF(A62="","","PC-"&amp;TEXT(A62,"mm/yyyy")&amp;"-"&amp;TEXT(COUNTIFS($A$2:A62,"&gt;="&amp;EOMONTH(A62,-1)+1,$A$2:A62,"&lt;="&amp;EOMONTH(A62,0)),"000"))</f>
        <v>PC-06/2026-061</v>
      </c>
      <c r="C62" s="5" t="s">
        <v>1532</v>
      </c>
      <c r="D62" s="5" t="s">
        <v>29</v>
      </c>
      <c r="E62" s="5" t="s">
        <v>71</v>
      </c>
      <c r="F62" s="5"/>
      <c r="G62" s="5" t="s">
        <v>678</v>
      </c>
      <c r="H62" s="5" t="s">
        <v>27</v>
      </c>
      <c r="I62" s="6">
        <v>69000</v>
      </c>
      <c r="J62" s="6">
        <f>IF(D62="Thu",I62,0)</f>
        <v>0</v>
      </c>
      <c r="K62" s="6">
        <f>IF(D62="Chi",I62,0)</f>
        <v>69000</v>
      </c>
      <c r="L62" s="6" t="e">
        <f>L61+J62-K62</f>
        <v>#VALUE!</v>
      </c>
      <c r="M62" s="6">
        <f ca="1">IFERROR(__xludf.DUMMYFUNCTION("SUM(FILTER(J:J, H:H=""Tiền mặt"")) - SUM(FILTER(K:K, H:H=""Tiền mặt""))
"),959000)</f>
        <v>959000</v>
      </c>
      <c r="N62" s="6">
        <f ca="1">IFERROR(__xludf.DUMMYFUNCTION("SUM(FILTER(J:J, H:H=""Chuyển khoản"")) - SUM(FILTER(K:K, H:H=""Chuyển khoản""))
"),4468984)</f>
        <v>4468984</v>
      </c>
      <c r="O62" s="5"/>
      <c r="P62" s="5"/>
      <c r="Q62" s="5"/>
      <c r="R62" s="5"/>
      <c r="S62" s="5"/>
    </row>
    <row r="63" spans="1:19" ht="15.75" customHeight="1" x14ac:dyDescent="0.2">
      <c r="A63" s="3">
        <v>46189</v>
      </c>
      <c r="B63" s="4" t="str">
        <f>IF(A63="","","PC-"&amp;TEXT(A63,"mm/yyyy")&amp;"-"&amp;TEXT(COUNTIFS($A$2:A63,"&gt;="&amp;EOMONTH(A63,-1)+1,$A$2:A63,"&lt;="&amp;EOMONTH(A63,0)),"000"))</f>
        <v>PC-06/2026-062</v>
      </c>
      <c r="C63" s="5" t="s">
        <v>1533</v>
      </c>
      <c r="D63" s="5" t="s">
        <v>20</v>
      </c>
      <c r="E63" s="5" t="s">
        <v>68</v>
      </c>
      <c r="F63" s="5"/>
      <c r="G63" s="5" t="s">
        <v>1534</v>
      </c>
      <c r="H63" s="5" t="s">
        <v>23</v>
      </c>
      <c r="I63" s="6">
        <v>200000</v>
      </c>
      <c r="J63" s="6">
        <f>IF(D63="Thu",I63,0)</f>
        <v>200000</v>
      </c>
      <c r="K63" s="6">
        <f>IF(D63="Chi",I63,0)</f>
        <v>0</v>
      </c>
      <c r="L63" s="6" t="e">
        <f>L62+J63-K63</f>
        <v>#VALUE!</v>
      </c>
      <c r="M63" s="6">
        <f ca="1">IFERROR(__xludf.DUMMYFUNCTION("SUM(FILTER(J:J, H:H=""Tiền mặt"")) - SUM(FILTER(K:K, H:H=""Tiền mặt""))
"),959000)</f>
        <v>959000</v>
      </c>
      <c r="N63" s="6">
        <f ca="1">IFERROR(__xludf.DUMMYFUNCTION("SUM(FILTER(J:J, H:H=""Chuyển khoản"")) - SUM(FILTER(K:K, H:H=""Chuyển khoản""))
"),4468984)</f>
        <v>4468984</v>
      </c>
      <c r="O63" s="5"/>
      <c r="P63" s="5"/>
      <c r="Q63" s="5"/>
      <c r="R63" s="5"/>
      <c r="S63" s="5"/>
    </row>
    <row r="64" spans="1:19" ht="15.75" customHeight="1" x14ac:dyDescent="0.2">
      <c r="A64" s="3">
        <v>46189</v>
      </c>
      <c r="B64" s="4" t="str">
        <f>IF(A64="","","PC-"&amp;TEXT(A64,"mm/yyyy")&amp;"-"&amp;TEXT(COUNTIFS($A$2:A64,"&gt;="&amp;EOMONTH(A64,-1)+1,$A$2:A64,"&lt;="&amp;EOMONTH(A64,0)),"000"))</f>
        <v>PC-06/2026-063</v>
      </c>
      <c r="C64" s="5" t="s">
        <v>1535</v>
      </c>
      <c r="D64" s="5" t="s">
        <v>29</v>
      </c>
      <c r="E64" s="5" t="s">
        <v>41</v>
      </c>
      <c r="F64" s="5"/>
      <c r="G64" s="5" t="s">
        <v>82</v>
      </c>
      <c r="H64" s="5" t="s">
        <v>23</v>
      </c>
      <c r="I64" s="6">
        <v>200000</v>
      </c>
      <c r="J64" s="6">
        <f>IF(D64="Thu",I64,0)</f>
        <v>0</v>
      </c>
      <c r="K64" s="6">
        <f>IF(D64="Chi",I64,0)</f>
        <v>200000</v>
      </c>
      <c r="L64" s="6" t="e">
        <f>L63+J64-K64</f>
        <v>#VALUE!</v>
      </c>
      <c r="M64" s="6">
        <f ca="1">IFERROR(__xludf.DUMMYFUNCTION("SUM(FILTER(J:J, H:H=""Tiền mặt"")) - SUM(FILTER(K:K, H:H=""Tiền mặt""))
"),959000)</f>
        <v>959000</v>
      </c>
      <c r="N64" s="6">
        <f ca="1">IFERROR(__xludf.DUMMYFUNCTION("SUM(FILTER(J:J, H:H=""Chuyển khoản"")) - SUM(FILTER(K:K, H:H=""Chuyển khoản""))
"),4468984)</f>
        <v>4468984</v>
      </c>
      <c r="O64" s="5"/>
      <c r="P64" s="5"/>
      <c r="Q64" s="5"/>
      <c r="R64" s="5"/>
      <c r="S64" s="5"/>
    </row>
    <row r="65" spans="1:19" ht="15.75" customHeight="1" x14ac:dyDescent="0.2">
      <c r="A65" s="3">
        <v>46189</v>
      </c>
      <c r="B65" s="4" t="str">
        <f>IF(A65="","","PC-"&amp;TEXT(A65,"mm/yyyy")&amp;"-"&amp;TEXT(COUNTIFS($A$2:A65,"&gt;="&amp;EOMONTH(A65,-1)+1,$A$2:A65,"&lt;="&amp;EOMONTH(A65,0)),"000"))</f>
        <v>PC-06/2026-064</v>
      </c>
      <c r="C65" s="5" t="s">
        <v>1536</v>
      </c>
      <c r="D65" s="5" t="s">
        <v>29</v>
      </c>
      <c r="E65" s="5" t="s">
        <v>71</v>
      </c>
      <c r="F65" s="5"/>
      <c r="G65" s="5" t="s">
        <v>72</v>
      </c>
      <c r="H65" s="5" t="s">
        <v>27</v>
      </c>
      <c r="I65" s="6">
        <v>63000</v>
      </c>
      <c r="J65" s="6">
        <f>IF(D65="Thu",I65,0)</f>
        <v>0</v>
      </c>
      <c r="K65" s="6">
        <f>IF(D65="Chi",I65,0)</f>
        <v>63000</v>
      </c>
      <c r="L65" s="6" t="e">
        <f>L64+J65-K65</f>
        <v>#VALUE!</v>
      </c>
      <c r="M65" s="6">
        <f ca="1">IFERROR(__xludf.DUMMYFUNCTION("SUM(FILTER(J:J, H:H=""Tiền mặt"")) - SUM(FILTER(K:K, H:H=""Tiền mặt""))
"),959000)</f>
        <v>959000</v>
      </c>
      <c r="N65" s="6">
        <f ca="1">IFERROR(__xludf.DUMMYFUNCTION("SUM(FILTER(J:J, H:H=""Chuyển khoản"")) - SUM(FILTER(K:K, H:H=""Chuyển khoản""))
"),4468984)</f>
        <v>4468984</v>
      </c>
      <c r="O65" s="5"/>
      <c r="P65" s="5"/>
      <c r="Q65" s="5"/>
      <c r="R65" s="5"/>
      <c r="S65" s="5"/>
    </row>
    <row r="66" spans="1:19" ht="15.75" customHeight="1" x14ac:dyDescent="0.2">
      <c r="A66" s="3">
        <v>46189</v>
      </c>
      <c r="B66" s="4" t="str">
        <f>IF(A66="","","PC-"&amp;TEXT(A66,"mm/yyyy")&amp;"-"&amp;TEXT(COUNTIFS($A$2:A66,"&gt;="&amp;EOMONTH(A66,-1)+1,$A$2:A66,"&lt;="&amp;EOMONTH(A66,0)),"000"))</f>
        <v>PC-06/2026-065</v>
      </c>
      <c r="C66" s="5" t="s">
        <v>1537</v>
      </c>
      <c r="D66" s="5" t="s">
        <v>29</v>
      </c>
      <c r="E66" s="5" t="s">
        <v>51</v>
      </c>
      <c r="F66" s="5"/>
      <c r="G66" s="5" t="s">
        <v>52</v>
      </c>
      <c r="H66" s="5" t="s">
        <v>27</v>
      </c>
      <c r="I66" s="6">
        <v>155473</v>
      </c>
      <c r="J66" s="6">
        <f>IF(D66="Thu",I66,0)</f>
        <v>0</v>
      </c>
      <c r="K66" s="6">
        <f>IF(D66="Chi",I66,0)</f>
        <v>155473</v>
      </c>
      <c r="L66" s="6" t="e">
        <f>L65+J66-K66</f>
        <v>#VALUE!</v>
      </c>
      <c r="M66" s="6">
        <f ca="1">IFERROR(__xludf.DUMMYFUNCTION("SUM(FILTER(J:J, H:H=""Tiền mặt"")) - SUM(FILTER(K:K, H:H=""Tiền mặt""))
"),959000)</f>
        <v>959000</v>
      </c>
      <c r="N66" s="6">
        <f ca="1">IFERROR(__xludf.DUMMYFUNCTION("SUM(FILTER(J:J, H:H=""Chuyển khoản"")) - SUM(FILTER(K:K, H:H=""Chuyển khoản""))
"),4468984)</f>
        <v>4468984</v>
      </c>
      <c r="O66" s="5"/>
      <c r="P66" s="5"/>
      <c r="Q66" s="5"/>
      <c r="R66" s="5"/>
      <c r="S66" s="5"/>
    </row>
    <row r="67" spans="1:19" ht="15.75" customHeight="1" x14ac:dyDescent="0.2">
      <c r="A67" s="3">
        <v>46189</v>
      </c>
      <c r="B67" s="4" t="str">
        <f>IF(A67="","","PC-"&amp;TEXT(A67,"mm/yyyy")&amp;"-"&amp;TEXT(COUNTIFS($A$2:A67,"&gt;="&amp;EOMONTH(A67,-1)+1,$A$2:A67,"&lt;="&amp;EOMONTH(A67,0)),"000"))</f>
        <v>PC-06/2026-066</v>
      </c>
      <c r="C67" s="7" t="s">
        <v>1538</v>
      </c>
      <c r="D67" s="5" t="s">
        <v>29</v>
      </c>
      <c r="E67" s="5" t="s">
        <v>64</v>
      </c>
      <c r="F67" s="5"/>
      <c r="G67" s="5" t="s">
        <v>217</v>
      </c>
      <c r="H67" s="5" t="s">
        <v>27</v>
      </c>
      <c r="I67" s="6">
        <v>220000</v>
      </c>
      <c r="J67" s="6">
        <f>IF(D67="Thu",I67,0)</f>
        <v>0</v>
      </c>
      <c r="K67" s="6">
        <f>IF(D67="Chi",I67,0)</f>
        <v>220000</v>
      </c>
      <c r="L67" s="6" t="e">
        <f>L66+J67-K67</f>
        <v>#VALUE!</v>
      </c>
      <c r="M67" s="6">
        <f ca="1">IFERROR(__xludf.DUMMYFUNCTION("SUM(FILTER(J:J, H:H=""Tiền mặt"")) - SUM(FILTER(K:K, H:H=""Tiền mặt""))
"),959000)</f>
        <v>959000</v>
      </c>
      <c r="N67" s="6">
        <f ca="1">IFERROR(__xludf.DUMMYFUNCTION("SUM(FILTER(J:J, H:H=""Chuyển khoản"")) - SUM(FILTER(K:K, H:H=""Chuyển khoản""))
"),4468984)</f>
        <v>4468984</v>
      </c>
      <c r="O67" s="5"/>
      <c r="P67" s="5"/>
      <c r="Q67" s="5"/>
      <c r="R67" s="5"/>
      <c r="S67" s="5"/>
    </row>
    <row r="68" spans="1:19" ht="15.75" customHeight="1" x14ac:dyDescent="0.2">
      <c r="A68" s="3">
        <v>46189</v>
      </c>
      <c r="B68" s="4" t="str">
        <f>IF(A68="","","PC-"&amp;TEXT(A68,"mm/yyyy")&amp;"-"&amp;TEXT(COUNTIFS($A$2:A68,"&gt;="&amp;EOMONTH(A68,-1)+1,$A$2:A68,"&lt;="&amp;EOMONTH(A68,0)),"000"))</f>
        <v>PC-06/2026-067</v>
      </c>
      <c r="C68" s="5" t="s">
        <v>1539</v>
      </c>
      <c r="D68" s="5" t="s">
        <v>29</v>
      </c>
      <c r="E68" s="5" t="s">
        <v>64</v>
      </c>
      <c r="F68" s="5"/>
      <c r="G68" s="5" t="s">
        <v>217</v>
      </c>
      <c r="H68" s="5" t="s">
        <v>27</v>
      </c>
      <c r="I68" s="6">
        <v>240000</v>
      </c>
      <c r="J68" s="6">
        <f>IF(D68="Thu",I68,0)</f>
        <v>0</v>
      </c>
      <c r="K68" s="6">
        <f>IF(D68="Chi",I68,0)</f>
        <v>240000</v>
      </c>
      <c r="L68" s="6" t="e">
        <f>L67+J68-K68</f>
        <v>#VALUE!</v>
      </c>
      <c r="M68" s="6">
        <f ca="1">IFERROR(__xludf.DUMMYFUNCTION("SUM(FILTER(J:J, H:H=""Tiền mặt"")) - SUM(FILTER(K:K, H:H=""Tiền mặt""))
"),959000)</f>
        <v>959000</v>
      </c>
      <c r="N68" s="6">
        <f ca="1">IFERROR(__xludf.DUMMYFUNCTION("SUM(FILTER(J:J, H:H=""Chuyển khoản"")) - SUM(FILTER(K:K, H:H=""Chuyển khoản""))
"),4468984)</f>
        <v>4468984</v>
      </c>
      <c r="O68" s="5"/>
      <c r="P68" s="5"/>
      <c r="Q68" s="5"/>
      <c r="R68" s="5"/>
      <c r="S68" s="5"/>
    </row>
    <row r="69" spans="1:19" ht="15.75" customHeight="1" x14ac:dyDescent="0.2">
      <c r="A69" s="3">
        <v>46189</v>
      </c>
      <c r="B69" s="4" t="str">
        <f>IF(A69="","","PC-"&amp;TEXT(A69,"mm/yyyy")&amp;"-"&amp;TEXT(COUNTIFS($A$2:A69,"&gt;="&amp;EOMONTH(A69,-1)+1,$A$2:A69,"&lt;="&amp;EOMONTH(A69,0)),"000"))</f>
        <v>PC-06/2026-068</v>
      </c>
      <c r="C69" s="5" t="s">
        <v>639</v>
      </c>
      <c r="D69" s="5" t="s">
        <v>29</v>
      </c>
      <c r="E69" s="5" t="s">
        <v>30</v>
      </c>
      <c r="F69" s="5"/>
      <c r="G69" s="5" t="s">
        <v>72</v>
      </c>
      <c r="H69" s="5" t="s">
        <v>27</v>
      </c>
      <c r="I69" s="6">
        <v>181000</v>
      </c>
      <c r="J69" s="6">
        <f>IF(D69="Thu",I69,0)</f>
        <v>0</v>
      </c>
      <c r="K69" s="6">
        <f>IF(D69="Chi",I69,0)</f>
        <v>181000</v>
      </c>
      <c r="L69" s="6" t="e">
        <f>L68+J69-K69</f>
        <v>#VALUE!</v>
      </c>
      <c r="M69" s="6">
        <f ca="1">IFERROR(__xludf.DUMMYFUNCTION("SUM(FILTER(J:J, H:H=""Tiền mặt"")) - SUM(FILTER(K:K, H:H=""Tiền mặt""))
"),959000)</f>
        <v>959000</v>
      </c>
      <c r="N69" s="6">
        <f ca="1">IFERROR(__xludf.DUMMYFUNCTION("SUM(FILTER(J:J, H:H=""Chuyển khoản"")) - SUM(FILTER(K:K, H:H=""Chuyển khoản""))
"),4468984)</f>
        <v>4468984</v>
      </c>
      <c r="O69" s="5"/>
      <c r="P69" s="5"/>
      <c r="Q69" s="5"/>
      <c r="R69" s="5"/>
      <c r="S69" s="5"/>
    </row>
    <row r="70" spans="1:19" ht="15.75" customHeight="1" x14ac:dyDescent="0.2">
      <c r="A70" s="3">
        <v>46189</v>
      </c>
      <c r="B70" s="4" t="str">
        <f>IF(A70="","","PC-"&amp;TEXT(A70,"mm/yyyy")&amp;"-"&amp;TEXT(COUNTIFS($A$2:A70,"&gt;="&amp;EOMONTH(A70,-1)+1,$A$2:A70,"&lt;="&amp;EOMONTH(A70,0)),"000"))</f>
        <v>PC-06/2026-069</v>
      </c>
      <c r="C70" s="7" t="s">
        <v>1540</v>
      </c>
      <c r="D70" s="5" t="s">
        <v>29</v>
      </c>
      <c r="E70" s="5" t="s">
        <v>64</v>
      </c>
      <c r="F70" s="5"/>
      <c r="G70" s="5" t="s">
        <v>86</v>
      </c>
      <c r="H70" s="5" t="s">
        <v>27</v>
      </c>
      <c r="I70" s="6">
        <v>235000</v>
      </c>
      <c r="J70" s="6">
        <f>IF(D70="Thu",I70,0)</f>
        <v>0</v>
      </c>
      <c r="K70" s="6">
        <f>IF(D70="Chi",I70,0)</f>
        <v>235000</v>
      </c>
      <c r="L70" s="6" t="e">
        <f>L69+J70-K70</f>
        <v>#VALUE!</v>
      </c>
      <c r="M70" s="6">
        <f ca="1">IFERROR(__xludf.DUMMYFUNCTION("SUM(FILTER(J:J, H:H=""Tiền mặt"")) - SUM(FILTER(K:K, H:H=""Tiền mặt""))
"),959000)</f>
        <v>959000</v>
      </c>
      <c r="N70" s="6">
        <f ca="1">IFERROR(__xludf.DUMMYFUNCTION("SUM(FILTER(J:J, H:H=""Chuyển khoản"")) - SUM(FILTER(K:K, H:H=""Chuyển khoản""))
"),4468984)</f>
        <v>4468984</v>
      </c>
      <c r="O70" s="5"/>
      <c r="P70" s="5"/>
      <c r="Q70" s="5"/>
      <c r="R70" s="5"/>
      <c r="S70" s="5"/>
    </row>
    <row r="71" spans="1:19" ht="15.75" customHeight="1" x14ac:dyDescent="0.2">
      <c r="A71" s="3">
        <v>46188</v>
      </c>
      <c r="B71" s="4" t="str">
        <f>IF(A71="","","PC-"&amp;TEXT(A71,"mm/yyyy")&amp;"-"&amp;TEXT(COUNTIFS($A$2:A71,"&gt;="&amp;EOMONTH(A71,-1)+1,$A$2:A71,"&lt;="&amp;EOMONTH(A71,0)),"000"))</f>
        <v>PC-06/2026-070</v>
      </c>
      <c r="C71" s="5" t="s">
        <v>1520</v>
      </c>
      <c r="D71" s="5" t="s">
        <v>29</v>
      </c>
      <c r="E71" s="5" t="s">
        <v>44</v>
      </c>
      <c r="F71" s="5"/>
      <c r="G71" s="5" t="s">
        <v>432</v>
      </c>
      <c r="H71" s="5" t="s">
        <v>23</v>
      </c>
      <c r="I71" s="6">
        <v>2000000</v>
      </c>
      <c r="J71" s="6">
        <f>IF(D71="Thu",I71,0)</f>
        <v>0</v>
      </c>
      <c r="K71" s="6">
        <f>IF(D71="Chi",I71,0)</f>
        <v>2000000</v>
      </c>
      <c r="L71" s="6" t="e">
        <f>L70+J71-K71</f>
        <v>#VALUE!</v>
      </c>
      <c r="M71" s="6">
        <f ca="1">IFERROR(__xludf.DUMMYFUNCTION("SUM(FILTER(J:J, H:H=""Tiền mặt"")) - SUM(FILTER(K:K, H:H=""Tiền mặt""))
"),959000)</f>
        <v>959000</v>
      </c>
      <c r="N71" s="6">
        <f ca="1">IFERROR(__xludf.DUMMYFUNCTION("SUM(FILTER(J:J, H:H=""Chuyển khoản"")) - SUM(FILTER(K:K, H:H=""Chuyển khoản""))
"),4468984)</f>
        <v>4468984</v>
      </c>
      <c r="O71" s="5"/>
      <c r="P71" s="5"/>
      <c r="Q71" s="5"/>
      <c r="R71" s="5"/>
      <c r="S71" s="5"/>
    </row>
    <row r="72" spans="1:19" ht="15.75" customHeight="1" x14ac:dyDescent="0.2">
      <c r="A72" s="3">
        <v>46188</v>
      </c>
      <c r="B72" s="4" t="str">
        <f>IF(A72="","","PC-"&amp;TEXT(A72,"mm/yyyy")&amp;"-"&amp;TEXT(COUNTIFS($A$2:A72,"&gt;="&amp;EOMONTH(A72,-1)+1,$A$2:A72,"&lt;="&amp;EOMONTH(A72,0)),"000"))</f>
        <v>PC-06/2026-071</v>
      </c>
      <c r="C72" s="7" t="s">
        <v>1521</v>
      </c>
      <c r="D72" s="5" t="s">
        <v>29</v>
      </c>
      <c r="E72" s="5" t="s">
        <v>47</v>
      </c>
      <c r="F72" s="5"/>
      <c r="G72" s="5" t="s">
        <v>48</v>
      </c>
      <c r="H72" s="5" t="s">
        <v>23</v>
      </c>
      <c r="I72" s="6">
        <v>50000</v>
      </c>
      <c r="J72" s="6">
        <f>IF(D72="Thu",I72,0)</f>
        <v>0</v>
      </c>
      <c r="K72" s="6">
        <f>IF(D72="Chi",I72,0)</f>
        <v>50000</v>
      </c>
      <c r="L72" s="6" t="e">
        <f>L71+J72-K72</f>
        <v>#VALUE!</v>
      </c>
      <c r="M72" s="6">
        <f ca="1">IFERROR(__xludf.DUMMYFUNCTION("SUM(FILTER(J:J, H:H=""Tiền mặt"")) - SUM(FILTER(K:K, H:H=""Tiền mặt""))
"),959000)</f>
        <v>959000</v>
      </c>
      <c r="N72" s="6">
        <f ca="1">IFERROR(__xludf.DUMMYFUNCTION("SUM(FILTER(J:J, H:H=""Chuyển khoản"")) - SUM(FILTER(K:K, H:H=""Chuyển khoản""))
"),4468984)</f>
        <v>4468984</v>
      </c>
      <c r="O72" s="5"/>
      <c r="P72" s="5"/>
      <c r="Q72" s="5"/>
      <c r="R72" s="5"/>
      <c r="S72" s="5"/>
    </row>
    <row r="73" spans="1:19" ht="15.75" customHeight="1" x14ac:dyDescent="0.2">
      <c r="A73" s="3">
        <v>46188</v>
      </c>
      <c r="B73" s="4" t="str">
        <f>IF(A73="","","PC-"&amp;TEXT(A73,"mm/yyyy")&amp;"-"&amp;TEXT(COUNTIFS($A$2:A73,"&gt;="&amp;EOMONTH(A73,-1)+1,$A$2:A73,"&lt;="&amp;EOMONTH(A73,0)),"000"))</f>
        <v>PC-06/2026-072</v>
      </c>
      <c r="C73" s="5" t="s">
        <v>528</v>
      </c>
      <c r="D73" s="5" t="s">
        <v>29</v>
      </c>
      <c r="E73" s="5" t="s">
        <v>36</v>
      </c>
      <c r="F73" s="5"/>
      <c r="G73" s="5" t="s">
        <v>37</v>
      </c>
      <c r="H73" s="5" t="s">
        <v>23</v>
      </c>
      <c r="I73" s="6">
        <v>110000</v>
      </c>
      <c r="J73" s="6">
        <f>IF(D73="Thu",I73,0)</f>
        <v>0</v>
      </c>
      <c r="K73" s="6">
        <f>IF(D73="Chi",I73,0)</f>
        <v>110000</v>
      </c>
      <c r="L73" s="6" t="e">
        <f>L72+J73-K73</f>
        <v>#VALUE!</v>
      </c>
      <c r="M73" s="6">
        <f ca="1">IFERROR(__xludf.DUMMYFUNCTION("SUM(FILTER(J:J, H:H=""Tiền mặt"")) - SUM(FILTER(K:K, H:H=""Tiền mặt""))
"),959000)</f>
        <v>959000</v>
      </c>
      <c r="N73" s="6">
        <f ca="1">IFERROR(__xludf.DUMMYFUNCTION("SUM(FILTER(J:J, H:H=""Chuyển khoản"")) - SUM(FILTER(K:K, H:H=""Chuyển khoản""))
"),4468984)</f>
        <v>4468984</v>
      </c>
      <c r="O73" s="5"/>
      <c r="P73" s="5"/>
      <c r="Q73" s="5"/>
      <c r="R73" s="5"/>
      <c r="S73" s="5"/>
    </row>
    <row r="74" spans="1:19" ht="15.75" customHeight="1" x14ac:dyDescent="0.2">
      <c r="A74" s="3">
        <v>46188</v>
      </c>
      <c r="B74" s="4" t="str">
        <f>IF(A74="","","PC-"&amp;TEXT(A74,"mm/yyyy")&amp;"-"&amp;TEXT(COUNTIFS($A$2:A74,"&gt;="&amp;EOMONTH(A74,-1)+1,$A$2:A74,"&lt;="&amp;EOMONTH(A74,0)),"000"))</f>
        <v>PC-06/2026-073</v>
      </c>
      <c r="C74" s="5" t="s">
        <v>472</v>
      </c>
      <c r="D74" s="5" t="s">
        <v>29</v>
      </c>
      <c r="E74" s="5" t="s">
        <v>36</v>
      </c>
      <c r="F74" s="5"/>
      <c r="G74" s="5" t="s">
        <v>37</v>
      </c>
      <c r="H74" s="5" t="s">
        <v>23</v>
      </c>
      <c r="I74" s="6">
        <v>50000</v>
      </c>
      <c r="J74" s="6">
        <f>IF(D74="Thu",I74,0)</f>
        <v>0</v>
      </c>
      <c r="K74" s="6">
        <f>IF(D74="Chi",I74,0)</f>
        <v>50000</v>
      </c>
      <c r="L74" s="6" t="e">
        <f>L73+J74-K74</f>
        <v>#VALUE!</v>
      </c>
      <c r="M74" s="6">
        <f ca="1">IFERROR(__xludf.DUMMYFUNCTION("SUM(FILTER(J:J, H:H=""Tiền mặt"")) - SUM(FILTER(K:K, H:H=""Tiền mặt""))
"),959000)</f>
        <v>959000</v>
      </c>
      <c r="N74" s="6">
        <f ca="1">IFERROR(__xludf.DUMMYFUNCTION("SUM(FILTER(J:J, H:H=""Chuyển khoản"")) - SUM(FILTER(K:K, H:H=""Chuyển khoản""))
"),4468984)</f>
        <v>4468984</v>
      </c>
      <c r="O74" s="5"/>
      <c r="P74" s="5"/>
      <c r="Q74" s="5"/>
      <c r="R74" s="5"/>
      <c r="S74" s="5"/>
    </row>
    <row r="75" spans="1:19" ht="15.75" customHeight="1" x14ac:dyDescent="0.2">
      <c r="A75" s="3">
        <v>46188</v>
      </c>
      <c r="B75" s="4" t="str">
        <f>IF(A75="","","PC-"&amp;TEXT(A75,"mm/yyyy")&amp;"-"&amp;TEXT(COUNTIFS($A$2:A75,"&gt;="&amp;EOMONTH(A75,-1)+1,$A$2:A75,"&lt;="&amp;EOMONTH(A75,0)),"000"))</f>
        <v>PC-06/2026-074</v>
      </c>
      <c r="C75" s="5" t="s">
        <v>1522</v>
      </c>
      <c r="D75" s="5" t="s">
        <v>29</v>
      </c>
      <c r="E75" s="5" t="s">
        <v>41</v>
      </c>
      <c r="F75" s="5"/>
      <c r="G75" s="5" t="s">
        <v>82</v>
      </c>
      <c r="H75" s="5" t="s">
        <v>23</v>
      </c>
      <c r="I75" s="6">
        <v>100000</v>
      </c>
      <c r="J75" s="6">
        <f>IF(D75="Thu",I75,0)</f>
        <v>0</v>
      </c>
      <c r="K75" s="6">
        <f>IF(D75="Chi",I75,0)</f>
        <v>100000</v>
      </c>
      <c r="L75" s="6" t="e">
        <f>L74+J75-K75</f>
        <v>#VALUE!</v>
      </c>
      <c r="M75" s="6">
        <f ca="1">IFERROR(__xludf.DUMMYFUNCTION("SUM(FILTER(J:J, H:H=""Tiền mặt"")) - SUM(FILTER(K:K, H:H=""Tiền mặt""))
"),959000)</f>
        <v>959000</v>
      </c>
      <c r="N75" s="6">
        <f ca="1">IFERROR(__xludf.DUMMYFUNCTION("SUM(FILTER(J:J, H:H=""Chuyển khoản"")) - SUM(FILTER(K:K, H:H=""Chuyển khoản""))
"),4468984)</f>
        <v>4468984</v>
      </c>
      <c r="O75" s="5"/>
      <c r="P75" s="5"/>
      <c r="Q75" s="5"/>
      <c r="R75" s="5"/>
      <c r="S75" s="5"/>
    </row>
    <row r="76" spans="1:19" ht="15.75" customHeight="1" x14ac:dyDescent="0.2">
      <c r="A76" s="3">
        <v>46188</v>
      </c>
      <c r="B76" s="4" t="str">
        <f>IF(A76="","","PC-"&amp;TEXT(A76,"mm/yyyy")&amp;"-"&amp;TEXT(COUNTIFS($A$2:A76,"&gt;="&amp;EOMONTH(A76,-1)+1,$A$2:A76,"&lt;="&amp;EOMONTH(A76,0)),"000"))</f>
        <v>PC-06/2026-075</v>
      </c>
      <c r="C76" s="7" t="s">
        <v>1523</v>
      </c>
      <c r="D76" s="5" t="s">
        <v>29</v>
      </c>
      <c r="E76" s="5" t="s">
        <v>41</v>
      </c>
      <c r="F76" s="5"/>
      <c r="G76" s="5" t="s">
        <v>82</v>
      </c>
      <c r="H76" s="5" t="s">
        <v>23</v>
      </c>
      <c r="I76" s="6">
        <v>100000</v>
      </c>
      <c r="J76" s="6">
        <f>IF(D76="Thu",I76,0)</f>
        <v>0</v>
      </c>
      <c r="K76" s="6">
        <f>IF(D76="Chi",I76,0)</f>
        <v>100000</v>
      </c>
      <c r="L76" s="6" t="e">
        <f>L75+J76-K76</f>
        <v>#VALUE!</v>
      </c>
      <c r="M76" s="6">
        <f ca="1">IFERROR(__xludf.DUMMYFUNCTION("SUM(FILTER(J:J, H:H=""Tiền mặt"")) - SUM(FILTER(K:K, H:H=""Tiền mặt""))
"),959000)</f>
        <v>959000</v>
      </c>
      <c r="N76" s="6">
        <f ca="1">IFERROR(__xludf.DUMMYFUNCTION("SUM(FILTER(J:J, H:H=""Chuyển khoản"")) - SUM(FILTER(K:K, H:H=""Chuyển khoản""))
"),4468984)</f>
        <v>4468984</v>
      </c>
      <c r="O76" s="5"/>
      <c r="P76" s="5"/>
      <c r="Q76" s="5"/>
      <c r="R76" s="5"/>
      <c r="S76" s="5"/>
    </row>
    <row r="77" spans="1:19" ht="15.75" customHeight="1" x14ac:dyDescent="0.2">
      <c r="A77" s="3">
        <v>46188</v>
      </c>
      <c r="B77" s="4" t="str">
        <f>IF(A77="","","PC-"&amp;TEXT(A77,"mm/yyyy")&amp;"-"&amp;TEXT(COUNTIFS($A$2:A77,"&gt;="&amp;EOMONTH(A77,-1)+1,$A$2:A77,"&lt;="&amp;EOMONTH(A77,0)),"000"))</f>
        <v>PC-06/2026-076</v>
      </c>
      <c r="C77" s="7" t="s">
        <v>1524</v>
      </c>
      <c r="D77" s="5" t="s">
        <v>29</v>
      </c>
      <c r="E77" s="5" t="s">
        <v>88</v>
      </c>
      <c r="F77" s="5"/>
      <c r="G77" s="5" t="s">
        <v>89</v>
      </c>
      <c r="H77" s="5" t="s">
        <v>23</v>
      </c>
      <c r="I77" s="6">
        <v>2500000</v>
      </c>
      <c r="J77" s="6">
        <f>IF(D77="Thu",I77,0)</f>
        <v>0</v>
      </c>
      <c r="K77" s="6">
        <f>IF(D77="Chi",I77,0)</f>
        <v>2500000</v>
      </c>
      <c r="L77" s="6" t="e">
        <f>L76+J77-K77</f>
        <v>#VALUE!</v>
      </c>
      <c r="M77" s="6">
        <f ca="1">IFERROR(__xludf.DUMMYFUNCTION("SUM(FILTER(J:J, H:H=""Tiền mặt"")) - SUM(FILTER(K:K, H:H=""Tiền mặt""))
"),959000)</f>
        <v>959000</v>
      </c>
      <c r="N77" s="6">
        <f ca="1">IFERROR(__xludf.DUMMYFUNCTION("SUM(FILTER(J:J, H:H=""Chuyển khoản"")) - SUM(FILTER(K:K, H:H=""Chuyển khoản""))
"),4468984)</f>
        <v>4468984</v>
      </c>
      <c r="O77" s="5"/>
      <c r="P77" s="5"/>
      <c r="Q77" s="5"/>
      <c r="R77" s="5"/>
      <c r="S77" s="5"/>
    </row>
    <row r="78" spans="1:19" ht="15.75" customHeight="1" x14ac:dyDescent="0.2">
      <c r="A78" s="3">
        <v>46188</v>
      </c>
      <c r="B78" s="4" t="str">
        <f>IF(A78="","","PC-"&amp;TEXT(A78,"mm/yyyy")&amp;"-"&amp;TEXT(COUNTIFS($A$2:A78,"&gt;="&amp;EOMONTH(A78,-1)+1,$A$2:A78,"&lt;="&amp;EOMONTH(A78,0)),"000"))</f>
        <v>PC-06/2026-077</v>
      </c>
      <c r="C78" s="5" t="s">
        <v>1525</v>
      </c>
      <c r="D78" s="5" t="s">
        <v>29</v>
      </c>
      <c r="E78" s="5" t="s">
        <v>41</v>
      </c>
      <c r="F78" s="5"/>
      <c r="G78" s="5" t="s">
        <v>82</v>
      </c>
      <c r="H78" s="5" t="s">
        <v>23</v>
      </c>
      <c r="I78" s="6">
        <v>100000</v>
      </c>
      <c r="J78" s="6">
        <f>IF(D78="Thu",I78,0)</f>
        <v>0</v>
      </c>
      <c r="K78" s="6">
        <f>IF(D78="Chi",I78,0)</f>
        <v>100000</v>
      </c>
      <c r="L78" s="6" t="e">
        <f>L77+J78-K78</f>
        <v>#VALUE!</v>
      </c>
      <c r="M78" s="6">
        <f ca="1">IFERROR(__xludf.DUMMYFUNCTION("SUM(FILTER(J:J, H:H=""Tiền mặt"")) - SUM(FILTER(K:K, H:H=""Tiền mặt""))
"),959000)</f>
        <v>959000</v>
      </c>
      <c r="N78" s="6">
        <f ca="1">IFERROR(__xludf.DUMMYFUNCTION("SUM(FILTER(J:J, H:H=""Chuyển khoản"")) - SUM(FILTER(K:K, H:H=""Chuyển khoản""))
"),4468984)</f>
        <v>4468984</v>
      </c>
      <c r="O78" s="5"/>
      <c r="P78" s="5"/>
      <c r="Q78" s="5"/>
      <c r="R78" s="5"/>
      <c r="S78" s="5"/>
    </row>
    <row r="79" spans="1:19" ht="15.75" customHeight="1" x14ac:dyDescent="0.2">
      <c r="A79" s="3">
        <v>46188</v>
      </c>
      <c r="B79" s="4" t="str">
        <f>IF(A79="","","PC-"&amp;TEXT(A79,"mm/yyyy")&amp;"-"&amp;TEXT(COUNTIFS($A$2:A79,"&gt;="&amp;EOMONTH(A79,-1)+1,$A$2:A79,"&lt;="&amp;EOMONTH(A79,0)),"000"))</f>
        <v>PC-06/2026-078</v>
      </c>
      <c r="C79" s="5" t="s">
        <v>1526</v>
      </c>
      <c r="D79" s="5" t="s">
        <v>29</v>
      </c>
      <c r="E79" s="5" t="s">
        <v>71</v>
      </c>
      <c r="F79" s="5"/>
      <c r="G79" s="5" t="s">
        <v>816</v>
      </c>
      <c r="H79" s="5" t="s">
        <v>27</v>
      </c>
      <c r="I79" s="6">
        <v>49000</v>
      </c>
      <c r="J79" s="6">
        <f>IF(D79="Thu",I79,0)</f>
        <v>0</v>
      </c>
      <c r="K79" s="6">
        <f>IF(D79="Chi",I79,0)</f>
        <v>49000</v>
      </c>
      <c r="L79" s="6" t="e">
        <f>L78+J79-K79</f>
        <v>#VALUE!</v>
      </c>
      <c r="M79" s="6">
        <f ca="1">IFERROR(__xludf.DUMMYFUNCTION("SUM(FILTER(J:J, H:H=""Tiền mặt"")) - SUM(FILTER(K:K, H:H=""Tiền mặt""))
"),959000)</f>
        <v>959000</v>
      </c>
      <c r="N79" s="6">
        <f ca="1">IFERROR(__xludf.DUMMYFUNCTION("SUM(FILTER(J:J, H:H=""Chuyển khoản"")) - SUM(FILTER(K:K, H:H=""Chuyển khoản""))
"),4468984)</f>
        <v>4468984</v>
      </c>
      <c r="O79" s="5"/>
      <c r="P79" s="5"/>
      <c r="Q79" s="5"/>
      <c r="R79" s="5"/>
      <c r="S79" s="5"/>
    </row>
    <row r="80" spans="1:19" ht="15.75" customHeight="1" x14ac:dyDescent="0.2">
      <c r="A80" s="3">
        <v>46188</v>
      </c>
      <c r="B80" s="4" t="str">
        <f>IF(A80="","","PC-"&amp;TEXT(A80,"mm/yyyy")&amp;"-"&amp;TEXT(COUNTIFS($A$2:A80,"&gt;="&amp;EOMONTH(A80,-1)+1,$A$2:A80,"&lt;="&amp;EOMONTH(A80,0)),"000"))</f>
        <v>PC-06/2026-079</v>
      </c>
      <c r="C80" s="5" t="s">
        <v>1527</v>
      </c>
      <c r="D80" s="5" t="s">
        <v>29</v>
      </c>
      <c r="E80" s="5" t="s">
        <v>41</v>
      </c>
      <c r="F80" s="5"/>
      <c r="G80" s="5" t="s">
        <v>82</v>
      </c>
      <c r="H80" s="5" t="s">
        <v>23</v>
      </c>
      <c r="I80" s="6">
        <v>100000</v>
      </c>
      <c r="J80" s="6">
        <f>IF(D80="Thu",I80,0)</f>
        <v>0</v>
      </c>
      <c r="K80" s="6">
        <f>IF(D80="Chi",I80,0)</f>
        <v>100000</v>
      </c>
      <c r="L80" s="6" t="e">
        <f>L79+J80-K80</f>
        <v>#VALUE!</v>
      </c>
      <c r="M80" s="6">
        <f ca="1">IFERROR(__xludf.DUMMYFUNCTION("SUM(FILTER(J:J, H:H=""Tiền mặt"")) - SUM(FILTER(K:K, H:H=""Tiền mặt""))
"),959000)</f>
        <v>959000</v>
      </c>
      <c r="N80" s="6">
        <f ca="1">IFERROR(__xludf.DUMMYFUNCTION("SUM(FILTER(J:J, H:H=""Chuyển khoản"")) - SUM(FILTER(K:K, H:H=""Chuyển khoản""))
"),4468984)</f>
        <v>4468984</v>
      </c>
      <c r="O80" s="5"/>
      <c r="P80" s="5"/>
      <c r="Q80" s="5"/>
      <c r="R80" s="5"/>
      <c r="S80" s="5"/>
    </row>
    <row r="81" spans="1:19" ht="15.75" customHeight="1" x14ac:dyDescent="0.2">
      <c r="A81" s="3">
        <v>46188</v>
      </c>
      <c r="B81" s="4" t="str">
        <f>IF(A81="","","PC-"&amp;TEXT(A81,"mm/yyyy")&amp;"-"&amp;TEXT(COUNTIFS($A$2:A81,"&gt;="&amp;EOMONTH(A81,-1)+1,$A$2:A81,"&lt;="&amp;EOMONTH(A81,0)),"000"))</f>
        <v>PC-06/2026-080</v>
      </c>
      <c r="C81" s="5" t="s">
        <v>1528</v>
      </c>
      <c r="D81" s="5" t="s">
        <v>29</v>
      </c>
      <c r="E81" s="5" t="s">
        <v>30</v>
      </c>
      <c r="F81" s="5"/>
      <c r="G81" s="5" t="s">
        <v>282</v>
      </c>
      <c r="H81" s="5" t="s">
        <v>27</v>
      </c>
      <c r="I81" s="6">
        <v>225000</v>
      </c>
      <c r="J81" s="6">
        <f>IF(D81="Thu",I81,0)</f>
        <v>0</v>
      </c>
      <c r="K81" s="6">
        <f>IF(D81="Chi",I81,0)</f>
        <v>225000</v>
      </c>
      <c r="L81" s="6" t="e">
        <f>L80+J81-K81</f>
        <v>#VALUE!</v>
      </c>
      <c r="M81" s="6">
        <f ca="1">IFERROR(__xludf.DUMMYFUNCTION("SUM(FILTER(J:J, H:H=""Tiền mặt"")) - SUM(FILTER(K:K, H:H=""Tiền mặt""))
"),959000)</f>
        <v>959000</v>
      </c>
      <c r="N81" s="6">
        <f ca="1">IFERROR(__xludf.DUMMYFUNCTION("SUM(FILTER(J:J, H:H=""Chuyển khoản"")) - SUM(FILTER(K:K, H:H=""Chuyển khoản""))
"),4468984)</f>
        <v>4468984</v>
      </c>
      <c r="O81" s="5"/>
      <c r="P81" s="5"/>
      <c r="Q81" s="5"/>
      <c r="R81" s="5"/>
      <c r="S81" s="5"/>
    </row>
    <row r="82" spans="1:19" ht="15.75" customHeight="1" x14ac:dyDescent="0.2">
      <c r="A82" s="3">
        <v>46188</v>
      </c>
      <c r="B82" s="4" t="str">
        <f>IF(A82="","","PC-"&amp;TEXT(A82,"mm/yyyy")&amp;"-"&amp;TEXT(COUNTIFS($A$2:A82,"&gt;="&amp;EOMONTH(A82,-1)+1,$A$2:A82,"&lt;="&amp;EOMONTH(A82,0)),"000"))</f>
        <v>PC-06/2026-081</v>
      </c>
      <c r="C82" s="5" t="s">
        <v>1529</v>
      </c>
      <c r="D82" s="5" t="s">
        <v>29</v>
      </c>
      <c r="E82" s="5" t="s">
        <v>51</v>
      </c>
      <c r="F82" s="5"/>
      <c r="G82" s="5" t="s">
        <v>52</v>
      </c>
      <c r="H82" s="5" t="s">
        <v>27</v>
      </c>
      <c r="I82" s="6">
        <v>173800</v>
      </c>
      <c r="J82" s="6">
        <f>IF(D82="Thu",I82,0)</f>
        <v>0</v>
      </c>
      <c r="K82" s="6">
        <f>IF(D82="Chi",I82,0)</f>
        <v>173800</v>
      </c>
      <c r="L82" s="6" t="e">
        <f>L81+J82-K82</f>
        <v>#VALUE!</v>
      </c>
      <c r="M82" s="6">
        <f ca="1">IFERROR(__xludf.DUMMYFUNCTION("SUM(FILTER(J:J, H:H=""Tiền mặt"")) - SUM(FILTER(K:K, H:H=""Tiền mặt""))
"),959000)</f>
        <v>959000</v>
      </c>
      <c r="N82" s="6">
        <f ca="1">IFERROR(__xludf.DUMMYFUNCTION("SUM(FILTER(J:J, H:H=""Chuyển khoản"")) - SUM(FILTER(K:K, H:H=""Chuyển khoản""))
"),4468984)</f>
        <v>4468984</v>
      </c>
      <c r="O82" s="5"/>
      <c r="P82" s="5"/>
      <c r="Q82" s="5"/>
      <c r="R82" s="5"/>
      <c r="S82" s="5"/>
    </row>
    <row r="83" spans="1:19" ht="15.75" customHeight="1" x14ac:dyDescent="0.2">
      <c r="A83" s="3">
        <v>46188</v>
      </c>
      <c r="B83" s="4" t="str">
        <f>IF(A83="","","PC-"&amp;TEXT(A83,"mm/yyyy")&amp;"-"&amp;TEXT(COUNTIFS($A$2:A83,"&gt;="&amp;EOMONTH(A83,-1)+1,$A$2:A83,"&lt;="&amp;EOMONTH(A83,0)),"000"))</f>
        <v>PC-06/2026-082</v>
      </c>
      <c r="C83" s="5" t="s">
        <v>1530</v>
      </c>
      <c r="D83" s="5" t="s">
        <v>29</v>
      </c>
      <c r="E83" s="5" t="s">
        <v>346</v>
      </c>
      <c r="F83" s="5"/>
      <c r="G83" s="5" t="s">
        <v>347</v>
      </c>
      <c r="H83" s="5" t="s">
        <v>27</v>
      </c>
      <c r="I83" s="6">
        <v>1000000</v>
      </c>
      <c r="J83" s="6">
        <f>IF(D83="Thu",I83,0)</f>
        <v>0</v>
      </c>
      <c r="K83" s="6">
        <f>IF(D83="Chi",I83,0)</f>
        <v>1000000</v>
      </c>
      <c r="L83" s="6" t="e">
        <f>L82+J83-K83</f>
        <v>#VALUE!</v>
      </c>
      <c r="M83" s="6">
        <f ca="1">IFERROR(__xludf.DUMMYFUNCTION("SUM(FILTER(J:J, H:H=""Tiền mặt"")) - SUM(FILTER(K:K, H:H=""Tiền mặt""))
"),959000)</f>
        <v>959000</v>
      </c>
      <c r="N83" s="6">
        <f ca="1">IFERROR(__xludf.DUMMYFUNCTION("SUM(FILTER(J:J, H:H=""Chuyển khoản"")) - SUM(FILTER(K:K, H:H=""Chuyển khoản""))
"),4468984)</f>
        <v>4468984</v>
      </c>
      <c r="O83" s="5"/>
      <c r="P83" s="5"/>
      <c r="Q83" s="5"/>
      <c r="R83" s="5"/>
      <c r="S83" s="5"/>
    </row>
    <row r="84" spans="1:19" ht="15.75" customHeight="1" x14ac:dyDescent="0.2">
      <c r="A84" s="3">
        <v>46186</v>
      </c>
      <c r="B84" s="4" t="str">
        <f>IF(A84="","","PC-"&amp;TEXT(A84,"mm/yyyy")&amp;"-"&amp;TEXT(COUNTIFS($A$2:A84,"&gt;="&amp;EOMONTH(A84,-1)+1,$A$2:A84,"&lt;="&amp;EOMONTH(A84,0)),"000"))</f>
        <v>PC-06/2026-083</v>
      </c>
      <c r="C84" s="5" t="s">
        <v>1517</v>
      </c>
      <c r="D84" s="5" t="s">
        <v>29</v>
      </c>
      <c r="E84" s="5" t="s">
        <v>41</v>
      </c>
      <c r="F84" s="5"/>
      <c r="G84" s="5" t="s">
        <v>82</v>
      </c>
      <c r="H84" s="5" t="s">
        <v>23</v>
      </c>
      <c r="I84" s="6">
        <v>100000</v>
      </c>
      <c r="J84" s="6">
        <f>IF(D84="Thu",I84,0)</f>
        <v>0</v>
      </c>
      <c r="K84" s="6">
        <f>IF(D84="Chi",I84,0)</f>
        <v>100000</v>
      </c>
      <c r="L84" s="6" t="e">
        <f>L83+J84-K84</f>
        <v>#VALUE!</v>
      </c>
      <c r="M84" s="6">
        <f ca="1">IFERROR(__xludf.DUMMYFUNCTION("SUM(FILTER(J:J, H:H=""Tiền mặt"")) - SUM(FILTER(K:K, H:H=""Tiền mặt""))
"),959000)</f>
        <v>959000</v>
      </c>
      <c r="N84" s="6">
        <f ca="1">IFERROR(__xludf.DUMMYFUNCTION("SUM(FILTER(J:J, H:H=""Chuyển khoản"")) - SUM(FILTER(K:K, H:H=""Chuyển khoản""))
"),4468984)</f>
        <v>4468984</v>
      </c>
      <c r="O84" s="5"/>
      <c r="P84" s="5"/>
      <c r="Q84" s="5"/>
      <c r="R84" s="5"/>
      <c r="S84" s="5"/>
    </row>
    <row r="85" spans="1:19" ht="15.75" customHeight="1" x14ac:dyDescent="0.2">
      <c r="A85" s="3">
        <v>46186</v>
      </c>
      <c r="B85" s="4" t="str">
        <f>IF(A85="","","PC-"&amp;TEXT(A85,"mm/yyyy")&amp;"-"&amp;TEXT(COUNTIFS($A$2:A85,"&gt;="&amp;EOMONTH(A85,-1)+1,$A$2:A85,"&lt;="&amp;EOMONTH(A85,0)),"000"))</f>
        <v>PC-06/2026-084</v>
      </c>
      <c r="C85" s="5" t="s">
        <v>1518</v>
      </c>
      <c r="D85" s="5" t="s">
        <v>29</v>
      </c>
      <c r="E85" s="5" t="s">
        <v>71</v>
      </c>
      <c r="F85" s="5"/>
      <c r="G85" s="5" t="s">
        <v>1519</v>
      </c>
      <c r="H85" s="5" t="s">
        <v>27</v>
      </c>
      <c r="I85" s="6">
        <v>27000</v>
      </c>
      <c r="J85" s="6">
        <f>IF(D85="Thu",I85,0)</f>
        <v>0</v>
      </c>
      <c r="K85" s="6">
        <f>IF(D85="Chi",I85,0)</f>
        <v>27000</v>
      </c>
      <c r="L85" s="6" t="e">
        <f>L84+J85-K85</f>
        <v>#VALUE!</v>
      </c>
      <c r="M85" s="6">
        <f ca="1">IFERROR(__xludf.DUMMYFUNCTION("SUM(FILTER(J:J, H:H=""Tiền mặt"")) - SUM(FILTER(K:K, H:H=""Tiền mặt""))
"),959000)</f>
        <v>959000</v>
      </c>
      <c r="N85" s="6">
        <f ca="1">IFERROR(__xludf.DUMMYFUNCTION("SUM(FILTER(J:J, H:H=""Chuyển khoản"")) - SUM(FILTER(K:K, H:H=""Chuyển khoản""))
"),4468984)</f>
        <v>4468984</v>
      </c>
      <c r="O85" s="5"/>
      <c r="P85" s="5"/>
      <c r="Q85" s="5"/>
      <c r="R85" s="5"/>
      <c r="S85" s="5"/>
    </row>
    <row r="86" spans="1:19" ht="15.75" customHeight="1" x14ac:dyDescent="0.2">
      <c r="A86" s="3">
        <v>46186</v>
      </c>
      <c r="B86" s="4" t="str">
        <f>IF(A86="","","PC-"&amp;TEXT(A86,"mm/yyyy")&amp;"-"&amp;TEXT(COUNTIFS($A$2:A86,"&gt;="&amp;EOMONTH(A86,-1)+1,$A$2:A86,"&lt;="&amp;EOMONTH(A86,0)),"000"))</f>
        <v>PC-06/2026-085</v>
      </c>
      <c r="C86" s="5" t="s">
        <v>168</v>
      </c>
      <c r="D86" s="5" t="s">
        <v>29</v>
      </c>
      <c r="E86" s="5" t="s">
        <v>153</v>
      </c>
      <c r="F86" s="5"/>
      <c r="G86" s="5" t="s">
        <v>72</v>
      </c>
      <c r="H86" s="5" t="s">
        <v>27</v>
      </c>
      <c r="I86" s="6">
        <v>190000</v>
      </c>
      <c r="J86" s="6">
        <f>IF(D86="Thu",I86,0)</f>
        <v>0</v>
      </c>
      <c r="K86" s="6">
        <f>IF(D86="Chi",I86,0)</f>
        <v>190000</v>
      </c>
      <c r="L86" s="6" t="e">
        <f>L85+J86-K86</f>
        <v>#VALUE!</v>
      </c>
      <c r="M86" s="6">
        <f ca="1">IFERROR(__xludf.DUMMYFUNCTION("SUM(FILTER(J:J, H:H=""Tiền mặt"")) - SUM(FILTER(K:K, H:H=""Tiền mặt""))
"),959000)</f>
        <v>959000</v>
      </c>
      <c r="N86" s="6">
        <f ca="1">IFERROR(__xludf.DUMMYFUNCTION("SUM(FILTER(J:J, H:H=""Chuyển khoản"")) - SUM(FILTER(K:K, H:H=""Chuyển khoản""))
"),4468984)</f>
        <v>4468984</v>
      </c>
      <c r="O86" s="5"/>
      <c r="P86" s="5"/>
      <c r="Q86" s="5"/>
      <c r="R86" s="5"/>
      <c r="S86" s="5"/>
    </row>
    <row r="87" spans="1:19" ht="15.75" customHeight="1" x14ac:dyDescent="0.2">
      <c r="A87" s="3">
        <v>46185</v>
      </c>
      <c r="B87" s="4" t="str">
        <f>IF(A87="","","PC-"&amp;TEXT(A87,"mm/yyyy")&amp;"-"&amp;TEXT(COUNTIFS($A$2:A87,"&gt;="&amp;EOMONTH(A87,-1)+1,$A$2:A87,"&lt;="&amp;EOMONTH(A87,0)),"000"))</f>
        <v>PC-06/2026-086</v>
      </c>
      <c r="C87" s="51" t="s">
        <v>528</v>
      </c>
      <c r="D87" s="5" t="s">
        <v>29</v>
      </c>
      <c r="E87" s="5" t="s">
        <v>36</v>
      </c>
      <c r="F87" s="5"/>
      <c r="G87" s="5" t="s">
        <v>37</v>
      </c>
      <c r="H87" s="5" t="s">
        <v>23</v>
      </c>
      <c r="I87" s="6">
        <v>60000</v>
      </c>
      <c r="J87" s="6">
        <f>IF(D87="Thu",I87,0)</f>
        <v>0</v>
      </c>
      <c r="K87" s="6">
        <f>IF(D87="Chi",I87,0)</f>
        <v>60000</v>
      </c>
      <c r="L87" s="6" t="e">
        <f>L86+J87-K87</f>
        <v>#VALUE!</v>
      </c>
      <c r="M87" s="6">
        <f ca="1">IFERROR(__xludf.DUMMYFUNCTION("SUM(FILTER(J:J, H:H=""Tiền mặt"")) - SUM(FILTER(K:K, H:H=""Tiền mặt""))
"),959000)</f>
        <v>959000</v>
      </c>
      <c r="N87" s="6">
        <f ca="1">IFERROR(__xludf.DUMMYFUNCTION("SUM(FILTER(J:J, H:H=""Chuyển khoản"")) - SUM(FILTER(K:K, H:H=""Chuyển khoản""))
"),4468984)</f>
        <v>4468984</v>
      </c>
      <c r="O87" s="5"/>
      <c r="P87" s="5"/>
      <c r="Q87" s="5"/>
      <c r="R87" s="5"/>
      <c r="S87" s="5"/>
    </row>
    <row r="88" spans="1:19" ht="15.75" customHeight="1" x14ac:dyDescent="0.2">
      <c r="A88" s="3">
        <v>46185</v>
      </c>
      <c r="B88" s="4" t="str">
        <f>IF(A88="","","PC-"&amp;TEXT(A88,"mm/yyyy")&amp;"-"&amp;TEXT(COUNTIFS($A$2:A88,"&gt;="&amp;EOMONTH(A88,-1)+1,$A$2:A88,"&lt;="&amp;EOMONTH(A88,0)),"000"))</f>
        <v>PC-06/2026-087</v>
      </c>
      <c r="C88" s="5" t="s">
        <v>1505</v>
      </c>
      <c r="D88" s="5" t="s">
        <v>29</v>
      </c>
      <c r="E88" s="5" t="s">
        <v>36</v>
      </c>
      <c r="F88" s="5"/>
      <c r="G88" s="5" t="s">
        <v>37</v>
      </c>
      <c r="H88" s="5" t="s">
        <v>23</v>
      </c>
      <c r="I88" s="6">
        <v>30000</v>
      </c>
      <c r="J88" s="6">
        <f>IF(D88="Thu",I88,0)</f>
        <v>0</v>
      </c>
      <c r="K88" s="6">
        <f>IF(D88="Chi",I88,0)</f>
        <v>30000</v>
      </c>
      <c r="L88" s="6" t="e">
        <f>L87+J88-K88</f>
        <v>#VALUE!</v>
      </c>
      <c r="M88" s="6">
        <f ca="1">IFERROR(__xludf.DUMMYFUNCTION("SUM(FILTER(J:J, H:H=""Tiền mặt"")) - SUM(FILTER(K:K, H:H=""Tiền mặt""))
"),959000)</f>
        <v>959000</v>
      </c>
      <c r="N88" s="6">
        <f ca="1">IFERROR(__xludf.DUMMYFUNCTION("SUM(FILTER(J:J, H:H=""Chuyển khoản"")) - SUM(FILTER(K:K, H:H=""Chuyển khoản""))
"),4468984)</f>
        <v>4468984</v>
      </c>
      <c r="O88" s="5"/>
      <c r="P88" s="5"/>
      <c r="Q88" s="5"/>
      <c r="R88" s="5"/>
      <c r="S88" s="5"/>
    </row>
    <row r="89" spans="1:19" ht="15.75" customHeight="1" x14ac:dyDescent="0.2">
      <c r="A89" s="3">
        <v>46185</v>
      </c>
      <c r="B89" s="4" t="str">
        <f>IF(A89="","","PC-"&amp;TEXT(A89,"mm/yyyy")&amp;"-"&amp;TEXT(COUNTIFS($A$2:A89,"&gt;="&amp;EOMONTH(A89,-1)+1,$A$2:A89,"&lt;="&amp;EOMONTH(A89,0)),"000"))</f>
        <v>PC-06/2026-088</v>
      </c>
      <c r="C89" s="5" t="s">
        <v>1506</v>
      </c>
      <c r="D89" s="5" t="s">
        <v>29</v>
      </c>
      <c r="E89" s="5" t="s">
        <v>41</v>
      </c>
      <c r="F89" s="5"/>
      <c r="G89" s="5" t="s">
        <v>82</v>
      </c>
      <c r="H89" s="5" t="s">
        <v>23</v>
      </c>
      <c r="I89" s="6">
        <v>100000</v>
      </c>
      <c r="J89" s="6">
        <f>IF(D89="Thu",I89,0)</f>
        <v>0</v>
      </c>
      <c r="K89" s="6">
        <f>IF(D89="Chi",I89,0)</f>
        <v>100000</v>
      </c>
      <c r="L89" s="6" t="e">
        <f>L88+J89-K89</f>
        <v>#VALUE!</v>
      </c>
      <c r="M89" s="6">
        <f ca="1">IFERROR(__xludf.DUMMYFUNCTION("SUM(FILTER(J:J, H:H=""Tiền mặt"")) - SUM(FILTER(K:K, H:H=""Tiền mặt""))
"),959000)</f>
        <v>959000</v>
      </c>
      <c r="N89" s="6">
        <f ca="1">IFERROR(__xludf.DUMMYFUNCTION("SUM(FILTER(J:J, H:H=""Chuyển khoản"")) - SUM(FILTER(K:K, H:H=""Chuyển khoản""))
"),4468984)</f>
        <v>4468984</v>
      </c>
      <c r="O89" s="5"/>
      <c r="P89" s="5"/>
      <c r="Q89" s="5"/>
      <c r="R89" s="5"/>
      <c r="S89" s="5"/>
    </row>
    <row r="90" spans="1:19" ht="15.75" customHeight="1" x14ac:dyDescent="0.2">
      <c r="A90" s="3">
        <v>46185</v>
      </c>
      <c r="B90" s="4" t="str">
        <f>IF(A90="","","PC-"&amp;TEXT(A90,"mm/yyyy")&amp;"-"&amp;TEXT(COUNTIFS($A$2:A90,"&gt;="&amp;EOMONTH(A90,-1)+1,$A$2:A90,"&lt;="&amp;EOMONTH(A90,0)),"000"))</f>
        <v>PC-06/2026-089</v>
      </c>
      <c r="C90" s="5" t="s">
        <v>1507</v>
      </c>
      <c r="D90" s="5" t="s">
        <v>29</v>
      </c>
      <c r="E90" s="5" t="s">
        <v>141</v>
      </c>
      <c r="F90" s="5"/>
      <c r="G90" s="5" t="s">
        <v>52</v>
      </c>
      <c r="H90" s="5" t="s">
        <v>27</v>
      </c>
      <c r="I90" s="6">
        <v>781000</v>
      </c>
      <c r="J90" s="6">
        <f>IF(D90="Thu",I90,0)</f>
        <v>0</v>
      </c>
      <c r="K90" s="6">
        <f>IF(D90="Chi",I90,0)</f>
        <v>781000</v>
      </c>
      <c r="L90" s="6" t="e">
        <f>L89+J90-K90</f>
        <v>#VALUE!</v>
      </c>
      <c r="M90" s="6">
        <f ca="1">IFERROR(__xludf.DUMMYFUNCTION("SUM(FILTER(J:J, H:H=""Tiền mặt"")) - SUM(FILTER(K:K, H:H=""Tiền mặt""))
"),959000)</f>
        <v>959000</v>
      </c>
      <c r="N90" s="6">
        <f ca="1">IFERROR(__xludf.DUMMYFUNCTION("SUM(FILTER(J:J, H:H=""Chuyển khoản"")) - SUM(FILTER(K:K, H:H=""Chuyển khoản""))
"),4468984)</f>
        <v>4468984</v>
      </c>
      <c r="O90" s="5"/>
      <c r="P90" s="5"/>
      <c r="Q90" s="5"/>
      <c r="R90" s="5"/>
      <c r="S90" s="5"/>
    </row>
    <row r="91" spans="1:19" ht="15.75" customHeight="1" x14ac:dyDescent="0.2">
      <c r="A91" s="3">
        <v>46185</v>
      </c>
      <c r="B91" s="4" t="str">
        <f>IF(A91="","","PC-"&amp;TEXT(A91,"mm/yyyy")&amp;"-"&amp;TEXT(COUNTIFS($A$2:A91,"&gt;="&amp;EOMONTH(A91,-1)+1,$A$2:A91,"&lt;="&amp;EOMONTH(A91,0)),"000"))</f>
        <v>PC-06/2026-090</v>
      </c>
      <c r="C91" s="5" t="s">
        <v>1508</v>
      </c>
      <c r="D91" s="5" t="s">
        <v>29</v>
      </c>
      <c r="E91" s="5" t="s">
        <v>71</v>
      </c>
      <c r="F91" s="5"/>
      <c r="G91" s="5" t="s">
        <v>974</v>
      </c>
      <c r="H91" s="5" t="s">
        <v>27</v>
      </c>
      <c r="I91" s="6">
        <v>63000</v>
      </c>
      <c r="J91" s="6">
        <f>IF(D91="Thu",I91,0)</f>
        <v>0</v>
      </c>
      <c r="K91" s="6">
        <f>IF(D91="Chi",I91,0)</f>
        <v>63000</v>
      </c>
      <c r="L91" s="6" t="e">
        <f>L90+J91-K91</f>
        <v>#VALUE!</v>
      </c>
      <c r="M91" s="6">
        <f ca="1">IFERROR(__xludf.DUMMYFUNCTION("SUM(FILTER(J:J, H:H=""Tiền mặt"")) - SUM(FILTER(K:K, H:H=""Tiền mặt""))
"),959000)</f>
        <v>959000</v>
      </c>
      <c r="N91" s="6">
        <f ca="1">IFERROR(__xludf.DUMMYFUNCTION("SUM(FILTER(J:J, H:H=""Chuyển khoản"")) - SUM(FILTER(K:K, H:H=""Chuyển khoản""))
"),4468984)</f>
        <v>4468984</v>
      </c>
      <c r="O91" s="5"/>
      <c r="P91" s="5"/>
      <c r="Q91" s="5"/>
      <c r="R91" s="5"/>
      <c r="S91" s="5"/>
    </row>
    <row r="92" spans="1:19" ht="15.75" customHeight="1" x14ac:dyDescent="0.2">
      <c r="A92" s="3">
        <v>46185</v>
      </c>
      <c r="B92" s="4" t="str">
        <f>IF(A92="","","PC-"&amp;TEXT(A92,"mm/yyyy")&amp;"-"&amp;TEXT(COUNTIFS($A$2:A92,"&gt;="&amp;EOMONTH(A92,-1)+1,$A$2:A92,"&lt;="&amp;EOMONTH(A92,0)),"000"))</f>
        <v>PC-06/2026-091</v>
      </c>
      <c r="C92" s="5" t="s">
        <v>1509</v>
      </c>
      <c r="D92" s="5" t="s">
        <v>29</v>
      </c>
      <c r="E92" s="5" t="s">
        <v>36</v>
      </c>
      <c r="F92" s="5"/>
      <c r="G92" s="5" t="s">
        <v>154</v>
      </c>
      <c r="H92" s="5" t="s">
        <v>27</v>
      </c>
      <c r="I92" s="6">
        <v>1655000</v>
      </c>
      <c r="J92" s="6">
        <f>IF(D92="Thu",I92,0)</f>
        <v>0</v>
      </c>
      <c r="K92" s="6">
        <f>IF(D92="Chi",I92,0)</f>
        <v>1655000</v>
      </c>
      <c r="L92" s="6" t="e">
        <f>L91+J92-K92</f>
        <v>#VALUE!</v>
      </c>
      <c r="M92" s="6">
        <f ca="1">IFERROR(__xludf.DUMMYFUNCTION("SUM(FILTER(J:J, H:H=""Tiền mặt"")) - SUM(FILTER(K:K, H:H=""Tiền mặt""))
"),959000)</f>
        <v>959000</v>
      </c>
      <c r="N92" s="6">
        <f ca="1">IFERROR(__xludf.DUMMYFUNCTION("SUM(FILTER(J:J, H:H=""Chuyển khoản"")) - SUM(FILTER(K:K, H:H=""Chuyển khoản""))
"),4468984)</f>
        <v>4468984</v>
      </c>
      <c r="O92" s="5"/>
      <c r="P92" s="5"/>
      <c r="Q92" s="5"/>
      <c r="R92" s="5"/>
      <c r="S92" s="5"/>
    </row>
    <row r="93" spans="1:19" ht="15.75" customHeight="1" x14ac:dyDescent="0.2">
      <c r="A93" s="3">
        <v>46185</v>
      </c>
      <c r="B93" s="4" t="str">
        <f>IF(A93="","","PC-"&amp;TEXT(A93,"mm/yyyy")&amp;"-"&amp;TEXT(COUNTIFS($A$2:A93,"&gt;="&amp;EOMONTH(A93,-1)+1,$A$2:A93,"&lt;="&amp;EOMONTH(A93,0)),"000"))</f>
        <v>PC-06/2026-092</v>
      </c>
      <c r="C93" s="5" t="s">
        <v>1510</v>
      </c>
      <c r="D93" s="5" t="s">
        <v>29</v>
      </c>
      <c r="E93" s="5" t="s">
        <v>41</v>
      </c>
      <c r="F93" s="5"/>
      <c r="G93" s="5" t="s">
        <v>82</v>
      </c>
      <c r="H93" s="5" t="s">
        <v>23</v>
      </c>
      <c r="I93" s="6">
        <v>100000</v>
      </c>
      <c r="J93" s="6">
        <f>IF(D93="Thu",I93,0)</f>
        <v>0</v>
      </c>
      <c r="K93" s="6">
        <f>IF(D93="Chi",I93,0)</f>
        <v>100000</v>
      </c>
      <c r="L93" s="6" t="e">
        <f>L92+J93-K93</f>
        <v>#VALUE!</v>
      </c>
      <c r="M93" s="6">
        <f ca="1">IFERROR(__xludf.DUMMYFUNCTION("SUM(FILTER(J:J, H:H=""Tiền mặt"")) - SUM(FILTER(K:K, H:H=""Tiền mặt""))
"),959000)</f>
        <v>959000</v>
      </c>
      <c r="N93" s="6">
        <f ca="1">IFERROR(__xludf.DUMMYFUNCTION("SUM(FILTER(J:J, H:H=""Chuyển khoản"")) - SUM(FILTER(K:K, H:H=""Chuyển khoản""))
"),4468984)</f>
        <v>4468984</v>
      </c>
      <c r="O93" s="5"/>
      <c r="P93" s="5"/>
      <c r="Q93" s="5"/>
      <c r="R93" s="5"/>
      <c r="S93" s="5"/>
    </row>
    <row r="94" spans="1:19" ht="15.75" customHeight="1" x14ac:dyDescent="0.2">
      <c r="A94" s="3">
        <v>46185</v>
      </c>
      <c r="B94" s="4" t="str">
        <f>IF(A94="","","PC-"&amp;TEXT(A94,"mm/yyyy")&amp;"-"&amp;TEXT(COUNTIFS($A$2:A94,"&gt;="&amp;EOMONTH(A94,-1)+1,$A$2:A94,"&lt;="&amp;EOMONTH(A94,0)),"000"))</f>
        <v>PC-06/2026-093</v>
      </c>
      <c r="C94" s="5" t="s">
        <v>1511</v>
      </c>
      <c r="D94" s="5" t="s">
        <v>29</v>
      </c>
      <c r="E94" s="5" t="s">
        <v>429</v>
      </c>
      <c r="F94" s="5"/>
      <c r="G94" s="5" t="s">
        <v>1512</v>
      </c>
      <c r="H94" s="5" t="s">
        <v>27</v>
      </c>
      <c r="I94" s="6">
        <v>15000</v>
      </c>
      <c r="J94" s="6">
        <f>IF(D94="Thu",I94,0)</f>
        <v>0</v>
      </c>
      <c r="K94" s="6">
        <f>IF(D94="Chi",I94,0)</f>
        <v>15000</v>
      </c>
      <c r="L94" s="6" t="e">
        <f>L93+J94-K94</f>
        <v>#VALUE!</v>
      </c>
      <c r="M94" s="6">
        <f ca="1">IFERROR(__xludf.DUMMYFUNCTION("SUM(FILTER(J:J, H:H=""Tiền mặt"")) - SUM(FILTER(K:K, H:H=""Tiền mặt""))
"),959000)</f>
        <v>959000</v>
      </c>
      <c r="N94" s="6">
        <f ca="1">IFERROR(__xludf.DUMMYFUNCTION("SUM(FILTER(J:J, H:H=""Chuyển khoản"")) - SUM(FILTER(K:K, H:H=""Chuyển khoản""))
"),4468984)</f>
        <v>4468984</v>
      </c>
      <c r="O94" s="5"/>
      <c r="P94" s="5"/>
      <c r="Q94" s="5"/>
      <c r="R94" s="5"/>
      <c r="S94" s="5"/>
    </row>
    <row r="95" spans="1:19" ht="15.75" customHeight="1" x14ac:dyDescent="0.2">
      <c r="A95" s="3">
        <v>46185</v>
      </c>
      <c r="B95" s="4" t="str">
        <f>IF(A95="","","PC-"&amp;TEXT(A95,"mm/yyyy")&amp;"-"&amp;TEXT(COUNTIFS($A$2:A95,"&gt;="&amp;EOMONTH(A95,-1)+1,$A$2:A95,"&lt;="&amp;EOMONTH(A95,0)),"000"))</f>
        <v>PC-06/2026-094</v>
      </c>
      <c r="C95" s="7" t="s">
        <v>1513</v>
      </c>
      <c r="D95" s="5" t="s">
        <v>29</v>
      </c>
      <c r="E95" s="5" t="s">
        <v>674</v>
      </c>
      <c r="F95" s="5"/>
      <c r="G95" s="5" t="s">
        <v>675</v>
      </c>
      <c r="H95" s="5" t="s">
        <v>27</v>
      </c>
      <c r="I95" s="6">
        <v>15000</v>
      </c>
      <c r="J95" s="6">
        <f>IF(D95="Thu",I95,0)</f>
        <v>0</v>
      </c>
      <c r="K95" s="6">
        <f>IF(D95="Chi",I95,0)</f>
        <v>15000</v>
      </c>
      <c r="L95" s="6" t="e">
        <f>L94+J95-K95</f>
        <v>#VALUE!</v>
      </c>
      <c r="M95" s="6">
        <f ca="1">IFERROR(__xludf.DUMMYFUNCTION("SUM(FILTER(J:J, H:H=""Tiền mặt"")) - SUM(FILTER(K:K, H:H=""Tiền mặt""))
"),959000)</f>
        <v>959000</v>
      </c>
      <c r="N95" s="6">
        <f ca="1">IFERROR(__xludf.DUMMYFUNCTION("SUM(FILTER(J:J, H:H=""Chuyển khoản"")) - SUM(FILTER(K:K, H:H=""Chuyển khoản""))
"),4468984)</f>
        <v>4468984</v>
      </c>
      <c r="O95" s="5"/>
      <c r="P95" s="5"/>
      <c r="Q95" s="5"/>
      <c r="R95" s="5"/>
      <c r="S95" s="5"/>
    </row>
    <row r="96" spans="1:19" ht="15.75" customHeight="1" x14ac:dyDescent="0.2">
      <c r="A96" s="3">
        <v>46185</v>
      </c>
      <c r="B96" s="4" t="str">
        <f>IF(A96="","","PC-"&amp;TEXT(A96,"mm/yyyy")&amp;"-"&amp;TEXT(COUNTIFS($A$2:A96,"&gt;="&amp;EOMONTH(A96,-1)+1,$A$2:A96,"&lt;="&amp;EOMONTH(A96,0)),"000"))</f>
        <v>PC-06/2026-095</v>
      </c>
      <c r="C96" s="7" t="s">
        <v>1514</v>
      </c>
      <c r="D96" s="5" t="s">
        <v>29</v>
      </c>
      <c r="E96" s="5" t="s">
        <v>674</v>
      </c>
      <c r="F96" s="5"/>
      <c r="G96" s="5" t="s">
        <v>675</v>
      </c>
      <c r="H96" s="5" t="s">
        <v>27</v>
      </c>
      <c r="I96" s="6">
        <v>600000</v>
      </c>
      <c r="J96" s="6">
        <f>IF(D96="Thu",I96,0)</f>
        <v>0</v>
      </c>
      <c r="K96" s="6">
        <f>IF(D96="Chi",I96,0)</f>
        <v>600000</v>
      </c>
      <c r="L96" s="6" t="e">
        <f>L95+J96-K96</f>
        <v>#VALUE!</v>
      </c>
      <c r="M96" s="6">
        <f ca="1">IFERROR(__xludf.DUMMYFUNCTION("SUM(FILTER(J:J, H:H=""Tiền mặt"")) - SUM(FILTER(K:K, H:H=""Tiền mặt""))
"),959000)</f>
        <v>959000</v>
      </c>
      <c r="N96" s="6">
        <f ca="1">IFERROR(__xludf.DUMMYFUNCTION("SUM(FILTER(J:J, H:H=""Chuyển khoản"")) - SUM(FILTER(K:K, H:H=""Chuyển khoản""))
"),4468984)</f>
        <v>4468984</v>
      </c>
      <c r="O96" s="5"/>
      <c r="P96" s="5"/>
      <c r="Q96" s="5"/>
      <c r="R96" s="5"/>
      <c r="S96" s="5"/>
    </row>
    <row r="97" spans="1:19" ht="15.75" customHeight="1" x14ac:dyDescent="0.2">
      <c r="A97" s="3">
        <v>46185</v>
      </c>
      <c r="B97" s="4" t="str">
        <f>IF(A97="","","PC-"&amp;TEXT(A97,"mm/yyyy")&amp;"-"&amp;TEXT(COUNTIFS($A$2:A97,"&gt;="&amp;EOMONTH(A97,-1)+1,$A$2:A97,"&lt;="&amp;EOMONTH(A97,0)),"000"))</f>
        <v>PC-06/2026-096</v>
      </c>
      <c r="C97" s="4" t="s">
        <v>1515</v>
      </c>
      <c r="D97" s="5" t="s">
        <v>29</v>
      </c>
      <c r="E97" s="5" t="s">
        <v>71</v>
      </c>
      <c r="F97" s="5"/>
      <c r="G97" s="5" t="s">
        <v>1516</v>
      </c>
      <c r="H97" s="5" t="s">
        <v>27</v>
      </c>
      <c r="I97" s="6">
        <v>68000</v>
      </c>
      <c r="J97" s="6">
        <f>IF(D97="Thu",I97,0)</f>
        <v>0</v>
      </c>
      <c r="K97" s="6">
        <f>IF(D97="Chi",I97,0)</f>
        <v>68000</v>
      </c>
      <c r="L97" s="6" t="e">
        <f>L96+J97-K97</f>
        <v>#VALUE!</v>
      </c>
      <c r="M97" s="6">
        <f ca="1">IFERROR(__xludf.DUMMYFUNCTION("SUM(FILTER(J:J, H:H=""Tiền mặt"")) - SUM(FILTER(K:K, H:H=""Tiền mặt""))
"),959000)</f>
        <v>959000</v>
      </c>
      <c r="N97" s="6">
        <f ca="1">IFERROR(__xludf.DUMMYFUNCTION("SUM(FILTER(J:J, H:H=""Chuyển khoản"")) - SUM(FILTER(K:K, H:H=""Chuyển khoản""))
"),4468984)</f>
        <v>4468984</v>
      </c>
      <c r="O97" s="5"/>
      <c r="P97" s="5"/>
      <c r="Q97" s="5"/>
      <c r="R97" s="5"/>
      <c r="S97" s="5"/>
    </row>
    <row r="98" spans="1:19" ht="15.75" customHeight="1" x14ac:dyDescent="0.2">
      <c r="A98" s="3">
        <v>46184</v>
      </c>
      <c r="B98" s="4" t="str">
        <f>IF(A98="","","PC-"&amp;TEXT(A98,"mm/yyyy")&amp;"-"&amp;TEXT(COUNTIFS($A$2:A98,"&gt;="&amp;EOMONTH(A98,-1)+1,$A$2:A98,"&lt;="&amp;EOMONTH(A98,0)),"000"))</f>
        <v>PC-06/2026-097</v>
      </c>
      <c r="C98" s="5" t="s">
        <v>1492</v>
      </c>
      <c r="D98" s="5" t="s">
        <v>29</v>
      </c>
      <c r="E98" s="5" t="s">
        <v>51</v>
      </c>
      <c r="F98" s="5"/>
      <c r="G98" s="5" t="s">
        <v>52</v>
      </c>
      <c r="H98" s="5" t="s">
        <v>27</v>
      </c>
      <c r="I98" s="6">
        <v>112200</v>
      </c>
      <c r="J98" s="6">
        <f>IF(D98="Thu",I98,0)</f>
        <v>0</v>
      </c>
      <c r="K98" s="6">
        <f>IF(D98="Chi",I98,0)</f>
        <v>112200</v>
      </c>
      <c r="L98" s="6" t="e">
        <f>L97+J98-K98</f>
        <v>#VALUE!</v>
      </c>
      <c r="M98" s="6">
        <f ca="1">IFERROR(__xludf.DUMMYFUNCTION("SUM(FILTER(J:J, H:H=""Tiền mặt"")) - SUM(FILTER(K:K, H:H=""Tiền mặt""))
"),959000)</f>
        <v>959000</v>
      </c>
      <c r="N98" s="6">
        <f ca="1">IFERROR(__xludf.DUMMYFUNCTION("SUM(FILTER(J:J, H:H=""Chuyển khoản"")) - SUM(FILTER(K:K, H:H=""Chuyển khoản""))
"),4468984)</f>
        <v>4468984</v>
      </c>
      <c r="O98" s="5"/>
      <c r="P98" s="5"/>
      <c r="Q98" s="5"/>
      <c r="R98" s="5"/>
      <c r="S98" s="5"/>
    </row>
    <row r="99" spans="1:19" ht="15.75" customHeight="1" x14ac:dyDescent="0.2">
      <c r="A99" s="3">
        <v>46184</v>
      </c>
      <c r="B99" s="4" t="str">
        <f>IF(A99="","","PC-"&amp;TEXT(A99,"mm/yyyy")&amp;"-"&amp;TEXT(COUNTIFS($A$2:A99,"&gt;="&amp;EOMONTH(A99,-1)+1,$A$2:A99,"&lt;="&amp;EOMONTH(A99,0)),"000"))</f>
        <v>PC-06/2026-098</v>
      </c>
      <c r="C99" s="5" t="s">
        <v>1493</v>
      </c>
      <c r="D99" s="5" t="s">
        <v>29</v>
      </c>
      <c r="E99" s="5" t="s">
        <v>51</v>
      </c>
      <c r="F99" s="5"/>
      <c r="G99" s="5" t="s">
        <v>52</v>
      </c>
      <c r="H99" s="5" t="s">
        <v>27</v>
      </c>
      <c r="I99" s="6">
        <v>112200</v>
      </c>
      <c r="J99" s="6">
        <f>IF(D99="Thu",I99,0)</f>
        <v>0</v>
      </c>
      <c r="K99" s="6">
        <f>IF(D99="Chi",I99,0)</f>
        <v>112200</v>
      </c>
      <c r="L99" s="6" t="e">
        <f>L98+J99-K99</f>
        <v>#VALUE!</v>
      </c>
      <c r="M99" s="6">
        <f ca="1">IFERROR(__xludf.DUMMYFUNCTION("SUM(FILTER(J:J, H:H=""Tiền mặt"")) - SUM(FILTER(K:K, H:H=""Tiền mặt""))
"),959000)</f>
        <v>959000</v>
      </c>
      <c r="N99" s="6">
        <f ca="1">IFERROR(__xludf.DUMMYFUNCTION("SUM(FILTER(J:J, H:H=""Chuyển khoản"")) - SUM(FILTER(K:K, H:H=""Chuyển khoản""))
"),4468984)</f>
        <v>4468984</v>
      </c>
      <c r="O99" s="5"/>
      <c r="P99" s="5"/>
      <c r="Q99" s="5"/>
      <c r="R99" s="5"/>
      <c r="S99" s="5"/>
    </row>
    <row r="100" spans="1:19" ht="15.75" customHeight="1" x14ac:dyDescent="0.2">
      <c r="A100" s="3">
        <v>46184</v>
      </c>
      <c r="B100" s="4" t="str">
        <f>IF(A100="","","PC-"&amp;TEXT(A100,"mm/yyyy")&amp;"-"&amp;TEXT(COUNTIFS($A$2:A100,"&gt;="&amp;EOMONTH(A100,-1)+1,$A$2:A100,"&lt;="&amp;EOMONTH(A100,0)),"000"))</f>
        <v>PC-06/2026-099</v>
      </c>
      <c r="C100" s="5" t="s">
        <v>1494</v>
      </c>
      <c r="D100" s="5" t="s">
        <v>29</v>
      </c>
      <c r="E100" s="5" t="s">
        <v>41</v>
      </c>
      <c r="F100" s="5"/>
      <c r="G100" s="5" t="s">
        <v>82</v>
      </c>
      <c r="H100" s="5" t="s">
        <v>23</v>
      </c>
      <c r="I100" s="6">
        <v>200000</v>
      </c>
      <c r="J100" s="6">
        <f>IF(D100="Thu",I100,0)</f>
        <v>0</v>
      </c>
      <c r="K100" s="6">
        <f>IF(D100="Chi",I100,0)</f>
        <v>200000</v>
      </c>
      <c r="L100" s="6" t="e">
        <f>L99+J100-K100</f>
        <v>#VALUE!</v>
      </c>
      <c r="M100" s="6">
        <f ca="1">IFERROR(__xludf.DUMMYFUNCTION("SUM(FILTER(J:J, H:H=""Tiền mặt"")) - SUM(FILTER(K:K, H:H=""Tiền mặt""))
"),959000)</f>
        <v>959000</v>
      </c>
      <c r="N100" s="6">
        <f ca="1">IFERROR(__xludf.DUMMYFUNCTION("SUM(FILTER(J:J, H:H=""Chuyển khoản"")) - SUM(FILTER(K:K, H:H=""Chuyển khoản""))
"),4468984)</f>
        <v>4468984</v>
      </c>
      <c r="O100" s="5"/>
      <c r="P100" s="5"/>
      <c r="Q100" s="5"/>
      <c r="R100" s="5"/>
      <c r="S100" s="5"/>
    </row>
    <row r="101" spans="1:19" ht="15.75" customHeight="1" x14ac:dyDescent="0.2">
      <c r="A101" s="3">
        <v>46184</v>
      </c>
      <c r="B101" s="4" t="str">
        <f>IF(A101="","","PC-"&amp;TEXT(A101,"mm/yyyy")&amp;"-"&amp;TEXT(COUNTIFS($A$2:A101,"&gt;="&amp;EOMONTH(A101,-1)+1,$A$2:A101,"&lt;="&amp;EOMONTH(A101,0)),"000"))</f>
        <v>PC-06/2026-100</v>
      </c>
      <c r="C101" s="5" t="s">
        <v>1495</v>
      </c>
      <c r="D101" s="5" t="s">
        <v>29</v>
      </c>
      <c r="E101" s="5" t="s">
        <v>44</v>
      </c>
      <c r="F101" s="5"/>
      <c r="G101" s="5" t="s">
        <v>995</v>
      </c>
      <c r="H101" s="5" t="s">
        <v>23</v>
      </c>
      <c r="I101" s="6">
        <v>1500000</v>
      </c>
      <c r="J101" s="6">
        <f>IF(D101="Thu",I101,0)</f>
        <v>0</v>
      </c>
      <c r="K101" s="6">
        <f>IF(D101="Chi",I101,0)</f>
        <v>1500000</v>
      </c>
      <c r="L101" s="6" t="e">
        <f>L100+J101-K101</f>
        <v>#VALUE!</v>
      </c>
      <c r="M101" s="6">
        <f ca="1">IFERROR(__xludf.DUMMYFUNCTION("SUM(FILTER(J:J, H:H=""Tiền mặt"")) - SUM(FILTER(K:K, H:H=""Tiền mặt""))
"),959000)</f>
        <v>959000</v>
      </c>
      <c r="N101" s="6">
        <f ca="1">IFERROR(__xludf.DUMMYFUNCTION("SUM(FILTER(J:J, H:H=""Chuyển khoản"")) - SUM(FILTER(K:K, H:H=""Chuyển khoản""))
"),4468984)</f>
        <v>4468984</v>
      </c>
      <c r="O101" s="5"/>
      <c r="P101" s="5"/>
      <c r="Q101" s="5"/>
      <c r="R101" s="5"/>
      <c r="S101" s="5"/>
    </row>
    <row r="102" spans="1:19" ht="15.75" customHeight="1" x14ac:dyDescent="0.2">
      <c r="A102" s="3">
        <v>46184</v>
      </c>
      <c r="B102" s="4" t="str">
        <f>IF(A102="","","PC-"&amp;TEXT(A102,"mm/yyyy")&amp;"-"&amp;TEXT(COUNTIFS($A$2:A102,"&gt;="&amp;EOMONTH(A102,-1)+1,$A$2:A102,"&lt;="&amp;EOMONTH(A102,0)),"000"))</f>
        <v>PC-06/2026-101</v>
      </c>
      <c r="C102" s="5" t="s">
        <v>1496</v>
      </c>
      <c r="D102" s="5" t="s">
        <v>29</v>
      </c>
      <c r="E102" s="5" t="s">
        <v>47</v>
      </c>
      <c r="F102" s="5"/>
      <c r="G102" s="5" t="s">
        <v>48</v>
      </c>
      <c r="H102" s="5" t="s">
        <v>23</v>
      </c>
      <c r="I102" s="6">
        <v>50000</v>
      </c>
      <c r="J102" s="6">
        <f>IF(D102="Thu",I102,0)</f>
        <v>0</v>
      </c>
      <c r="K102" s="6">
        <f>IF(D102="Chi",I102,0)</f>
        <v>50000</v>
      </c>
      <c r="L102" s="6" t="e">
        <f>L101+J102-K102</f>
        <v>#VALUE!</v>
      </c>
      <c r="M102" s="6">
        <f ca="1">IFERROR(__xludf.DUMMYFUNCTION("SUM(FILTER(J:J, H:H=""Tiền mặt"")) - SUM(FILTER(K:K, H:H=""Tiền mặt""))
"),959000)</f>
        <v>959000</v>
      </c>
      <c r="N102" s="6">
        <f ca="1">IFERROR(__xludf.DUMMYFUNCTION("SUM(FILTER(J:J, H:H=""Chuyển khoản"")) - SUM(FILTER(K:K, H:H=""Chuyển khoản""))
"),4468984)</f>
        <v>4468984</v>
      </c>
      <c r="O102" s="5"/>
      <c r="P102" s="5"/>
      <c r="Q102" s="5"/>
      <c r="R102" s="5"/>
      <c r="S102" s="5"/>
    </row>
    <row r="103" spans="1:19" ht="15.75" customHeight="1" x14ac:dyDescent="0.2">
      <c r="A103" s="3">
        <v>46184</v>
      </c>
      <c r="B103" s="4" t="str">
        <f>IF(A103="","","PC-"&amp;TEXT(A103,"mm/yyyy")&amp;"-"&amp;TEXT(COUNTIFS($A$2:A103,"&gt;="&amp;EOMONTH(A103,-1)+1,$A$2:A103,"&lt;="&amp;EOMONTH(A103,0)),"000"))</f>
        <v>PC-06/2026-102</v>
      </c>
      <c r="C103" s="7" t="s">
        <v>1497</v>
      </c>
      <c r="D103" s="5" t="s">
        <v>29</v>
      </c>
      <c r="E103" s="5" t="s">
        <v>41</v>
      </c>
      <c r="F103" s="5"/>
      <c r="G103" s="5" t="s">
        <v>82</v>
      </c>
      <c r="H103" s="5" t="s">
        <v>23</v>
      </c>
      <c r="I103" s="6">
        <v>100000</v>
      </c>
      <c r="J103" s="6">
        <f>IF(D103="Thu",I103,0)</f>
        <v>0</v>
      </c>
      <c r="K103" s="6">
        <f>IF(D103="Chi",I103,0)</f>
        <v>100000</v>
      </c>
      <c r="L103" s="6" t="e">
        <f>L102+J103-K103</f>
        <v>#VALUE!</v>
      </c>
      <c r="M103" s="6">
        <f ca="1">IFERROR(__xludf.DUMMYFUNCTION("SUM(FILTER(J:J, H:H=""Tiền mặt"")) - SUM(FILTER(K:K, H:H=""Tiền mặt""))
"),959000)</f>
        <v>959000</v>
      </c>
      <c r="N103" s="6">
        <f ca="1">IFERROR(__xludf.DUMMYFUNCTION("SUM(FILTER(J:J, H:H=""Chuyển khoản"")) - SUM(FILTER(K:K, H:H=""Chuyển khoản""))
"),4468984)</f>
        <v>4468984</v>
      </c>
      <c r="O103" s="5"/>
      <c r="P103" s="5"/>
      <c r="Q103" s="5"/>
      <c r="R103" s="5"/>
      <c r="S103" s="5"/>
    </row>
    <row r="104" spans="1:19" ht="15.75" customHeight="1" x14ac:dyDescent="0.2">
      <c r="A104" s="3">
        <v>46184</v>
      </c>
      <c r="B104" s="4" t="str">
        <f>IF(A104="","","PC-"&amp;TEXT(A104,"mm/yyyy")&amp;"-"&amp;TEXT(COUNTIFS($A$2:A104,"&gt;="&amp;EOMONTH(A104,-1)+1,$A$2:A104,"&lt;="&amp;EOMONTH(A104,0)),"000"))</f>
        <v>PC-06/2026-103</v>
      </c>
      <c r="C104" s="7" t="s">
        <v>1498</v>
      </c>
      <c r="D104" s="5" t="s">
        <v>29</v>
      </c>
      <c r="E104" s="5" t="s">
        <v>41</v>
      </c>
      <c r="F104" s="5"/>
      <c r="G104" s="5" t="s">
        <v>82</v>
      </c>
      <c r="H104" s="5" t="s">
        <v>23</v>
      </c>
      <c r="I104" s="6">
        <v>100000</v>
      </c>
      <c r="J104" s="6">
        <f>IF(D104="Thu",I104,0)</f>
        <v>0</v>
      </c>
      <c r="K104" s="6">
        <f>IF(D104="Chi",I104,0)</f>
        <v>100000</v>
      </c>
      <c r="L104" s="6" t="e">
        <f>L103+J104-K104</f>
        <v>#VALUE!</v>
      </c>
      <c r="M104" s="6">
        <f ca="1">IFERROR(__xludf.DUMMYFUNCTION("SUM(FILTER(J:J, H:H=""Tiền mặt"")) - SUM(FILTER(K:K, H:H=""Tiền mặt""))
"),959000)</f>
        <v>959000</v>
      </c>
      <c r="N104" s="6">
        <f ca="1">IFERROR(__xludf.DUMMYFUNCTION("SUM(FILTER(J:J, H:H=""Chuyển khoản"")) - SUM(FILTER(K:K, H:H=""Chuyển khoản""))
"),4468984)</f>
        <v>4468984</v>
      </c>
      <c r="O104" s="5"/>
      <c r="P104" s="5"/>
      <c r="Q104" s="5"/>
      <c r="R104" s="5"/>
      <c r="S104" s="5"/>
    </row>
    <row r="105" spans="1:19" ht="15.75" customHeight="1" x14ac:dyDescent="0.2">
      <c r="A105" s="3">
        <v>46184</v>
      </c>
      <c r="B105" s="4" t="str">
        <f>IF(A105="","","PC-"&amp;TEXT(A105,"mm/yyyy")&amp;"-"&amp;TEXT(COUNTIFS($A$2:A105,"&gt;="&amp;EOMONTH(A105,-1)+1,$A$2:A105,"&lt;="&amp;EOMONTH(A105,0)),"000"))</f>
        <v>PC-06/2026-104</v>
      </c>
      <c r="C105" s="5" t="s">
        <v>1499</v>
      </c>
      <c r="D105" s="5" t="s">
        <v>29</v>
      </c>
      <c r="E105" s="5" t="s">
        <v>64</v>
      </c>
      <c r="F105" s="5"/>
      <c r="G105" s="5" t="s">
        <v>426</v>
      </c>
      <c r="H105" s="5" t="s">
        <v>23</v>
      </c>
      <c r="I105" s="6">
        <v>500000</v>
      </c>
      <c r="J105" s="6">
        <f>IF(D105="Thu",I105,0)</f>
        <v>0</v>
      </c>
      <c r="K105" s="6">
        <f>IF(D105="Chi",I105,0)</f>
        <v>500000</v>
      </c>
      <c r="L105" s="6" t="e">
        <f>L104+J105-K105</f>
        <v>#VALUE!</v>
      </c>
      <c r="M105" s="6">
        <f ca="1">IFERROR(__xludf.DUMMYFUNCTION("SUM(FILTER(J:J, H:H=""Tiền mặt"")) - SUM(FILTER(K:K, H:H=""Tiền mặt""))
"),959000)</f>
        <v>959000</v>
      </c>
      <c r="N105" s="6">
        <f ca="1">IFERROR(__xludf.DUMMYFUNCTION("SUM(FILTER(J:J, H:H=""Chuyển khoản"")) - SUM(FILTER(K:K, H:H=""Chuyển khoản""))
"),4468984)</f>
        <v>4468984</v>
      </c>
      <c r="O105" s="5"/>
      <c r="P105" s="5"/>
      <c r="Q105" s="5"/>
      <c r="R105" s="5"/>
      <c r="S105" s="5"/>
    </row>
    <row r="106" spans="1:19" ht="15.75" customHeight="1" x14ac:dyDescent="0.2">
      <c r="A106" s="3">
        <v>46184</v>
      </c>
      <c r="B106" s="4" t="str">
        <f>IF(A106="","","PC-"&amp;TEXT(A106,"mm/yyyy")&amp;"-"&amp;TEXT(COUNTIFS($A$2:A106,"&gt;="&amp;EOMONTH(A106,-1)+1,$A$2:A106,"&lt;="&amp;EOMONTH(A106,0)),"000"))</f>
        <v>PC-06/2026-105</v>
      </c>
      <c r="C106" s="7" t="s">
        <v>1500</v>
      </c>
      <c r="D106" s="5" t="s">
        <v>29</v>
      </c>
      <c r="E106" s="5" t="s">
        <v>64</v>
      </c>
      <c r="F106" s="5"/>
      <c r="G106" s="5" t="s">
        <v>426</v>
      </c>
      <c r="H106" s="5" t="s">
        <v>23</v>
      </c>
      <c r="I106" s="6">
        <v>300000</v>
      </c>
      <c r="J106" s="6">
        <f>IF(D106="Thu",I106,0)</f>
        <v>0</v>
      </c>
      <c r="K106" s="6">
        <f>IF(D106="Chi",I106,0)</f>
        <v>300000</v>
      </c>
      <c r="L106" s="6" t="e">
        <f>L105+J106-K106</f>
        <v>#VALUE!</v>
      </c>
      <c r="M106" s="6">
        <f ca="1">IFERROR(__xludf.DUMMYFUNCTION("SUM(FILTER(J:J, H:H=""Tiền mặt"")) - SUM(FILTER(K:K, H:H=""Tiền mặt""))
"),959000)</f>
        <v>959000</v>
      </c>
      <c r="N106" s="6">
        <f ca="1">IFERROR(__xludf.DUMMYFUNCTION("SUM(FILTER(J:J, H:H=""Chuyển khoản"")) - SUM(FILTER(K:K, H:H=""Chuyển khoản""))
"),4468984)</f>
        <v>4468984</v>
      </c>
      <c r="O106" s="5"/>
      <c r="P106" s="5"/>
      <c r="Q106" s="5"/>
      <c r="R106" s="5"/>
      <c r="S106" s="5"/>
    </row>
    <row r="107" spans="1:19" ht="15.75" customHeight="1" x14ac:dyDescent="0.2">
      <c r="A107" s="3">
        <v>46184</v>
      </c>
      <c r="B107" s="4" t="str">
        <f>IF(A107="","","PC-"&amp;TEXT(A107,"mm/yyyy")&amp;"-"&amp;TEXT(COUNTIFS($A$2:A107,"&gt;="&amp;EOMONTH(A107,-1)+1,$A$2:A107,"&lt;="&amp;EOMONTH(A107,0)),"000"))</f>
        <v>PC-06/2026-106</v>
      </c>
      <c r="C107" s="5" t="s">
        <v>1501</v>
      </c>
      <c r="D107" s="5" t="s">
        <v>20</v>
      </c>
      <c r="E107" s="5" t="s">
        <v>21</v>
      </c>
      <c r="F107" s="5"/>
      <c r="G107" s="5" t="s">
        <v>22</v>
      </c>
      <c r="H107" s="5" t="s">
        <v>23</v>
      </c>
      <c r="I107" s="6">
        <v>2600000</v>
      </c>
      <c r="J107" s="6">
        <f>IF(D107="Thu",I107,0)</f>
        <v>2600000</v>
      </c>
      <c r="K107" s="6">
        <f>IF(D107="Chi",I107,0)</f>
        <v>0</v>
      </c>
      <c r="L107" s="6" t="e">
        <f>L106+J107-K107</f>
        <v>#VALUE!</v>
      </c>
      <c r="M107" s="6">
        <f ca="1">IFERROR(__xludf.DUMMYFUNCTION("SUM(FILTER(J:J, H:H=""Tiền mặt"")) - SUM(FILTER(K:K, H:H=""Tiền mặt""))
"),959000)</f>
        <v>959000</v>
      </c>
      <c r="N107" s="6">
        <f ca="1">IFERROR(__xludf.DUMMYFUNCTION("SUM(FILTER(J:J, H:H=""Chuyển khoản"")) - SUM(FILTER(K:K, H:H=""Chuyển khoản""))
"),4468984)</f>
        <v>4468984</v>
      </c>
      <c r="O107" s="5"/>
      <c r="P107" s="5"/>
      <c r="Q107" s="5"/>
      <c r="R107" s="5"/>
      <c r="S107" s="5"/>
    </row>
    <row r="108" spans="1:19" ht="15.75" customHeight="1" x14ac:dyDescent="0.2">
      <c r="A108" s="3">
        <v>46184</v>
      </c>
      <c r="B108" s="4" t="str">
        <f>IF(A108="","","PC-"&amp;TEXT(A108,"mm/yyyy")&amp;"-"&amp;TEXT(COUNTIFS($A$2:A108,"&gt;="&amp;EOMONTH(A108,-1)+1,$A$2:A108,"&lt;="&amp;EOMONTH(A108,0)),"000"))</f>
        <v>PC-06/2026-107</v>
      </c>
      <c r="C108" s="5" t="s">
        <v>1502</v>
      </c>
      <c r="D108" s="5" t="s">
        <v>29</v>
      </c>
      <c r="E108" s="5" t="s">
        <v>41</v>
      </c>
      <c r="F108" s="5"/>
      <c r="G108" s="5" t="s">
        <v>82</v>
      </c>
      <c r="H108" s="5" t="s">
        <v>23</v>
      </c>
      <c r="I108" s="6">
        <v>200000</v>
      </c>
      <c r="J108" s="6">
        <f>IF(D108="Thu",I108,0)</f>
        <v>0</v>
      </c>
      <c r="K108" s="6">
        <f>IF(D108="Chi",I108,0)</f>
        <v>200000</v>
      </c>
      <c r="L108" s="6" t="e">
        <f>L107+J108-K108</f>
        <v>#VALUE!</v>
      </c>
      <c r="M108" s="6">
        <f ca="1">IFERROR(__xludf.DUMMYFUNCTION("SUM(FILTER(J:J, H:H=""Tiền mặt"")) - SUM(FILTER(K:K, H:H=""Tiền mặt""))
"),959000)</f>
        <v>959000</v>
      </c>
      <c r="N108" s="6">
        <f ca="1">IFERROR(__xludf.DUMMYFUNCTION("SUM(FILTER(J:J, H:H=""Chuyển khoản"")) - SUM(FILTER(K:K, H:H=""Chuyển khoản""))
"),4468984)</f>
        <v>4468984</v>
      </c>
      <c r="O108" s="5"/>
      <c r="P108" s="5"/>
      <c r="Q108" s="5"/>
      <c r="R108" s="5"/>
      <c r="S108" s="5"/>
    </row>
    <row r="109" spans="1:19" ht="15.75" customHeight="1" x14ac:dyDescent="0.2">
      <c r="A109" s="3">
        <v>46184</v>
      </c>
      <c r="B109" s="4" t="str">
        <f>IF(A109="","","PC-"&amp;TEXT(A109,"mm/yyyy")&amp;"-"&amp;TEXT(COUNTIFS($A$2:A109,"&gt;="&amp;EOMONTH(A109,-1)+1,$A$2:A109,"&lt;="&amp;EOMONTH(A109,0)),"000"))</f>
        <v>PC-06/2026-108</v>
      </c>
      <c r="C109" s="5" t="s">
        <v>1503</v>
      </c>
      <c r="D109" s="5" t="s">
        <v>29</v>
      </c>
      <c r="E109" s="5" t="s">
        <v>64</v>
      </c>
      <c r="F109" s="5"/>
      <c r="G109" s="5" t="s">
        <v>22</v>
      </c>
      <c r="H109" s="5" t="s">
        <v>23</v>
      </c>
      <c r="I109" s="6">
        <v>400000</v>
      </c>
      <c r="J109" s="6">
        <f>IF(D109="Thu",I109,0)</f>
        <v>0</v>
      </c>
      <c r="K109" s="6">
        <f>IF(D109="Chi",I109,0)</f>
        <v>400000</v>
      </c>
      <c r="L109" s="6" t="e">
        <f>L108+J109-K109</f>
        <v>#VALUE!</v>
      </c>
      <c r="M109" s="6">
        <f ca="1">IFERROR(__xludf.DUMMYFUNCTION("SUM(FILTER(J:J, H:H=""Tiền mặt"")) - SUM(FILTER(K:K, H:H=""Tiền mặt""))
"),959000)</f>
        <v>959000</v>
      </c>
      <c r="N109" s="6">
        <f ca="1">IFERROR(__xludf.DUMMYFUNCTION("SUM(FILTER(J:J, H:H=""Chuyển khoản"")) - SUM(FILTER(K:K, H:H=""Chuyển khoản""))
"),4468984)</f>
        <v>4468984</v>
      </c>
      <c r="O109" s="5"/>
      <c r="P109" s="5"/>
      <c r="Q109" s="5"/>
      <c r="R109" s="5"/>
      <c r="S109" s="5"/>
    </row>
    <row r="110" spans="1:19" ht="15.75" customHeight="1" x14ac:dyDescent="0.2">
      <c r="A110" s="3">
        <v>46184</v>
      </c>
      <c r="B110" s="4" t="str">
        <f>IF(A110="","","PC-"&amp;TEXT(A110,"mm/yyyy")&amp;"-"&amp;TEXT(COUNTIFS($A$2:A110,"&gt;="&amp;EOMONTH(A110,-1)+1,$A$2:A110,"&lt;="&amp;EOMONTH(A110,0)),"000"))</f>
        <v>PC-06/2026-109</v>
      </c>
      <c r="C110" s="5" t="s">
        <v>1504</v>
      </c>
      <c r="D110" s="5" t="s">
        <v>29</v>
      </c>
      <c r="E110" s="5" t="s">
        <v>41</v>
      </c>
      <c r="F110" s="5"/>
      <c r="G110" s="5" t="s">
        <v>82</v>
      </c>
      <c r="H110" s="5" t="s">
        <v>23</v>
      </c>
      <c r="I110" s="6">
        <v>100000</v>
      </c>
      <c r="J110" s="6">
        <f>IF(D110="Thu",I110,0)</f>
        <v>0</v>
      </c>
      <c r="K110" s="6">
        <f>IF(D110="Chi",I110,0)</f>
        <v>100000</v>
      </c>
      <c r="L110" s="6" t="e">
        <f>L109+J110-K110</f>
        <v>#VALUE!</v>
      </c>
      <c r="M110" s="6">
        <f ca="1">IFERROR(__xludf.DUMMYFUNCTION("SUM(FILTER(J:J, H:H=""Tiền mặt"")) - SUM(FILTER(K:K, H:H=""Tiền mặt""))
"),959000)</f>
        <v>959000</v>
      </c>
      <c r="N110" s="6">
        <f ca="1">IFERROR(__xludf.DUMMYFUNCTION("SUM(FILTER(J:J, H:H=""Chuyển khoản"")) - SUM(FILTER(K:K, H:H=""Chuyển khoản""))
"),4468984)</f>
        <v>4468984</v>
      </c>
      <c r="O110" s="5"/>
      <c r="P110" s="5"/>
      <c r="Q110" s="5"/>
      <c r="R110" s="5"/>
      <c r="S110" s="5"/>
    </row>
    <row r="111" spans="1:19" ht="15.75" customHeight="1" x14ac:dyDescent="0.2">
      <c r="A111" s="3">
        <v>46183</v>
      </c>
      <c r="B111" s="4" t="str">
        <f>IF(A111="","","PC-"&amp;TEXT(A111,"mm/yyyy")&amp;"-"&amp;TEXT(COUNTIFS($A$2:A111,"&gt;="&amp;EOMONTH(A111,-1)+1,$A$2:A111,"&lt;="&amp;EOMONTH(A111,0)),"000"))</f>
        <v>PC-06/2026-110</v>
      </c>
      <c r="C111" s="5" t="s">
        <v>1477</v>
      </c>
      <c r="D111" s="5" t="s">
        <v>29</v>
      </c>
      <c r="E111" s="5" t="s">
        <v>71</v>
      </c>
      <c r="F111" s="5"/>
      <c r="G111" s="5" t="s">
        <v>1478</v>
      </c>
      <c r="H111" s="5" t="s">
        <v>27</v>
      </c>
      <c r="I111" s="6">
        <v>52000</v>
      </c>
      <c r="J111" s="6">
        <f>IF(D111="Thu",I111,0)</f>
        <v>0</v>
      </c>
      <c r="K111" s="6">
        <f>IF(D111="Chi",I111,0)</f>
        <v>52000</v>
      </c>
      <c r="L111" s="6" t="e">
        <f>L110+J111-K111</f>
        <v>#VALUE!</v>
      </c>
      <c r="M111" s="6">
        <f ca="1">IFERROR(__xludf.DUMMYFUNCTION("SUM(FILTER(J:J, H:H=""Tiền mặt"")) - SUM(FILTER(K:K, H:H=""Tiền mặt""))
"),959000)</f>
        <v>959000</v>
      </c>
      <c r="N111" s="6">
        <f ca="1">IFERROR(__xludf.DUMMYFUNCTION("SUM(FILTER(J:J, H:H=""Chuyển khoản"")) - SUM(FILTER(K:K, H:H=""Chuyển khoản""))
"),4468984)</f>
        <v>4468984</v>
      </c>
      <c r="O111" s="5"/>
      <c r="P111" s="5"/>
      <c r="Q111" s="5"/>
      <c r="R111" s="5"/>
      <c r="S111" s="5"/>
    </row>
    <row r="112" spans="1:19" ht="15.75" customHeight="1" x14ac:dyDescent="0.2">
      <c r="A112" s="3">
        <v>46183</v>
      </c>
      <c r="B112" s="4" t="str">
        <f>IF(A112="","","PC-"&amp;TEXT(A112,"mm/yyyy")&amp;"-"&amp;TEXT(COUNTIFS($A$2:A112,"&gt;="&amp;EOMONTH(A112,-1)+1,$A$2:A112,"&lt;="&amp;EOMONTH(A112,0)),"000"))</f>
        <v>PC-06/2026-111</v>
      </c>
      <c r="C112" s="5" t="s">
        <v>1479</v>
      </c>
      <c r="D112" s="5" t="s">
        <v>29</v>
      </c>
      <c r="E112" s="5" t="s">
        <v>41</v>
      </c>
      <c r="F112" s="5"/>
      <c r="G112" s="5" t="s">
        <v>1480</v>
      </c>
      <c r="H112" s="5" t="s">
        <v>23</v>
      </c>
      <c r="I112" s="6">
        <v>100000</v>
      </c>
      <c r="J112" s="6">
        <f>IF(D112="Thu",I112,0)</f>
        <v>0</v>
      </c>
      <c r="K112" s="6">
        <f>IF(D112="Chi",I112,0)</f>
        <v>100000</v>
      </c>
      <c r="L112" s="6" t="e">
        <f>L111+J112-K112</f>
        <v>#VALUE!</v>
      </c>
      <c r="M112" s="6">
        <f ca="1">IFERROR(__xludf.DUMMYFUNCTION("SUM(FILTER(J:J, H:H=""Tiền mặt"")) - SUM(FILTER(K:K, H:H=""Tiền mặt""))
"),959000)</f>
        <v>959000</v>
      </c>
      <c r="N112" s="6">
        <f ca="1">IFERROR(__xludf.DUMMYFUNCTION("SUM(FILTER(J:J, H:H=""Chuyển khoản"")) - SUM(FILTER(K:K, H:H=""Chuyển khoản""))
"),4468984)</f>
        <v>4468984</v>
      </c>
      <c r="O112" s="5"/>
      <c r="P112" s="5"/>
      <c r="Q112" s="5"/>
      <c r="R112" s="5"/>
      <c r="S112" s="5"/>
    </row>
    <row r="113" spans="1:19" ht="15.75" customHeight="1" x14ac:dyDescent="0.2">
      <c r="A113" s="3">
        <v>46183</v>
      </c>
      <c r="B113" s="4" t="str">
        <f>IF(A113="","","PC-"&amp;TEXT(A113,"mm/yyyy")&amp;"-"&amp;TEXT(COUNTIFS($A$2:A113,"&gt;="&amp;EOMONTH(A113,-1)+1,$A$2:A113,"&lt;="&amp;EOMONTH(A113,0)),"000"))</f>
        <v>PC-06/2026-112</v>
      </c>
      <c r="C113" s="5" t="s">
        <v>1481</v>
      </c>
      <c r="D113" s="5" t="s">
        <v>29</v>
      </c>
      <c r="E113" s="5" t="s">
        <v>41</v>
      </c>
      <c r="F113" s="5"/>
      <c r="G113" s="5" t="s">
        <v>82</v>
      </c>
      <c r="H113" s="5" t="s">
        <v>23</v>
      </c>
      <c r="I113" s="6">
        <v>100000</v>
      </c>
      <c r="J113" s="6">
        <f>IF(D113="Thu",I113,0)</f>
        <v>0</v>
      </c>
      <c r="K113" s="6">
        <f>IF(D113="Chi",I113,0)</f>
        <v>100000</v>
      </c>
      <c r="L113" s="6" t="e">
        <f>L112+J113-K113</f>
        <v>#VALUE!</v>
      </c>
      <c r="M113" s="6">
        <f ca="1">IFERROR(__xludf.DUMMYFUNCTION("SUM(FILTER(J:J, H:H=""Tiền mặt"")) - SUM(FILTER(K:K, H:H=""Tiền mặt""))
"),959000)</f>
        <v>959000</v>
      </c>
      <c r="N113" s="6">
        <f ca="1">IFERROR(__xludf.DUMMYFUNCTION("SUM(FILTER(J:J, H:H=""Chuyển khoản"")) - SUM(FILTER(K:K, H:H=""Chuyển khoản""))
"),4468984)</f>
        <v>4468984</v>
      </c>
      <c r="O113" s="5"/>
      <c r="P113" s="5"/>
      <c r="Q113" s="5"/>
      <c r="R113" s="5"/>
      <c r="S113" s="5"/>
    </row>
    <row r="114" spans="1:19" ht="15.75" customHeight="1" x14ac:dyDescent="0.2">
      <c r="A114" s="3">
        <v>46183</v>
      </c>
      <c r="B114" s="4" t="str">
        <f>IF(A114="","","PC-"&amp;TEXT(A114,"mm/yyyy")&amp;"-"&amp;TEXT(COUNTIFS($A$2:A114,"&gt;="&amp;EOMONTH(A114,-1)+1,$A$2:A114,"&lt;="&amp;EOMONTH(A114,0)),"000"))</f>
        <v>PC-06/2026-113</v>
      </c>
      <c r="C114" s="5" t="s">
        <v>1482</v>
      </c>
      <c r="D114" s="5" t="s">
        <v>29</v>
      </c>
      <c r="E114" s="5" t="s">
        <v>141</v>
      </c>
      <c r="F114" s="5"/>
      <c r="G114" s="5" t="s">
        <v>52</v>
      </c>
      <c r="H114" s="5" t="s">
        <v>27</v>
      </c>
      <c r="I114" s="6">
        <v>1628000</v>
      </c>
      <c r="J114" s="6">
        <f>IF(D114="Thu",I114,0)</f>
        <v>0</v>
      </c>
      <c r="K114" s="6">
        <f>IF(D114="Chi",I114,0)</f>
        <v>1628000</v>
      </c>
      <c r="L114" s="6" t="e">
        <f>L113+J114-K114</f>
        <v>#VALUE!</v>
      </c>
      <c r="M114" s="6">
        <f ca="1">IFERROR(__xludf.DUMMYFUNCTION("SUM(FILTER(J:J, H:H=""Tiền mặt"")) - SUM(FILTER(K:K, H:H=""Tiền mặt""))
"),959000)</f>
        <v>959000</v>
      </c>
      <c r="N114" s="6">
        <f ca="1">IFERROR(__xludf.DUMMYFUNCTION("SUM(FILTER(J:J, H:H=""Chuyển khoản"")) - SUM(FILTER(K:K, H:H=""Chuyển khoản""))
"),4468984)</f>
        <v>4468984</v>
      </c>
      <c r="O114" s="5"/>
      <c r="P114" s="5"/>
      <c r="Q114" s="5"/>
      <c r="R114" s="5"/>
      <c r="S114" s="5"/>
    </row>
    <row r="115" spans="1:19" ht="15.75" customHeight="1" x14ac:dyDescent="0.2">
      <c r="A115" s="3">
        <v>46183</v>
      </c>
      <c r="B115" s="4" t="str">
        <f>IF(A115="","","PC-"&amp;TEXT(A115,"mm/yyyy")&amp;"-"&amp;TEXT(COUNTIFS($A$2:A115,"&gt;="&amp;EOMONTH(A115,-1)+1,$A$2:A115,"&lt;="&amp;EOMONTH(A115,0)),"000"))</f>
        <v>PC-06/2026-114</v>
      </c>
      <c r="C115" s="5" t="s">
        <v>1483</v>
      </c>
      <c r="D115" s="5" t="s">
        <v>29</v>
      </c>
      <c r="E115" s="5" t="s">
        <v>41</v>
      </c>
      <c r="F115" s="5"/>
      <c r="G115" s="5" t="s">
        <v>82</v>
      </c>
      <c r="H115" s="5" t="s">
        <v>23</v>
      </c>
      <c r="I115" s="6">
        <v>100000</v>
      </c>
      <c r="J115" s="6">
        <f>IF(D115="Thu",I115,0)</f>
        <v>0</v>
      </c>
      <c r="K115" s="6">
        <f>IF(D115="Chi",I115,0)</f>
        <v>100000</v>
      </c>
      <c r="L115" s="6" t="e">
        <f>L114+J115-K115</f>
        <v>#VALUE!</v>
      </c>
      <c r="M115" s="6">
        <f ca="1">IFERROR(__xludf.DUMMYFUNCTION("SUM(FILTER(J:J, H:H=""Tiền mặt"")) - SUM(FILTER(K:K, H:H=""Tiền mặt""))
"),959000)</f>
        <v>959000</v>
      </c>
      <c r="N115" s="6">
        <f ca="1">IFERROR(__xludf.DUMMYFUNCTION("SUM(FILTER(J:J, H:H=""Chuyển khoản"")) - SUM(FILTER(K:K, H:H=""Chuyển khoản""))
"),4468984)</f>
        <v>4468984</v>
      </c>
      <c r="O115" s="5"/>
      <c r="P115" s="5"/>
      <c r="Q115" s="5"/>
      <c r="R115" s="5"/>
      <c r="S115" s="5"/>
    </row>
    <row r="116" spans="1:19" ht="15.75" customHeight="1" x14ac:dyDescent="0.2">
      <c r="A116" s="3">
        <v>46183</v>
      </c>
      <c r="B116" s="4" t="str">
        <f>IF(A116="","","PC-"&amp;TEXT(A116,"mm/yyyy")&amp;"-"&amp;TEXT(COUNTIFS($A$2:A116,"&gt;="&amp;EOMONTH(A116,-1)+1,$A$2:A116,"&lt;="&amp;EOMONTH(A116,0)),"000"))</f>
        <v>PC-06/2026-115</v>
      </c>
      <c r="C116" s="5" t="s">
        <v>1484</v>
      </c>
      <c r="D116" s="5" t="s">
        <v>29</v>
      </c>
      <c r="E116" s="5" t="s">
        <v>141</v>
      </c>
      <c r="F116" s="5"/>
      <c r="G116" s="5" t="s">
        <v>52</v>
      </c>
      <c r="H116" s="5" t="s">
        <v>27</v>
      </c>
      <c r="I116" s="6">
        <v>595000</v>
      </c>
      <c r="J116" s="6">
        <f>IF(D116="Thu",I116,0)</f>
        <v>0</v>
      </c>
      <c r="K116" s="6">
        <f>IF(D116="Chi",I116,0)</f>
        <v>595000</v>
      </c>
      <c r="L116" s="6" t="e">
        <f>L115+J116-K116</f>
        <v>#VALUE!</v>
      </c>
      <c r="M116" s="6">
        <f ca="1">IFERROR(__xludf.DUMMYFUNCTION("SUM(FILTER(J:J, H:H=""Tiền mặt"")) - SUM(FILTER(K:K, H:H=""Tiền mặt""))
"),959000)</f>
        <v>959000</v>
      </c>
      <c r="N116" s="6">
        <f ca="1">IFERROR(__xludf.DUMMYFUNCTION("SUM(FILTER(J:J, H:H=""Chuyển khoản"")) - SUM(FILTER(K:K, H:H=""Chuyển khoản""))
"),4468984)</f>
        <v>4468984</v>
      </c>
      <c r="O116" s="5"/>
      <c r="P116" s="5"/>
      <c r="Q116" s="5"/>
      <c r="R116" s="5"/>
      <c r="S116" s="5"/>
    </row>
    <row r="117" spans="1:19" ht="15.75" customHeight="1" x14ac:dyDescent="0.2">
      <c r="A117" s="3">
        <v>46183</v>
      </c>
      <c r="B117" s="4" t="str">
        <f>IF(A117="","","PC-"&amp;TEXT(A117,"mm/yyyy")&amp;"-"&amp;TEXT(COUNTIFS($A$2:A117,"&gt;="&amp;EOMONTH(A117,-1)+1,$A$2:A117,"&lt;="&amp;EOMONTH(A117,0)),"000"))</f>
        <v>PC-06/2026-116</v>
      </c>
      <c r="C117" s="5" t="s">
        <v>1485</v>
      </c>
      <c r="D117" s="5" t="s">
        <v>29</v>
      </c>
      <c r="E117" s="5" t="s">
        <v>41</v>
      </c>
      <c r="F117" s="5"/>
      <c r="G117" s="5" t="s">
        <v>82</v>
      </c>
      <c r="H117" s="5" t="s">
        <v>23</v>
      </c>
      <c r="I117" s="6">
        <v>100000</v>
      </c>
      <c r="J117" s="6">
        <f>IF(D117="Thu",I117,0)</f>
        <v>0</v>
      </c>
      <c r="K117" s="6">
        <f>IF(D117="Chi",I117,0)</f>
        <v>100000</v>
      </c>
      <c r="L117" s="6" t="e">
        <f>L116+J117-K117</f>
        <v>#VALUE!</v>
      </c>
      <c r="M117" s="6">
        <f ca="1">IFERROR(__xludf.DUMMYFUNCTION("SUM(FILTER(J:J, H:H=""Tiền mặt"")) - SUM(FILTER(K:K, H:H=""Tiền mặt""))
"),959000)</f>
        <v>959000</v>
      </c>
      <c r="N117" s="6">
        <f ca="1">IFERROR(__xludf.DUMMYFUNCTION("SUM(FILTER(J:J, H:H=""Chuyển khoản"")) - SUM(FILTER(K:K, H:H=""Chuyển khoản""))
"),4468984)</f>
        <v>4468984</v>
      </c>
      <c r="O117" s="5"/>
      <c r="P117" s="5"/>
      <c r="Q117" s="5"/>
      <c r="R117" s="5"/>
      <c r="S117" s="5"/>
    </row>
    <row r="118" spans="1:19" ht="15.75" customHeight="1" x14ac:dyDescent="0.2">
      <c r="A118" s="3">
        <v>46183</v>
      </c>
      <c r="B118" s="4" t="str">
        <f>IF(A118="","","PC-"&amp;TEXT(A118,"mm/yyyy")&amp;"-"&amp;TEXT(COUNTIFS($A$2:A118,"&gt;="&amp;EOMONTH(A118,-1)+1,$A$2:A118,"&lt;="&amp;EOMONTH(A118,0)),"000"))</f>
        <v>PC-06/2026-117</v>
      </c>
      <c r="C118" s="5" t="s">
        <v>1486</v>
      </c>
      <c r="D118" s="5" t="s">
        <v>29</v>
      </c>
      <c r="E118" s="5" t="s">
        <v>51</v>
      </c>
      <c r="F118" s="5"/>
      <c r="G118" s="5" t="s">
        <v>52</v>
      </c>
      <c r="H118" s="5" t="s">
        <v>27</v>
      </c>
      <c r="I118" s="6">
        <v>159500</v>
      </c>
      <c r="J118" s="6">
        <f>IF(D118="Thu",I118,0)</f>
        <v>0</v>
      </c>
      <c r="K118" s="6">
        <f>IF(D118="Chi",I118,0)</f>
        <v>159500</v>
      </c>
      <c r="L118" s="6" t="e">
        <f>L117+J118-K118</f>
        <v>#VALUE!</v>
      </c>
      <c r="M118" s="6">
        <f ca="1">IFERROR(__xludf.DUMMYFUNCTION("SUM(FILTER(J:J, H:H=""Tiền mặt"")) - SUM(FILTER(K:K, H:H=""Tiền mặt""))
"),959000)</f>
        <v>959000</v>
      </c>
      <c r="N118" s="6">
        <f ca="1">IFERROR(__xludf.DUMMYFUNCTION("SUM(FILTER(J:J, H:H=""Chuyển khoản"")) - SUM(FILTER(K:K, H:H=""Chuyển khoản""))
"),4468984)</f>
        <v>4468984</v>
      </c>
      <c r="O118" s="5"/>
      <c r="P118" s="5"/>
      <c r="Q118" s="5"/>
      <c r="R118" s="5"/>
      <c r="S118" s="5"/>
    </row>
    <row r="119" spans="1:19" ht="15.75" customHeight="1" x14ac:dyDescent="0.2">
      <c r="A119" s="3">
        <v>46183</v>
      </c>
      <c r="B119" s="4" t="str">
        <f>IF(A119="","","PC-"&amp;TEXT(A119,"mm/yyyy")&amp;"-"&amp;TEXT(COUNTIFS($A$2:A119,"&gt;="&amp;EOMONTH(A119,-1)+1,$A$2:A119,"&lt;="&amp;EOMONTH(A119,0)),"000"))</f>
        <v>PC-06/2026-118</v>
      </c>
      <c r="C119" s="5" t="s">
        <v>1487</v>
      </c>
      <c r="D119" s="5" t="s">
        <v>29</v>
      </c>
      <c r="E119" s="5" t="s">
        <v>51</v>
      </c>
      <c r="F119" s="5"/>
      <c r="G119" s="5" t="s">
        <v>52</v>
      </c>
      <c r="H119" s="5" t="s">
        <v>27</v>
      </c>
      <c r="I119" s="6">
        <v>120853</v>
      </c>
      <c r="J119" s="6">
        <f>IF(D119="Thu",I119,0)</f>
        <v>0</v>
      </c>
      <c r="K119" s="6">
        <f>IF(D119="Chi",I119,0)</f>
        <v>120853</v>
      </c>
      <c r="L119" s="6" t="e">
        <f>L118+J119-K119</f>
        <v>#VALUE!</v>
      </c>
      <c r="M119" s="6">
        <f ca="1">IFERROR(__xludf.DUMMYFUNCTION("SUM(FILTER(J:J, H:H=""Tiền mặt"")) - SUM(FILTER(K:K, H:H=""Tiền mặt""))
"),959000)</f>
        <v>959000</v>
      </c>
      <c r="N119" s="6">
        <f ca="1">IFERROR(__xludf.DUMMYFUNCTION("SUM(FILTER(J:J, H:H=""Chuyển khoản"")) - SUM(FILTER(K:K, H:H=""Chuyển khoản""))
"),4468984)</f>
        <v>4468984</v>
      </c>
      <c r="O119" s="5"/>
      <c r="P119" s="5"/>
      <c r="Q119" s="5"/>
      <c r="R119" s="5"/>
      <c r="S119" s="5"/>
    </row>
    <row r="120" spans="1:19" ht="15.75" customHeight="1" x14ac:dyDescent="0.2">
      <c r="A120" s="3">
        <v>46183</v>
      </c>
      <c r="B120" s="4" t="str">
        <f>IF(A120="","","PC-"&amp;TEXT(A120,"mm/yyyy")&amp;"-"&amp;TEXT(COUNTIFS($A$2:A120,"&gt;="&amp;EOMONTH(A120,-1)+1,$A$2:A120,"&lt;="&amp;EOMONTH(A120,0)),"000"))</f>
        <v>PC-06/2026-119</v>
      </c>
      <c r="C120" s="5" t="s">
        <v>1488</v>
      </c>
      <c r="D120" s="5" t="s">
        <v>29</v>
      </c>
      <c r="E120" s="5" t="s">
        <v>41</v>
      </c>
      <c r="F120" s="5"/>
      <c r="G120" s="5" t="s">
        <v>82</v>
      </c>
      <c r="H120" s="5" t="s">
        <v>23</v>
      </c>
      <c r="I120" s="6">
        <v>100000</v>
      </c>
      <c r="J120" s="6">
        <f>IF(D120="Thu",I120,0)</f>
        <v>0</v>
      </c>
      <c r="K120" s="6">
        <f>IF(D120="Chi",I120,0)</f>
        <v>100000</v>
      </c>
      <c r="L120" s="6" t="e">
        <f>L119+J120-K120</f>
        <v>#VALUE!</v>
      </c>
      <c r="M120" s="6">
        <f ca="1">IFERROR(__xludf.DUMMYFUNCTION("SUM(FILTER(J:J, H:H=""Tiền mặt"")) - SUM(FILTER(K:K, H:H=""Tiền mặt""))
"),959000)</f>
        <v>959000</v>
      </c>
      <c r="N120" s="6">
        <f ca="1">IFERROR(__xludf.DUMMYFUNCTION("SUM(FILTER(J:J, H:H=""Chuyển khoản"")) - SUM(FILTER(K:K, H:H=""Chuyển khoản""))
"),4468984)</f>
        <v>4468984</v>
      </c>
      <c r="O120" s="5"/>
      <c r="P120" s="5"/>
      <c r="Q120" s="5"/>
      <c r="R120" s="5"/>
      <c r="S120" s="5"/>
    </row>
    <row r="121" spans="1:19" ht="15.75" customHeight="1" x14ac:dyDescent="0.2">
      <c r="A121" s="3">
        <v>46183</v>
      </c>
      <c r="B121" s="4" t="str">
        <f>IF(A121="","","PC-"&amp;TEXT(A121,"mm/yyyy")&amp;"-"&amp;TEXT(COUNTIFS($A$2:A121,"&gt;="&amp;EOMONTH(A121,-1)+1,$A$2:A121,"&lt;="&amp;EOMONTH(A121,0)),"000"))</f>
        <v>PC-06/2026-120</v>
      </c>
      <c r="C121" s="5" t="s">
        <v>1489</v>
      </c>
      <c r="D121" s="5" t="s">
        <v>29</v>
      </c>
      <c r="E121" s="5" t="s">
        <v>41</v>
      </c>
      <c r="F121" s="5"/>
      <c r="G121" s="5" t="s">
        <v>82</v>
      </c>
      <c r="H121" s="5" t="s">
        <v>23</v>
      </c>
      <c r="I121" s="6">
        <v>100000</v>
      </c>
      <c r="J121" s="6">
        <f>IF(D121="Thu",I121,0)</f>
        <v>0</v>
      </c>
      <c r="K121" s="6">
        <f>IF(D121="Chi",I121,0)</f>
        <v>100000</v>
      </c>
      <c r="L121" s="6" t="e">
        <f>L120+J121-K121</f>
        <v>#VALUE!</v>
      </c>
      <c r="M121" s="6">
        <f ca="1">IFERROR(__xludf.DUMMYFUNCTION("SUM(FILTER(J:J, H:H=""Tiền mặt"")) - SUM(FILTER(K:K, H:H=""Tiền mặt""))
"),959000)</f>
        <v>959000</v>
      </c>
      <c r="N121" s="6">
        <f ca="1">IFERROR(__xludf.DUMMYFUNCTION("SUM(FILTER(J:J, H:H=""Chuyển khoản"")) - SUM(FILTER(K:K, H:H=""Chuyển khoản""))
"),4468984)</f>
        <v>4468984</v>
      </c>
      <c r="O121" s="5"/>
      <c r="P121" s="5"/>
      <c r="Q121" s="5"/>
      <c r="R121" s="5"/>
      <c r="S121" s="5"/>
    </row>
    <row r="122" spans="1:19" ht="15.75" customHeight="1" x14ac:dyDescent="0.2">
      <c r="A122" s="3">
        <v>46183</v>
      </c>
      <c r="B122" s="4" t="str">
        <f>IF(A122="","","PC-"&amp;TEXT(A122,"mm/yyyy")&amp;"-"&amp;TEXT(COUNTIFS($A$2:A122,"&gt;="&amp;EOMONTH(A122,-1)+1,$A$2:A122,"&lt;="&amp;EOMONTH(A122,0)),"000"))</f>
        <v>PC-06/2026-121</v>
      </c>
      <c r="C122" s="5" t="s">
        <v>1490</v>
      </c>
      <c r="D122" s="5" t="s">
        <v>29</v>
      </c>
      <c r="E122" s="5" t="s">
        <v>71</v>
      </c>
      <c r="F122" s="5"/>
      <c r="G122" s="5" t="s">
        <v>1491</v>
      </c>
      <c r="H122" s="5" t="s">
        <v>27</v>
      </c>
      <c r="I122" s="6">
        <v>59000</v>
      </c>
      <c r="J122" s="6">
        <f>IF(D122="Thu",I122,0)</f>
        <v>0</v>
      </c>
      <c r="K122" s="6">
        <f>IF(D122="Chi",I122,0)</f>
        <v>59000</v>
      </c>
      <c r="L122" s="6" t="e">
        <f>L121+J122-K122</f>
        <v>#VALUE!</v>
      </c>
      <c r="M122" s="6">
        <f ca="1">IFERROR(__xludf.DUMMYFUNCTION("SUM(FILTER(J:J, H:H=""Tiền mặt"")) - SUM(FILTER(K:K, H:H=""Tiền mặt""))
"),959000)</f>
        <v>959000</v>
      </c>
      <c r="N122" s="6">
        <f ca="1">IFERROR(__xludf.DUMMYFUNCTION("SUM(FILTER(J:J, H:H=""Chuyển khoản"")) - SUM(FILTER(K:K, H:H=""Chuyển khoản""))
"),4468984)</f>
        <v>4468984</v>
      </c>
      <c r="O122" s="5"/>
      <c r="P122" s="5"/>
      <c r="Q122" s="5"/>
      <c r="R122" s="5"/>
      <c r="S122" s="5"/>
    </row>
    <row r="123" spans="1:19" ht="15.75" customHeight="1" x14ac:dyDescent="0.2">
      <c r="A123" s="3">
        <v>46182</v>
      </c>
      <c r="B123" s="4" t="str">
        <f>IF(A123="","","PC-"&amp;TEXT(A123,"mm/yyyy")&amp;"-"&amp;TEXT(COUNTIFS($A$2:A123,"&gt;="&amp;EOMONTH(A123,-1)+1,$A$2:A123,"&lt;="&amp;EOMONTH(A123,0)),"000"))</f>
        <v>PC-06/2026-122</v>
      </c>
      <c r="C123" s="5" t="s">
        <v>528</v>
      </c>
      <c r="D123" s="5" t="s">
        <v>29</v>
      </c>
      <c r="E123" s="5" t="s">
        <v>36</v>
      </c>
      <c r="F123" s="5"/>
      <c r="G123" s="5" t="s">
        <v>37</v>
      </c>
      <c r="H123" s="5" t="s">
        <v>23</v>
      </c>
      <c r="I123" s="6">
        <v>138000</v>
      </c>
      <c r="J123" s="6">
        <f>IF(D123="Thu",I123,0)</f>
        <v>0</v>
      </c>
      <c r="K123" s="6">
        <f>IF(D123="Chi",I123,0)</f>
        <v>138000</v>
      </c>
      <c r="L123" s="6" t="e">
        <f>L122+J123-K123</f>
        <v>#VALUE!</v>
      </c>
      <c r="M123" s="6">
        <f ca="1">IFERROR(__xludf.DUMMYFUNCTION("SUM(FILTER(J:J, H:H=""Tiền mặt"")) - SUM(FILTER(K:K, H:H=""Tiền mặt""))
"),959000)</f>
        <v>959000</v>
      </c>
      <c r="N123" s="6">
        <f ca="1">IFERROR(__xludf.DUMMYFUNCTION("SUM(FILTER(J:J, H:H=""Chuyển khoản"")) - SUM(FILTER(K:K, H:H=""Chuyển khoản""))
"),4468984)</f>
        <v>4468984</v>
      </c>
      <c r="O123" s="5"/>
      <c r="P123" s="5"/>
      <c r="Q123" s="5"/>
      <c r="R123" s="5"/>
      <c r="S123" s="5"/>
    </row>
    <row r="124" spans="1:19" ht="15.75" customHeight="1" x14ac:dyDescent="0.2">
      <c r="A124" s="3">
        <v>46182</v>
      </c>
      <c r="B124" s="4" t="str">
        <f>IF(A124="","","PC-"&amp;TEXT(A124,"mm/yyyy")&amp;"-"&amp;TEXT(COUNTIFS($A$2:A124,"&gt;="&amp;EOMONTH(A124,-1)+1,$A$2:A124,"&lt;="&amp;EOMONTH(A124,0)),"000"))</f>
        <v>PC-06/2026-123</v>
      </c>
      <c r="C124" s="5" t="s">
        <v>1472</v>
      </c>
      <c r="D124" s="5" t="s">
        <v>29</v>
      </c>
      <c r="E124" s="5" t="s">
        <v>36</v>
      </c>
      <c r="F124" s="5"/>
      <c r="G124" s="5" t="s">
        <v>37</v>
      </c>
      <c r="H124" s="5" t="s">
        <v>23</v>
      </c>
      <c r="I124" s="6">
        <v>70000</v>
      </c>
      <c r="J124" s="6">
        <f>IF(D124="Thu",I124,0)</f>
        <v>0</v>
      </c>
      <c r="K124" s="6">
        <f>IF(D124="Chi",I124,0)</f>
        <v>70000</v>
      </c>
      <c r="L124" s="6" t="e">
        <f>L123+J124-K124</f>
        <v>#VALUE!</v>
      </c>
      <c r="M124" s="6">
        <f ca="1">IFERROR(__xludf.DUMMYFUNCTION("SUM(FILTER(J:J, H:H=""Tiền mặt"")) - SUM(FILTER(K:K, H:H=""Tiền mặt""))
"),959000)</f>
        <v>959000</v>
      </c>
      <c r="N124" s="6">
        <f ca="1">IFERROR(__xludf.DUMMYFUNCTION("SUM(FILTER(J:J, H:H=""Chuyển khoản"")) - SUM(FILTER(K:K, H:H=""Chuyển khoản""))
"),4468984)</f>
        <v>4468984</v>
      </c>
      <c r="O124" s="5"/>
      <c r="P124" s="5"/>
      <c r="Q124" s="5"/>
      <c r="R124" s="5"/>
      <c r="S124" s="5"/>
    </row>
    <row r="125" spans="1:19" ht="15.75" customHeight="1" x14ac:dyDescent="0.2">
      <c r="A125" s="3">
        <v>46182</v>
      </c>
      <c r="B125" s="4" t="str">
        <f>IF(A125="","","PC-"&amp;TEXT(A125,"mm/yyyy")&amp;"-"&amp;TEXT(COUNTIFS($A$2:A125,"&gt;="&amp;EOMONTH(A125,-1)+1,$A$2:A125,"&lt;="&amp;EOMONTH(A125,0)),"000"))</f>
        <v>PC-06/2026-124</v>
      </c>
      <c r="C125" s="5" t="s">
        <v>1473</v>
      </c>
      <c r="D125" s="5" t="s">
        <v>29</v>
      </c>
      <c r="E125" s="5" t="s">
        <v>41</v>
      </c>
      <c r="F125" s="5"/>
      <c r="G125" s="5" t="s">
        <v>192</v>
      </c>
      <c r="H125" s="5" t="s">
        <v>23</v>
      </c>
      <c r="I125" s="6">
        <v>100000</v>
      </c>
      <c r="J125" s="6">
        <f>IF(D125="Thu",I125,0)</f>
        <v>0</v>
      </c>
      <c r="K125" s="6">
        <f>IF(D125="Chi",I125,0)</f>
        <v>100000</v>
      </c>
      <c r="L125" s="6" t="e">
        <f>L124+J125-K125</f>
        <v>#VALUE!</v>
      </c>
      <c r="M125" s="6">
        <f ca="1">IFERROR(__xludf.DUMMYFUNCTION("SUM(FILTER(J:J, H:H=""Tiền mặt"")) - SUM(FILTER(K:K, H:H=""Tiền mặt""))
"),959000)</f>
        <v>959000</v>
      </c>
      <c r="N125" s="6">
        <f ca="1">IFERROR(__xludf.DUMMYFUNCTION("SUM(FILTER(J:J, H:H=""Chuyển khoản"")) - SUM(FILTER(K:K, H:H=""Chuyển khoản""))
"),4468984)</f>
        <v>4468984</v>
      </c>
      <c r="O125" s="5"/>
      <c r="P125" s="5"/>
      <c r="Q125" s="5"/>
      <c r="R125" s="5"/>
      <c r="S125" s="5"/>
    </row>
    <row r="126" spans="1:19" ht="15.75" customHeight="1" x14ac:dyDescent="0.2">
      <c r="A126" s="3">
        <v>46182</v>
      </c>
      <c r="B126" s="4" t="str">
        <f>IF(A126="","","PC-"&amp;TEXT(A126,"mm/yyyy")&amp;"-"&amp;TEXT(COUNTIFS($A$2:A126,"&gt;="&amp;EOMONTH(A126,-1)+1,$A$2:A126,"&lt;="&amp;EOMONTH(A126,0)),"000"))</f>
        <v>PC-06/2026-125</v>
      </c>
      <c r="C126" s="5" t="s">
        <v>1474</v>
      </c>
      <c r="D126" s="5" t="s">
        <v>29</v>
      </c>
      <c r="E126" s="5" t="s">
        <v>47</v>
      </c>
      <c r="F126" s="5"/>
      <c r="G126" s="5" t="s">
        <v>48</v>
      </c>
      <c r="H126" s="5" t="s">
        <v>23</v>
      </c>
      <c r="I126" s="6">
        <v>50000</v>
      </c>
      <c r="J126" s="6">
        <f>IF(D126="Thu",I126,0)</f>
        <v>0</v>
      </c>
      <c r="K126" s="6">
        <f>IF(D126="Chi",I126,0)</f>
        <v>50000</v>
      </c>
      <c r="L126" s="6" t="e">
        <f>L125+J126-K126</f>
        <v>#VALUE!</v>
      </c>
      <c r="M126" s="6">
        <f ca="1">IFERROR(__xludf.DUMMYFUNCTION("SUM(FILTER(J:J, H:H=""Tiền mặt"")) - SUM(FILTER(K:K, H:H=""Tiền mặt""))
"),959000)</f>
        <v>959000</v>
      </c>
      <c r="N126" s="6">
        <f ca="1">IFERROR(__xludf.DUMMYFUNCTION("SUM(FILTER(J:J, H:H=""Chuyển khoản"")) - SUM(FILTER(K:K, H:H=""Chuyển khoản""))
"),4468984)</f>
        <v>4468984</v>
      </c>
      <c r="O126" s="5"/>
      <c r="P126" s="5"/>
      <c r="Q126" s="5"/>
      <c r="R126" s="5"/>
      <c r="S126" s="5"/>
    </row>
    <row r="127" spans="1:19" ht="15.75" customHeight="1" x14ac:dyDescent="0.2">
      <c r="A127" s="3">
        <v>46182</v>
      </c>
      <c r="B127" s="4" t="str">
        <f>IF(A127="","","PC-"&amp;TEXT(A127,"mm/yyyy")&amp;"-"&amp;TEXT(COUNTIFS($A$2:A127,"&gt;="&amp;EOMONTH(A127,-1)+1,$A$2:A127,"&lt;="&amp;EOMONTH(A127,0)),"000"))</f>
        <v>PC-06/2026-126</v>
      </c>
      <c r="C127" s="51" t="s">
        <v>1475</v>
      </c>
      <c r="D127" s="5" t="s">
        <v>29</v>
      </c>
      <c r="E127" s="5" t="s">
        <v>41</v>
      </c>
      <c r="F127" s="5"/>
      <c r="G127" s="5" t="s">
        <v>82</v>
      </c>
      <c r="H127" s="5" t="s">
        <v>23</v>
      </c>
      <c r="I127" s="6">
        <v>100000</v>
      </c>
      <c r="J127" s="6">
        <f>IF(D127="Thu",I127,0)</f>
        <v>0</v>
      </c>
      <c r="K127" s="6">
        <f>IF(D127="Chi",I127,0)</f>
        <v>100000</v>
      </c>
      <c r="L127" s="6" t="e">
        <f>L126+J127-K127</f>
        <v>#VALUE!</v>
      </c>
      <c r="M127" s="6">
        <f ca="1">IFERROR(__xludf.DUMMYFUNCTION("SUM(FILTER(J:J, H:H=""Tiền mặt"")) - SUM(FILTER(K:K, H:H=""Tiền mặt""))
"),959000)</f>
        <v>959000</v>
      </c>
      <c r="N127" s="6">
        <f ca="1">IFERROR(__xludf.DUMMYFUNCTION("SUM(FILTER(J:J, H:H=""Chuyển khoản"")) - SUM(FILTER(K:K, H:H=""Chuyển khoản""))
"),4468984)</f>
        <v>4468984</v>
      </c>
      <c r="O127" s="5"/>
      <c r="P127" s="5"/>
      <c r="Q127" s="5"/>
      <c r="R127" s="5"/>
      <c r="S127" s="5"/>
    </row>
    <row r="128" spans="1:19" ht="15.75" customHeight="1" x14ac:dyDescent="0.2">
      <c r="A128" s="3">
        <v>46182</v>
      </c>
      <c r="B128" s="4" t="str">
        <f>IF(A128="","","PC-"&amp;TEXT(A128,"mm/yyyy")&amp;"-"&amp;TEXT(COUNTIFS($A$2:A128,"&gt;="&amp;EOMONTH(A128,-1)+1,$A$2:A128,"&lt;="&amp;EOMONTH(A128,0)),"000"))</f>
        <v>PC-06/2026-127</v>
      </c>
      <c r="C128" s="53" t="s">
        <v>1476</v>
      </c>
      <c r="D128" s="5" t="s">
        <v>29</v>
      </c>
      <c r="E128" s="5" t="s">
        <v>674</v>
      </c>
      <c r="F128" s="5"/>
      <c r="G128" s="7" t="s">
        <v>675</v>
      </c>
      <c r="H128" s="5" t="s">
        <v>27</v>
      </c>
      <c r="I128" s="6">
        <v>160000</v>
      </c>
      <c r="J128" s="6">
        <f>IF(D128="Thu",I128,0)</f>
        <v>0</v>
      </c>
      <c r="K128" s="6">
        <f>IF(D128="Chi",I128,0)</f>
        <v>160000</v>
      </c>
      <c r="L128" s="6" t="e">
        <f>L127+J128-K128</f>
        <v>#VALUE!</v>
      </c>
      <c r="M128" s="6">
        <f ca="1">IFERROR(__xludf.DUMMYFUNCTION("SUM(FILTER(J:J, H:H=""Tiền mặt"")) - SUM(FILTER(K:K, H:H=""Tiền mặt""))
"),959000)</f>
        <v>959000</v>
      </c>
      <c r="N128" s="6">
        <f ca="1">IFERROR(__xludf.DUMMYFUNCTION("SUM(FILTER(J:J, H:H=""Chuyển khoản"")) - SUM(FILTER(K:K, H:H=""Chuyển khoản""))
"),4468984)</f>
        <v>4468984</v>
      </c>
      <c r="O128" s="5"/>
      <c r="P128" s="5"/>
      <c r="Q128" s="5"/>
      <c r="R128" s="5"/>
      <c r="S128" s="5"/>
    </row>
    <row r="129" spans="1:19" ht="15.75" customHeight="1" x14ac:dyDescent="0.2">
      <c r="A129" s="3">
        <v>46181</v>
      </c>
      <c r="B129" s="4" t="str">
        <f>IF(A129="","","PC-"&amp;TEXT(A129,"mm/yyyy")&amp;"-"&amp;TEXT(COUNTIFS($A$2:A129,"&gt;="&amp;EOMONTH(A129,-1)+1,$A$2:A129,"&lt;="&amp;EOMONTH(A129,0)),"000"))</f>
        <v>PC-06/2026-128</v>
      </c>
      <c r="C129" s="5" t="s">
        <v>1452</v>
      </c>
      <c r="D129" s="5" t="s">
        <v>29</v>
      </c>
      <c r="E129" s="5" t="s">
        <v>44</v>
      </c>
      <c r="F129" s="5"/>
      <c r="G129" s="5" t="s">
        <v>353</v>
      </c>
      <c r="H129" s="5" t="s">
        <v>23</v>
      </c>
      <c r="I129" s="6">
        <v>2000000</v>
      </c>
      <c r="J129" s="6">
        <f>IF(D129="Thu",I129,0)</f>
        <v>0</v>
      </c>
      <c r="K129" s="6">
        <f>IF(D129="Chi",I129,0)</f>
        <v>2000000</v>
      </c>
      <c r="L129" s="6" t="e">
        <f>L128+J129-K129</f>
        <v>#VALUE!</v>
      </c>
      <c r="M129" s="6">
        <f ca="1">IFERROR(__xludf.DUMMYFUNCTION("SUM(FILTER(J:J, H:H=""Tiền mặt"")) - SUM(FILTER(K:K, H:H=""Tiền mặt""))
"),959000)</f>
        <v>959000</v>
      </c>
      <c r="N129" s="6">
        <f ca="1">IFERROR(__xludf.DUMMYFUNCTION("SUM(FILTER(J:J, H:H=""Chuyển khoản"")) - SUM(FILTER(K:K, H:H=""Chuyển khoản""))
"),4468984)</f>
        <v>4468984</v>
      </c>
      <c r="O129" s="5"/>
      <c r="P129" s="5"/>
      <c r="Q129" s="5"/>
      <c r="R129" s="5"/>
      <c r="S129" s="5"/>
    </row>
    <row r="130" spans="1:19" ht="15.75" customHeight="1" x14ac:dyDescent="0.2">
      <c r="A130" s="3">
        <v>46181</v>
      </c>
      <c r="B130" s="4" t="str">
        <f>IF(A130="","","PC-"&amp;TEXT(A130,"mm/yyyy")&amp;"-"&amp;TEXT(COUNTIFS($A$2:A130,"&gt;="&amp;EOMONTH(A130,-1)+1,$A$2:A130,"&lt;="&amp;EOMONTH(A130,0)),"000"))</f>
        <v>PC-06/2026-129</v>
      </c>
      <c r="C130" s="5" t="s">
        <v>1453</v>
      </c>
      <c r="D130" s="5" t="s">
        <v>29</v>
      </c>
      <c r="E130" s="5" t="s">
        <v>44</v>
      </c>
      <c r="F130" s="5"/>
      <c r="G130" s="5" t="s">
        <v>353</v>
      </c>
      <c r="H130" s="5" t="s">
        <v>23</v>
      </c>
      <c r="I130" s="6">
        <v>2000000</v>
      </c>
      <c r="J130" s="6">
        <f>IF(D130="Thu",I130,0)</f>
        <v>0</v>
      </c>
      <c r="K130" s="6">
        <f>IF(D130="Chi",I130,0)</f>
        <v>2000000</v>
      </c>
      <c r="L130" s="6" t="e">
        <f>L129+J130-K130</f>
        <v>#VALUE!</v>
      </c>
      <c r="M130" s="6">
        <f ca="1">IFERROR(__xludf.DUMMYFUNCTION("SUM(FILTER(J:J, H:H=""Tiền mặt"")) - SUM(FILTER(K:K, H:H=""Tiền mặt""))
"),959000)</f>
        <v>959000</v>
      </c>
      <c r="N130" s="6">
        <f ca="1">IFERROR(__xludf.DUMMYFUNCTION("SUM(FILTER(J:J, H:H=""Chuyển khoản"")) - SUM(FILTER(K:K, H:H=""Chuyển khoản""))
"),4468984)</f>
        <v>4468984</v>
      </c>
      <c r="O130" s="5"/>
      <c r="P130" s="5"/>
      <c r="Q130" s="5"/>
      <c r="R130" s="5"/>
      <c r="S130" s="5"/>
    </row>
    <row r="131" spans="1:19" ht="15.75" customHeight="1" x14ac:dyDescent="0.2">
      <c r="A131" s="3">
        <v>46181</v>
      </c>
      <c r="B131" s="4" t="str">
        <f>IF(A131="","","PC-"&amp;TEXT(A131,"mm/yyyy")&amp;"-"&amp;TEXT(COUNTIFS($A$2:A131,"&gt;="&amp;EOMONTH(A131,-1)+1,$A$2:A131,"&lt;="&amp;EOMONTH(A131,0)),"000"))</f>
        <v>PC-06/2026-130</v>
      </c>
      <c r="C131" s="7" t="s">
        <v>1454</v>
      </c>
      <c r="D131" s="5" t="s">
        <v>29</v>
      </c>
      <c r="E131" s="5" t="s">
        <v>47</v>
      </c>
      <c r="F131" s="5"/>
      <c r="G131" s="5" t="s">
        <v>48</v>
      </c>
      <c r="H131" s="5" t="s">
        <v>23</v>
      </c>
      <c r="I131" s="6">
        <v>50000</v>
      </c>
      <c r="J131" s="6">
        <f>IF(D131="Thu",I131,0)</f>
        <v>0</v>
      </c>
      <c r="K131" s="6">
        <f>IF(D131="Chi",I131,0)</f>
        <v>50000</v>
      </c>
      <c r="L131" s="6" t="e">
        <f>L130+J131-K131</f>
        <v>#VALUE!</v>
      </c>
      <c r="M131" s="6">
        <f ca="1">IFERROR(__xludf.DUMMYFUNCTION("SUM(FILTER(J:J, H:H=""Tiền mặt"")) - SUM(FILTER(K:K, H:H=""Tiền mặt""))
"),959000)</f>
        <v>959000</v>
      </c>
      <c r="N131" s="6">
        <f ca="1">IFERROR(__xludf.DUMMYFUNCTION("SUM(FILTER(J:J, H:H=""Chuyển khoản"")) - SUM(FILTER(K:K, H:H=""Chuyển khoản""))
"),4468984)</f>
        <v>4468984</v>
      </c>
      <c r="O131" s="5"/>
      <c r="P131" s="5"/>
      <c r="Q131" s="5"/>
      <c r="R131" s="5"/>
      <c r="S131" s="5"/>
    </row>
    <row r="132" spans="1:19" ht="15.75" customHeight="1" x14ac:dyDescent="0.2">
      <c r="A132" s="3">
        <v>46181</v>
      </c>
      <c r="B132" s="4" t="str">
        <f>IF(A132="","","PC-"&amp;TEXT(A132,"mm/yyyy")&amp;"-"&amp;TEXT(COUNTIFS($A$2:A132,"&gt;="&amp;EOMONTH(A132,-1)+1,$A$2:A132,"&lt;="&amp;EOMONTH(A132,0)),"000"))</f>
        <v>PC-06/2026-131</v>
      </c>
      <c r="C132" s="5" t="s">
        <v>1455</v>
      </c>
      <c r="D132" s="5" t="s">
        <v>20</v>
      </c>
      <c r="E132" s="5" t="s">
        <v>21</v>
      </c>
      <c r="F132" s="5"/>
      <c r="G132" s="5" t="s">
        <v>22</v>
      </c>
      <c r="H132" s="5" t="s">
        <v>23</v>
      </c>
      <c r="I132" s="6">
        <v>20000000</v>
      </c>
      <c r="J132" s="6">
        <f>IF(D132="Thu",I132,0)</f>
        <v>20000000</v>
      </c>
      <c r="K132" s="6">
        <f>IF(D132="Chi",I132,0)</f>
        <v>0</v>
      </c>
      <c r="L132" s="6" t="e">
        <f>L131+J132-K132</f>
        <v>#VALUE!</v>
      </c>
      <c r="M132" s="6">
        <f ca="1">IFERROR(__xludf.DUMMYFUNCTION("SUM(FILTER(J:J, H:H=""Tiền mặt"")) - SUM(FILTER(K:K, H:H=""Tiền mặt""))
"),959000)</f>
        <v>959000</v>
      </c>
      <c r="N132" s="6">
        <f ca="1">IFERROR(__xludf.DUMMYFUNCTION("SUM(FILTER(J:J, H:H=""Chuyển khoản"")) - SUM(FILTER(K:K, H:H=""Chuyển khoản""))
"),4468984)</f>
        <v>4468984</v>
      </c>
      <c r="O132" s="5"/>
      <c r="P132" s="5"/>
      <c r="Q132" s="5"/>
      <c r="R132" s="5"/>
      <c r="S132" s="5"/>
    </row>
    <row r="133" spans="1:19" ht="15.75" customHeight="1" x14ac:dyDescent="0.2">
      <c r="A133" s="3">
        <v>46181</v>
      </c>
      <c r="B133" s="4" t="str">
        <f>IF(A133="","","PC-"&amp;TEXT(A133,"mm/yyyy")&amp;"-"&amp;TEXT(COUNTIFS($A$2:A133,"&gt;="&amp;EOMONTH(A133,-1)+1,$A$2:A133,"&lt;="&amp;EOMONTH(A133,0)),"000"))</f>
        <v>PC-06/2026-132</v>
      </c>
      <c r="C133" s="5" t="s">
        <v>1456</v>
      </c>
      <c r="D133" s="5" t="s">
        <v>20</v>
      </c>
      <c r="E133" s="5" t="s">
        <v>21</v>
      </c>
      <c r="F133" s="5"/>
      <c r="G133" s="5" t="s">
        <v>22</v>
      </c>
      <c r="H133" s="5" t="s">
        <v>27</v>
      </c>
      <c r="I133" s="6">
        <v>10000000</v>
      </c>
      <c r="J133" s="6">
        <f>IF(D133="Thu",I133,0)</f>
        <v>10000000</v>
      </c>
      <c r="K133" s="6">
        <f>IF(D133="Chi",I133,0)</f>
        <v>0</v>
      </c>
      <c r="L133" s="6" t="e">
        <f>L132+J133-K133</f>
        <v>#VALUE!</v>
      </c>
      <c r="M133" s="6">
        <f ca="1">IFERROR(__xludf.DUMMYFUNCTION("SUM(FILTER(J:J, H:H=""Tiền mặt"")) - SUM(FILTER(K:K, H:H=""Tiền mặt""))
"),959000)</f>
        <v>959000</v>
      </c>
      <c r="N133" s="6">
        <f ca="1">IFERROR(__xludf.DUMMYFUNCTION("SUM(FILTER(J:J, H:H=""Chuyển khoản"")) - SUM(FILTER(K:K, H:H=""Chuyển khoản""))
"),4468984)</f>
        <v>4468984</v>
      </c>
      <c r="O133" s="5"/>
      <c r="P133" s="5"/>
      <c r="Q133" s="5"/>
      <c r="R133" s="5"/>
      <c r="S133" s="5"/>
    </row>
    <row r="134" spans="1:19" ht="15.75" customHeight="1" x14ac:dyDescent="0.2">
      <c r="A134" s="3">
        <v>46181</v>
      </c>
      <c r="B134" s="4" t="str">
        <f>IF(A134="","","PC-"&amp;TEXT(A134,"mm/yyyy")&amp;"-"&amp;TEXT(COUNTIFS($A$2:A134,"&gt;="&amp;EOMONTH(A134,-1)+1,$A$2:A134,"&lt;="&amp;EOMONTH(A134,0)),"000"))</f>
        <v>PC-06/2026-133</v>
      </c>
      <c r="C134" s="5" t="s">
        <v>1457</v>
      </c>
      <c r="D134" s="5" t="s">
        <v>29</v>
      </c>
      <c r="E134" s="5" t="s">
        <v>88</v>
      </c>
      <c r="F134" s="5"/>
      <c r="G134" s="5" t="s">
        <v>89</v>
      </c>
      <c r="H134" s="5" t="s">
        <v>23</v>
      </c>
      <c r="I134" s="6">
        <v>2509000</v>
      </c>
      <c r="J134" s="6">
        <f>IF(D134="Thu",I134,0)</f>
        <v>0</v>
      </c>
      <c r="K134" s="6">
        <f>IF(D134="Chi",I134,0)</f>
        <v>2509000</v>
      </c>
      <c r="L134" s="6" t="e">
        <f>L133+J134-K134</f>
        <v>#VALUE!</v>
      </c>
      <c r="M134" s="6">
        <f ca="1">IFERROR(__xludf.DUMMYFUNCTION("SUM(FILTER(J:J, H:H=""Tiền mặt"")) - SUM(FILTER(K:K, H:H=""Tiền mặt""))
"),959000)</f>
        <v>959000</v>
      </c>
      <c r="N134" s="6">
        <f ca="1">IFERROR(__xludf.DUMMYFUNCTION("SUM(FILTER(J:J, H:H=""Chuyển khoản"")) - SUM(FILTER(K:K, H:H=""Chuyển khoản""))
"),4468984)</f>
        <v>4468984</v>
      </c>
      <c r="O134" s="5"/>
      <c r="P134" s="5"/>
      <c r="Q134" s="5"/>
      <c r="R134" s="5"/>
      <c r="S134" s="5"/>
    </row>
    <row r="135" spans="1:19" ht="15.75" customHeight="1" x14ac:dyDescent="0.2">
      <c r="A135" s="3">
        <v>46181</v>
      </c>
      <c r="B135" s="4" t="str">
        <f>IF(A135="","","PC-"&amp;TEXT(A135,"mm/yyyy")&amp;"-"&amp;TEXT(COUNTIFS($A$2:A135,"&gt;="&amp;EOMONTH(A135,-1)+1,$A$2:A135,"&lt;="&amp;EOMONTH(A135,0)),"000"))</f>
        <v>PC-06/2026-134</v>
      </c>
      <c r="C135" s="5" t="s">
        <v>1458</v>
      </c>
      <c r="D135" s="5" t="s">
        <v>29</v>
      </c>
      <c r="E135" s="5" t="s">
        <v>88</v>
      </c>
      <c r="F135" s="5"/>
      <c r="G135" s="5" t="s">
        <v>89</v>
      </c>
      <c r="H135" s="5" t="s">
        <v>23</v>
      </c>
      <c r="I135" s="6">
        <v>2500000</v>
      </c>
      <c r="J135" s="6">
        <f>IF(D135="Thu",I135,0)</f>
        <v>0</v>
      </c>
      <c r="K135" s="6">
        <f>IF(D135="Chi",I135,0)</f>
        <v>2500000</v>
      </c>
      <c r="L135" s="6" t="e">
        <f>L134+J135-K135</f>
        <v>#VALUE!</v>
      </c>
      <c r="M135" s="6">
        <f ca="1">IFERROR(__xludf.DUMMYFUNCTION("SUM(FILTER(J:J, H:H=""Tiền mặt"")) - SUM(FILTER(K:K, H:H=""Tiền mặt""))
"),959000)</f>
        <v>959000</v>
      </c>
      <c r="N135" s="6">
        <f ca="1">IFERROR(__xludf.DUMMYFUNCTION("SUM(FILTER(J:J, H:H=""Chuyển khoản"")) - SUM(FILTER(K:K, H:H=""Chuyển khoản""))
"),4468984)</f>
        <v>4468984</v>
      </c>
      <c r="O135" s="5"/>
      <c r="P135" s="5"/>
      <c r="Q135" s="5"/>
      <c r="R135" s="5"/>
      <c r="S135" s="5"/>
    </row>
    <row r="136" spans="1:19" ht="15.75" customHeight="1" x14ac:dyDescent="0.2">
      <c r="A136" s="3">
        <v>46181</v>
      </c>
      <c r="B136" s="4" t="str">
        <f>IF(A136="","","PC-"&amp;TEXT(A136,"mm/yyyy")&amp;"-"&amp;TEXT(COUNTIFS($A$2:A136,"&gt;="&amp;EOMONTH(A136,-1)+1,$A$2:A136,"&lt;="&amp;EOMONTH(A136,0)),"000"))</f>
        <v>PC-06/2026-135</v>
      </c>
      <c r="C136" s="5" t="s">
        <v>1459</v>
      </c>
      <c r="D136" s="5" t="s">
        <v>29</v>
      </c>
      <c r="E136" s="5" t="s">
        <v>71</v>
      </c>
      <c r="F136" s="5"/>
      <c r="G136" s="5" t="s">
        <v>974</v>
      </c>
      <c r="H136" s="5" t="s">
        <v>27</v>
      </c>
      <c r="I136" s="6">
        <v>63000</v>
      </c>
      <c r="J136" s="6">
        <f>IF(D136="Thu",I136,0)</f>
        <v>0</v>
      </c>
      <c r="K136" s="6">
        <f>IF(D136="Chi",I136,0)</f>
        <v>63000</v>
      </c>
      <c r="L136" s="6" t="e">
        <f>L135+J136-K136</f>
        <v>#VALUE!</v>
      </c>
      <c r="M136" s="6">
        <f ca="1">IFERROR(__xludf.DUMMYFUNCTION("SUM(FILTER(J:J, H:H=""Tiền mặt"")) - SUM(FILTER(K:K, H:H=""Tiền mặt""))
"),959000)</f>
        <v>959000</v>
      </c>
      <c r="N136" s="6">
        <f ca="1">IFERROR(__xludf.DUMMYFUNCTION("SUM(FILTER(J:J, H:H=""Chuyển khoản"")) - SUM(FILTER(K:K, H:H=""Chuyển khoản""))
"),4468984)</f>
        <v>4468984</v>
      </c>
      <c r="O136" s="5"/>
      <c r="P136" s="5"/>
      <c r="Q136" s="5"/>
      <c r="R136" s="5"/>
      <c r="S136" s="5"/>
    </row>
    <row r="137" spans="1:19" ht="15.75" customHeight="1" x14ac:dyDescent="0.2">
      <c r="A137" s="3">
        <v>46181</v>
      </c>
      <c r="B137" s="4" t="str">
        <f>IF(A137="","","PC-"&amp;TEXT(A137,"mm/yyyy")&amp;"-"&amp;TEXT(COUNTIFS($A$2:A137,"&gt;="&amp;EOMONTH(A137,-1)+1,$A$2:A137,"&lt;="&amp;EOMONTH(A137,0)),"000"))</f>
        <v>PC-06/2026-136</v>
      </c>
      <c r="C137" s="7" t="s">
        <v>1460</v>
      </c>
      <c r="D137" s="5" t="s">
        <v>29</v>
      </c>
      <c r="E137" s="5" t="s">
        <v>41</v>
      </c>
      <c r="F137" s="5"/>
      <c r="G137" s="5" t="s">
        <v>82</v>
      </c>
      <c r="H137" s="5" t="s">
        <v>23</v>
      </c>
      <c r="I137" s="6">
        <v>100000</v>
      </c>
      <c r="J137" s="6">
        <f>IF(D137="Thu",I137,0)</f>
        <v>0</v>
      </c>
      <c r="K137" s="6">
        <f>IF(D137="Chi",I137,0)</f>
        <v>100000</v>
      </c>
      <c r="L137" s="6" t="e">
        <f>L136+J137-K137</f>
        <v>#VALUE!</v>
      </c>
      <c r="M137" s="6">
        <f ca="1">IFERROR(__xludf.DUMMYFUNCTION("SUM(FILTER(J:J, H:H=""Tiền mặt"")) - SUM(FILTER(K:K, H:H=""Tiền mặt""))
"),959000)</f>
        <v>959000</v>
      </c>
      <c r="N137" s="6">
        <f ca="1">IFERROR(__xludf.DUMMYFUNCTION("SUM(FILTER(J:J, H:H=""Chuyển khoản"")) - SUM(FILTER(K:K, H:H=""Chuyển khoản""))
"),4468984)</f>
        <v>4468984</v>
      </c>
      <c r="O137" s="5"/>
      <c r="P137" s="5"/>
      <c r="Q137" s="5"/>
      <c r="R137" s="5"/>
      <c r="S137" s="5"/>
    </row>
    <row r="138" spans="1:19" ht="15.75" customHeight="1" x14ac:dyDescent="0.2">
      <c r="A138" s="3">
        <v>46181</v>
      </c>
      <c r="B138" s="4" t="str">
        <f>IF(A138="","","PC-"&amp;TEXT(A138,"mm/yyyy")&amp;"-"&amp;TEXT(COUNTIFS($A$2:A138,"&gt;="&amp;EOMONTH(A138,-1)+1,$A$2:A138,"&lt;="&amp;EOMONTH(A138,0)),"000"))</f>
        <v>PC-06/2026-137</v>
      </c>
      <c r="C138" s="7" t="s">
        <v>1461</v>
      </c>
      <c r="D138" s="5" t="s">
        <v>29</v>
      </c>
      <c r="E138" s="5" t="s">
        <v>47</v>
      </c>
      <c r="F138" s="5"/>
      <c r="G138" s="5" t="s">
        <v>48</v>
      </c>
      <c r="H138" s="5" t="s">
        <v>23</v>
      </c>
      <c r="I138" s="6">
        <v>50000</v>
      </c>
      <c r="J138" s="6">
        <f>IF(D138="Thu",I138,0)</f>
        <v>0</v>
      </c>
      <c r="K138" s="6">
        <f>IF(D138="Chi",I138,0)</f>
        <v>50000</v>
      </c>
      <c r="L138" s="6" t="e">
        <f>L137+J138-K138</f>
        <v>#VALUE!</v>
      </c>
      <c r="M138" s="6">
        <f ca="1">IFERROR(__xludf.DUMMYFUNCTION("SUM(FILTER(J:J, H:H=""Tiền mặt"")) - SUM(FILTER(K:K, H:H=""Tiền mặt""))
"),959000)</f>
        <v>959000</v>
      </c>
      <c r="N138" s="6">
        <f ca="1">IFERROR(__xludf.DUMMYFUNCTION("SUM(FILTER(J:J, H:H=""Chuyển khoản"")) - SUM(FILTER(K:K, H:H=""Chuyển khoản""))
"),4468984)</f>
        <v>4468984</v>
      </c>
      <c r="O138" s="5"/>
      <c r="P138" s="5"/>
      <c r="Q138" s="5"/>
      <c r="R138" s="5"/>
      <c r="S138" s="5"/>
    </row>
    <row r="139" spans="1:19" ht="15.75" customHeight="1" x14ac:dyDescent="0.2">
      <c r="A139" s="3">
        <v>46181</v>
      </c>
      <c r="B139" s="4" t="str">
        <f>IF(A139="","","PC-"&amp;TEXT(A139,"mm/yyyy")&amp;"-"&amp;TEXT(COUNTIFS($A$2:A139,"&gt;="&amp;EOMONTH(A139,-1)+1,$A$2:A139,"&lt;="&amp;EOMONTH(A139,0)),"000"))</f>
        <v>PC-06/2026-138</v>
      </c>
      <c r="C139" s="7" t="s">
        <v>1462</v>
      </c>
      <c r="D139" s="5" t="s">
        <v>29</v>
      </c>
      <c r="E139" s="5" t="s">
        <v>47</v>
      </c>
      <c r="F139" s="5"/>
      <c r="G139" s="5" t="s">
        <v>48</v>
      </c>
      <c r="H139" s="5" t="s">
        <v>23</v>
      </c>
      <c r="I139" s="6">
        <v>50000</v>
      </c>
      <c r="J139" s="6">
        <f>IF(D139="Thu",I139,0)</f>
        <v>0</v>
      </c>
      <c r="K139" s="6">
        <f>IF(D139="Chi",I139,0)</f>
        <v>50000</v>
      </c>
      <c r="L139" s="6" t="e">
        <f>L138+J139-K139</f>
        <v>#VALUE!</v>
      </c>
      <c r="M139" s="6">
        <f ca="1">IFERROR(__xludf.DUMMYFUNCTION("SUM(FILTER(J:J, H:H=""Tiền mặt"")) - SUM(FILTER(K:K, H:H=""Tiền mặt""))
"),959000)</f>
        <v>959000</v>
      </c>
      <c r="N139" s="6">
        <f ca="1">IFERROR(__xludf.DUMMYFUNCTION("SUM(FILTER(J:J, H:H=""Chuyển khoản"")) - SUM(FILTER(K:K, H:H=""Chuyển khoản""))
"),4468984)</f>
        <v>4468984</v>
      </c>
      <c r="O139" s="5"/>
      <c r="P139" s="5"/>
      <c r="Q139" s="5"/>
      <c r="R139" s="5"/>
      <c r="S139" s="5"/>
    </row>
    <row r="140" spans="1:19" ht="15.75" customHeight="1" x14ac:dyDescent="0.2">
      <c r="A140" s="3">
        <v>46181</v>
      </c>
      <c r="B140" s="4" t="str">
        <f>IF(A140="","","PC-"&amp;TEXT(A140,"mm/yyyy")&amp;"-"&amp;TEXT(COUNTIFS($A$2:A140,"&gt;="&amp;EOMONTH(A140,-1)+1,$A$2:A140,"&lt;="&amp;EOMONTH(A140,0)),"000"))</f>
        <v>PC-06/2026-139</v>
      </c>
      <c r="C140" s="5" t="s">
        <v>1463</v>
      </c>
      <c r="D140" s="5" t="s">
        <v>29</v>
      </c>
      <c r="E140" s="5" t="s">
        <v>41</v>
      </c>
      <c r="F140" s="5"/>
      <c r="G140" s="5" t="s">
        <v>192</v>
      </c>
      <c r="H140" s="5" t="s">
        <v>23</v>
      </c>
      <c r="I140" s="6">
        <v>100000</v>
      </c>
      <c r="J140" s="6">
        <f>IF(D140="Thu",I140,0)</f>
        <v>0</v>
      </c>
      <c r="K140" s="6">
        <f>IF(D140="Chi",I140,0)</f>
        <v>100000</v>
      </c>
      <c r="L140" s="6" t="e">
        <f>L139+J140-K140</f>
        <v>#VALUE!</v>
      </c>
      <c r="M140" s="6">
        <f ca="1">IFERROR(__xludf.DUMMYFUNCTION("SUM(FILTER(J:J, H:H=""Tiền mặt"")) - SUM(FILTER(K:K, H:H=""Tiền mặt""))
"),959000)</f>
        <v>959000</v>
      </c>
      <c r="N140" s="6">
        <f ca="1">IFERROR(__xludf.DUMMYFUNCTION("SUM(FILTER(J:J, H:H=""Chuyển khoản"")) - SUM(FILTER(K:K, H:H=""Chuyển khoản""))
"),4468984)</f>
        <v>4468984</v>
      </c>
      <c r="O140" s="5"/>
      <c r="P140" s="5"/>
      <c r="Q140" s="5"/>
      <c r="R140" s="5"/>
      <c r="S140" s="5"/>
    </row>
    <row r="141" spans="1:19" ht="15.75" customHeight="1" x14ac:dyDescent="0.2">
      <c r="A141" s="3">
        <v>46181</v>
      </c>
      <c r="B141" s="4" t="str">
        <f>IF(A141="","","PC-"&amp;TEXT(A141,"mm/yyyy")&amp;"-"&amp;TEXT(COUNTIFS($A$2:A141,"&gt;="&amp;EOMONTH(A141,-1)+1,$A$2:A141,"&lt;="&amp;EOMONTH(A141,0)),"000"))</f>
        <v>PC-06/2026-140</v>
      </c>
      <c r="C141" s="5" t="s">
        <v>1464</v>
      </c>
      <c r="D141" s="5" t="s">
        <v>29</v>
      </c>
      <c r="E141" s="5" t="s">
        <v>429</v>
      </c>
      <c r="F141" s="5"/>
      <c r="G141" s="5" t="s">
        <v>1465</v>
      </c>
      <c r="H141" s="5" t="s">
        <v>23</v>
      </c>
      <c r="I141" s="6">
        <v>8000</v>
      </c>
      <c r="J141" s="6">
        <f>IF(D141="Thu",I141,0)</f>
        <v>0</v>
      </c>
      <c r="K141" s="6">
        <f>IF(D141="Chi",I141,0)</f>
        <v>8000</v>
      </c>
      <c r="L141" s="6" t="e">
        <f>L140+J141-K141</f>
        <v>#VALUE!</v>
      </c>
      <c r="M141" s="6">
        <f ca="1">IFERROR(__xludf.DUMMYFUNCTION("SUM(FILTER(J:J, H:H=""Tiền mặt"")) - SUM(FILTER(K:K, H:H=""Tiền mặt""))
"),959000)</f>
        <v>959000</v>
      </c>
      <c r="N141" s="6">
        <f ca="1">IFERROR(__xludf.DUMMYFUNCTION("SUM(FILTER(J:J, H:H=""Chuyển khoản"")) - SUM(FILTER(K:K, H:H=""Chuyển khoản""))
"),4468984)</f>
        <v>4468984</v>
      </c>
      <c r="O141" s="5"/>
      <c r="P141" s="5"/>
      <c r="Q141" s="5"/>
      <c r="R141" s="5"/>
      <c r="S141" s="5"/>
    </row>
    <row r="142" spans="1:19" ht="15.75" customHeight="1" x14ac:dyDescent="0.2">
      <c r="A142" s="3">
        <v>46181</v>
      </c>
      <c r="B142" s="4" t="str">
        <f>IF(A142="","","PC-"&amp;TEXT(A142,"mm/yyyy")&amp;"-"&amp;TEXT(COUNTIFS($A$2:A142,"&gt;="&amp;EOMONTH(A142,-1)+1,$A$2:A142,"&lt;="&amp;EOMONTH(A142,0)),"000"))</f>
        <v>PC-06/2026-141</v>
      </c>
      <c r="C142" s="5" t="s">
        <v>1466</v>
      </c>
      <c r="D142" s="5" t="s">
        <v>29</v>
      </c>
      <c r="E142" s="5" t="s">
        <v>51</v>
      </c>
      <c r="F142" s="5"/>
      <c r="G142" s="5" t="s">
        <v>52</v>
      </c>
      <c r="H142" s="5" t="s">
        <v>27</v>
      </c>
      <c r="I142" s="6">
        <v>100581</v>
      </c>
      <c r="J142" s="6">
        <f>IF(D142="Thu",I142,0)</f>
        <v>0</v>
      </c>
      <c r="K142" s="6">
        <f>IF(D142="Chi",I142,0)</f>
        <v>100581</v>
      </c>
      <c r="L142" s="6" t="e">
        <f>L141+J142-K142</f>
        <v>#VALUE!</v>
      </c>
      <c r="M142" s="6">
        <f ca="1">IFERROR(__xludf.DUMMYFUNCTION("SUM(FILTER(J:J, H:H=""Tiền mặt"")) - SUM(FILTER(K:K, H:H=""Tiền mặt""))
"),959000)</f>
        <v>959000</v>
      </c>
      <c r="N142" s="6">
        <f ca="1">IFERROR(__xludf.DUMMYFUNCTION("SUM(FILTER(J:J, H:H=""Chuyển khoản"")) - SUM(FILTER(K:K, H:H=""Chuyển khoản""))
"),4468984)</f>
        <v>4468984</v>
      </c>
      <c r="O142" s="5"/>
      <c r="P142" s="5"/>
      <c r="Q142" s="5"/>
      <c r="R142" s="5"/>
      <c r="S142" s="5"/>
    </row>
    <row r="143" spans="1:19" ht="15.75" customHeight="1" x14ac:dyDescent="0.2">
      <c r="A143" s="3">
        <v>46181</v>
      </c>
      <c r="B143" s="4" t="str">
        <f>IF(A143="","","PC-"&amp;TEXT(A143,"mm/yyyy")&amp;"-"&amp;TEXT(COUNTIFS($A$2:A143,"&gt;="&amp;EOMONTH(A143,-1)+1,$A$2:A143,"&lt;="&amp;EOMONTH(A143,0)),"000"))</f>
        <v>PC-06/2026-142</v>
      </c>
      <c r="C143" s="7" t="s">
        <v>1467</v>
      </c>
      <c r="D143" s="5" t="s">
        <v>29</v>
      </c>
      <c r="E143" s="5" t="s">
        <v>64</v>
      </c>
      <c r="F143" s="5"/>
      <c r="G143" s="5" t="s">
        <v>426</v>
      </c>
      <c r="H143" s="5" t="s">
        <v>23</v>
      </c>
      <c r="I143" s="6">
        <v>300000</v>
      </c>
      <c r="J143" s="6">
        <f>IF(D143="Thu",I143,0)</f>
        <v>0</v>
      </c>
      <c r="K143" s="6">
        <f>IF(D143="Chi",I143,0)</f>
        <v>300000</v>
      </c>
      <c r="L143" s="6" t="e">
        <f>L142+J143-K143</f>
        <v>#VALUE!</v>
      </c>
      <c r="M143" s="6">
        <f ca="1">IFERROR(__xludf.DUMMYFUNCTION("SUM(FILTER(J:J, H:H=""Tiền mặt"")) - SUM(FILTER(K:K, H:H=""Tiền mặt""))
"),959000)</f>
        <v>959000</v>
      </c>
      <c r="N143" s="6">
        <f ca="1">IFERROR(__xludf.DUMMYFUNCTION("SUM(FILTER(J:J, H:H=""Chuyển khoản"")) - SUM(FILTER(K:K, H:H=""Chuyển khoản""))
"),4468984)</f>
        <v>4468984</v>
      </c>
      <c r="O143" s="5"/>
      <c r="P143" s="5"/>
      <c r="Q143" s="5"/>
      <c r="R143" s="5"/>
      <c r="S143" s="5"/>
    </row>
    <row r="144" spans="1:19" ht="15.75" customHeight="1" x14ac:dyDescent="0.2">
      <c r="A144" s="3">
        <v>46181</v>
      </c>
      <c r="B144" s="4" t="str">
        <f>IF(A144="","","PC-"&amp;TEXT(A144,"mm/yyyy")&amp;"-"&amp;TEXT(COUNTIFS($A$2:A144,"&gt;="&amp;EOMONTH(A144,-1)+1,$A$2:A144,"&lt;="&amp;EOMONTH(A144,0)),"000"))</f>
        <v>PC-06/2026-143</v>
      </c>
      <c r="C144" s="7" t="s">
        <v>1468</v>
      </c>
      <c r="D144" s="5" t="s">
        <v>29</v>
      </c>
      <c r="E144" s="5" t="s">
        <v>64</v>
      </c>
      <c r="F144" s="5"/>
      <c r="G144" s="5" t="s">
        <v>426</v>
      </c>
      <c r="H144" s="5" t="s">
        <v>23</v>
      </c>
      <c r="I144" s="6">
        <v>300000</v>
      </c>
      <c r="J144" s="6">
        <f>IF(D144="Thu",I144,0)</f>
        <v>0</v>
      </c>
      <c r="K144" s="6">
        <f>IF(D144="Chi",I144,0)</f>
        <v>300000</v>
      </c>
      <c r="L144" s="6" t="e">
        <f>L143+J144-K144</f>
        <v>#VALUE!</v>
      </c>
      <c r="M144" s="6">
        <f ca="1">IFERROR(__xludf.DUMMYFUNCTION("SUM(FILTER(J:J, H:H=""Tiền mặt"")) - SUM(FILTER(K:K, H:H=""Tiền mặt""))
"),959000)</f>
        <v>959000</v>
      </c>
      <c r="N144" s="6">
        <f ca="1">IFERROR(__xludf.DUMMYFUNCTION("SUM(FILTER(J:J, H:H=""Chuyển khoản"")) - SUM(FILTER(K:K, H:H=""Chuyển khoản""))
"),4468984)</f>
        <v>4468984</v>
      </c>
      <c r="O144" s="5"/>
      <c r="P144" s="5"/>
      <c r="Q144" s="5"/>
      <c r="R144" s="5"/>
      <c r="S144" s="5"/>
    </row>
    <row r="145" spans="1:19" ht="15.75" customHeight="1" x14ac:dyDescent="0.2">
      <c r="A145" s="3">
        <v>46181</v>
      </c>
      <c r="B145" s="4" t="str">
        <f>IF(A145="","","PC-"&amp;TEXT(A145,"mm/yyyy")&amp;"-"&amp;TEXT(COUNTIFS($A$2:A145,"&gt;="&amp;EOMONTH(A145,-1)+1,$A$2:A145,"&lt;="&amp;EOMONTH(A145,0)),"000"))</f>
        <v>PC-06/2026-144</v>
      </c>
      <c r="C145" s="5" t="s">
        <v>1469</v>
      </c>
      <c r="D145" s="5" t="s">
        <v>29</v>
      </c>
      <c r="E145" s="5" t="s">
        <v>64</v>
      </c>
      <c r="F145" s="5"/>
      <c r="G145" s="5" t="s">
        <v>426</v>
      </c>
      <c r="H145" s="5" t="s">
        <v>23</v>
      </c>
      <c r="I145" s="6">
        <v>300000</v>
      </c>
      <c r="J145" s="6">
        <f>IF(D145="Thu",I145,0)</f>
        <v>0</v>
      </c>
      <c r="K145" s="6">
        <f>IF(D145="Chi",I145,0)</f>
        <v>300000</v>
      </c>
      <c r="L145" s="6" t="e">
        <f>L144+J145-K145</f>
        <v>#VALUE!</v>
      </c>
      <c r="M145" s="6">
        <f ca="1">IFERROR(__xludf.DUMMYFUNCTION("SUM(FILTER(J:J, H:H=""Tiền mặt"")) - SUM(FILTER(K:K, H:H=""Tiền mặt""))
"),959000)</f>
        <v>959000</v>
      </c>
      <c r="N145" s="6">
        <f ca="1">IFERROR(__xludf.DUMMYFUNCTION("SUM(FILTER(J:J, H:H=""Chuyển khoản"")) - SUM(FILTER(K:K, H:H=""Chuyển khoản""))
"),4468984)</f>
        <v>4468984</v>
      </c>
      <c r="O145" s="5"/>
      <c r="P145" s="5"/>
      <c r="Q145" s="5"/>
      <c r="R145" s="5"/>
      <c r="S145" s="5"/>
    </row>
    <row r="146" spans="1:19" ht="15.75" customHeight="1" x14ac:dyDescent="0.2">
      <c r="A146" s="3">
        <v>46181</v>
      </c>
      <c r="B146" s="4" t="str">
        <f>IF(A146="","","PC-"&amp;TEXT(A146,"mm/yyyy")&amp;"-"&amp;TEXT(COUNTIFS($A$2:A146,"&gt;="&amp;EOMONTH(A146,-1)+1,$A$2:A146,"&lt;="&amp;EOMONTH(A146,0)),"000"))</f>
        <v>PC-06/2026-145</v>
      </c>
      <c r="C146" s="5" t="s">
        <v>1470</v>
      </c>
      <c r="D146" s="5" t="s">
        <v>29</v>
      </c>
      <c r="E146" s="5" t="s">
        <v>88</v>
      </c>
      <c r="F146" s="5"/>
      <c r="G146" s="5" t="s">
        <v>571</v>
      </c>
      <c r="H146" s="5" t="s">
        <v>23</v>
      </c>
      <c r="I146" s="6">
        <v>173000</v>
      </c>
      <c r="J146" s="6">
        <f>IF(D146="Thu",I146,0)</f>
        <v>0</v>
      </c>
      <c r="K146" s="6">
        <f>IF(D146="Chi",I146,0)</f>
        <v>173000</v>
      </c>
      <c r="L146" s="6" t="e">
        <f>L145+J146-K146</f>
        <v>#VALUE!</v>
      </c>
      <c r="M146" s="6">
        <f ca="1">IFERROR(__xludf.DUMMYFUNCTION("SUM(FILTER(J:J, H:H=""Tiền mặt"")) - SUM(FILTER(K:K, H:H=""Tiền mặt""))
"),959000)</f>
        <v>959000</v>
      </c>
      <c r="N146" s="6">
        <f ca="1">IFERROR(__xludf.DUMMYFUNCTION("SUM(FILTER(J:J, H:H=""Chuyển khoản"")) - SUM(FILTER(K:K, H:H=""Chuyển khoản""))
"),4468984)</f>
        <v>4468984</v>
      </c>
      <c r="O146" s="5"/>
      <c r="P146" s="5"/>
      <c r="Q146" s="5"/>
      <c r="R146" s="5"/>
      <c r="S146" s="5"/>
    </row>
    <row r="147" spans="1:19" ht="15.75" customHeight="1" x14ac:dyDescent="0.2">
      <c r="A147" s="3">
        <v>46181</v>
      </c>
      <c r="B147" s="4" t="str">
        <f>IF(A147="","","PC-"&amp;TEXT(A147,"mm/yyyy")&amp;"-"&amp;TEXT(COUNTIFS($A$2:A147,"&gt;="&amp;EOMONTH(A147,-1)+1,$A$2:A147,"&lt;="&amp;EOMONTH(A147,0)),"000"))</f>
        <v>PC-06/2026-146</v>
      </c>
      <c r="C147" s="7" t="s">
        <v>1471</v>
      </c>
      <c r="D147" s="5" t="s">
        <v>29</v>
      </c>
      <c r="E147" s="5" t="s">
        <v>47</v>
      </c>
      <c r="F147" s="5"/>
      <c r="G147" s="5" t="s">
        <v>48</v>
      </c>
      <c r="H147" s="5" t="s">
        <v>23</v>
      </c>
      <c r="I147" s="6">
        <v>50000</v>
      </c>
      <c r="J147" s="6">
        <f>IF(D147="Thu",I147,0)</f>
        <v>0</v>
      </c>
      <c r="K147" s="6">
        <f>IF(D147="Chi",I147,0)</f>
        <v>50000</v>
      </c>
      <c r="L147" s="6" t="e">
        <f>L146+J147-K147</f>
        <v>#VALUE!</v>
      </c>
      <c r="M147" s="6">
        <f ca="1">IFERROR(__xludf.DUMMYFUNCTION("SUM(FILTER(J:J, H:H=""Tiền mặt"")) - SUM(FILTER(K:K, H:H=""Tiền mặt""))
"),959000)</f>
        <v>959000</v>
      </c>
      <c r="N147" s="6">
        <f ca="1">IFERROR(__xludf.DUMMYFUNCTION("SUM(FILTER(J:J, H:H=""Chuyển khoản"")) - SUM(FILTER(K:K, H:H=""Chuyển khoản""))
"),4468984)</f>
        <v>4468984</v>
      </c>
      <c r="O147" s="5"/>
      <c r="P147" s="5"/>
      <c r="Q147" s="5"/>
      <c r="R147" s="5"/>
      <c r="S147" s="5"/>
    </row>
    <row r="148" spans="1:19" ht="15.75" customHeight="1" x14ac:dyDescent="0.2">
      <c r="A148" s="3">
        <v>46179</v>
      </c>
      <c r="B148" s="4" t="str">
        <f>IF(A148="","","PC-"&amp;TEXT(A148,"mm/yyyy")&amp;"-"&amp;TEXT(COUNTIFS($A$2:A148,"&gt;="&amp;EOMONTH(A148,-1)+1,$A$2:A148,"&lt;="&amp;EOMONTH(A148,0)),"000"))</f>
        <v>PC-06/2026-147</v>
      </c>
      <c r="C148" s="5" t="s">
        <v>1450</v>
      </c>
      <c r="D148" s="5" t="s">
        <v>29</v>
      </c>
      <c r="E148" s="5" t="s">
        <v>71</v>
      </c>
      <c r="F148" s="5"/>
      <c r="G148" s="5" t="s">
        <v>241</v>
      </c>
      <c r="H148" s="5" t="s">
        <v>27</v>
      </c>
      <c r="I148" s="6">
        <v>70000</v>
      </c>
      <c r="J148" s="6">
        <f>IF(D148="Thu",I148,0)</f>
        <v>0</v>
      </c>
      <c r="K148" s="6">
        <f>IF(D148="Chi",I148,0)</f>
        <v>70000</v>
      </c>
      <c r="L148" s="6" t="e">
        <f>L147+J148-K148</f>
        <v>#VALUE!</v>
      </c>
      <c r="M148" s="6">
        <f ca="1">IFERROR(__xludf.DUMMYFUNCTION("SUM(FILTER(J:J, H:H=""Tiền mặt"")) - SUM(FILTER(K:K, H:H=""Tiền mặt""))
"),959000)</f>
        <v>959000</v>
      </c>
      <c r="N148" s="6">
        <f ca="1">IFERROR(__xludf.DUMMYFUNCTION("SUM(FILTER(J:J, H:H=""Chuyển khoản"")) - SUM(FILTER(K:K, H:H=""Chuyển khoản""))
"),4468984)</f>
        <v>4468984</v>
      </c>
      <c r="O148" s="5"/>
      <c r="P148" s="5"/>
      <c r="Q148" s="5"/>
      <c r="R148" s="5"/>
      <c r="S148" s="5"/>
    </row>
    <row r="149" spans="1:19" ht="15.75" customHeight="1" x14ac:dyDescent="0.2">
      <c r="A149" s="3">
        <v>46179</v>
      </c>
      <c r="B149" s="4" t="str">
        <f>IF(A149="","","PC-"&amp;TEXT(A149,"mm/yyyy")&amp;"-"&amp;TEXT(COUNTIFS($A$2:A149,"&gt;="&amp;EOMONTH(A149,-1)+1,$A$2:A149,"&lt;="&amp;EOMONTH(A149,0)),"000"))</f>
        <v>PC-06/2026-148</v>
      </c>
      <c r="C149" s="5" t="s">
        <v>1451</v>
      </c>
      <c r="D149" s="5" t="s">
        <v>29</v>
      </c>
      <c r="E149" s="5" t="s">
        <v>41</v>
      </c>
      <c r="F149" s="5"/>
      <c r="G149" s="5" t="s">
        <v>42</v>
      </c>
      <c r="H149" s="5" t="s">
        <v>23</v>
      </c>
      <c r="I149" s="6">
        <v>100000</v>
      </c>
      <c r="J149" s="6">
        <f>IF(D149="Thu",I149,0)</f>
        <v>0</v>
      </c>
      <c r="K149" s="6">
        <f>IF(D149="Chi",I149,0)</f>
        <v>100000</v>
      </c>
      <c r="L149" s="6" t="e">
        <f>L148+J149-K149</f>
        <v>#VALUE!</v>
      </c>
      <c r="M149" s="6">
        <f ca="1">IFERROR(__xludf.DUMMYFUNCTION("SUM(FILTER(J:J, H:H=""Tiền mặt"")) - SUM(FILTER(K:K, H:H=""Tiền mặt""))
"),959000)</f>
        <v>959000</v>
      </c>
      <c r="N149" s="6">
        <f ca="1">IFERROR(__xludf.DUMMYFUNCTION("SUM(FILTER(J:J, H:H=""Chuyển khoản"")) - SUM(FILTER(K:K, H:H=""Chuyển khoản""))
"),4468984)</f>
        <v>4468984</v>
      </c>
      <c r="O149" s="5"/>
      <c r="P149" s="5"/>
      <c r="Q149" s="5"/>
      <c r="R149" s="5"/>
      <c r="S149" s="5"/>
    </row>
    <row r="150" spans="1:19" ht="15.75" customHeight="1" x14ac:dyDescent="0.2">
      <c r="A150" s="3">
        <v>46179</v>
      </c>
      <c r="B150" s="4" t="str">
        <f>IF(A150="","","PC-"&amp;TEXT(A150,"mm/yyyy")&amp;"-"&amp;TEXT(COUNTIFS($A$2:A150,"&gt;="&amp;EOMONTH(A150,-1)+1,$A$2:A150,"&lt;="&amp;EOMONTH(A150,0)),"000"))</f>
        <v>PC-06/2026-149</v>
      </c>
      <c r="C150" s="5" t="s">
        <v>168</v>
      </c>
      <c r="D150" s="5" t="s">
        <v>29</v>
      </c>
      <c r="E150" s="5" t="s">
        <v>153</v>
      </c>
      <c r="F150" s="5"/>
      <c r="G150" s="5" t="s">
        <v>72</v>
      </c>
      <c r="H150" s="5" t="s">
        <v>27</v>
      </c>
      <c r="I150" s="6">
        <v>225000</v>
      </c>
      <c r="J150" s="6">
        <f>IF(D150="Thu",I150,0)</f>
        <v>0</v>
      </c>
      <c r="K150" s="6">
        <f>IF(D150="Chi",I150,0)</f>
        <v>225000</v>
      </c>
      <c r="L150" s="6" t="e">
        <f>L149+J150-K150</f>
        <v>#VALUE!</v>
      </c>
      <c r="M150" s="6">
        <f ca="1">IFERROR(__xludf.DUMMYFUNCTION("SUM(FILTER(J:J, H:H=""Tiền mặt"")) - SUM(FILTER(K:K, H:H=""Tiền mặt""))
"),959000)</f>
        <v>959000</v>
      </c>
      <c r="N150" s="6">
        <f ca="1">IFERROR(__xludf.DUMMYFUNCTION("SUM(FILTER(J:J, H:H=""Chuyển khoản"")) - SUM(FILTER(K:K, H:H=""Chuyển khoản""))
"),4468984)</f>
        <v>4468984</v>
      </c>
      <c r="O150" s="5"/>
      <c r="P150" s="5"/>
      <c r="Q150" s="5"/>
      <c r="R150" s="5"/>
      <c r="S150" s="5"/>
    </row>
    <row r="151" spans="1:19" ht="15.75" customHeight="1" x14ac:dyDescent="0.2">
      <c r="A151" s="3">
        <v>46178</v>
      </c>
      <c r="B151" s="4" t="str">
        <f>IF(A151="","","PC-"&amp;TEXT(A151,"mm/yyyy")&amp;"-"&amp;TEXT(COUNTIFS($A$2:A151,"&gt;="&amp;EOMONTH(A151,-1)+1,$A$2:A151,"&lt;="&amp;EOMONTH(A151,0)),"000"))</f>
        <v>PC-06/2026-150</v>
      </c>
      <c r="C151" s="5" t="s">
        <v>1395</v>
      </c>
      <c r="D151" s="5" t="s">
        <v>29</v>
      </c>
      <c r="E151" s="5" t="s">
        <v>71</v>
      </c>
      <c r="F151" s="5"/>
      <c r="G151" s="5" t="s">
        <v>1396</v>
      </c>
      <c r="H151" s="5" t="s">
        <v>27</v>
      </c>
      <c r="I151" s="6">
        <v>83000</v>
      </c>
      <c r="J151" s="6">
        <f>IF(D151="Thu",I151,0)</f>
        <v>0</v>
      </c>
      <c r="K151" s="6">
        <f>IF(D151="Chi",I151,0)</f>
        <v>83000</v>
      </c>
      <c r="L151" s="6" t="e">
        <f>L150+J151-K151</f>
        <v>#VALUE!</v>
      </c>
      <c r="M151" s="6">
        <f ca="1">IFERROR(__xludf.DUMMYFUNCTION("SUM(FILTER(J:J, H:H=""Tiền mặt"")) - SUM(FILTER(K:K, H:H=""Tiền mặt""))
"),959000)</f>
        <v>959000</v>
      </c>
      <c r="N151" s="6">
        <f ca="1">IFERROR(__xludf.DUMMYFUNCTION("SUM(FILTER(J:J, H:H=""Chuyển khoản"")) - SUM(FILTER(K:K, H:H=""Chuyển khoản""))
"),4468984)</f>
        <v>4468984</v>
      </c>
      <c r="O151" s="5"/>
      <c r="P151" s="5"/>
      <c r="Q151" s="5"/>
      <c r="R151" s="5"/>
      <c r="S151" s="5"/>
    </row>
    <row r="152" spans="1:19" ht="15.75" customHeight="1" x14ac:dyDescent="0.2">
      <c r="A152" s="3">
        <v>46178</v>
      </c>
      <c r="B152" s="4" t="str">
        <f>IF(A152="","","PC-"&amp;TEXT(A152,"mm/yyyy")&amp;"-"&amp;TEXT(COUNTIFS($A$2:A152,"&gt;="&amp;EOMONTH(A152,-1)+1,$A$2:A152,"&lt;="&amp;EOMONTH(A152,0)),"000"))</f>
        <v>PC-06/2026-151</v>
      </c>
      <c r="C152" s="5" t="s">
        <v>1437</v>
      </c>
      <c r="D152" s="5" t="s">
        <v>20</v>
      </c>
      <c r="E152" s="5" t="s">
        <v>21</v>
      </c>
      <c r="F152" s="5"/>
      <c r="G152" s="5" t="s">
        <v>22</v>
      </c>
      <c r="H152" s="5" t="s">
        <v>27</v>
      </c>
      <c r="I152" s="6">
        <v>10000000</v>
      </c>
      <c r="J152" s="6">
        <f>IF(D152="Thu",I152,0)</f>
        <v>10000000</v>
      </c>
      <c r="K152" s="6">
        <f>IF(D152="Chi",I152,0)</f>
        <v>0</v>
      </c>
      <c r="L152" s="6" t="e">
        <f>L151+J152-K152</f>
        <v>#VALUE!</v>
      </c>
      <c r="M152" s="6">
        <f ca="1">IFERROR(__xludf.DUMMYFUNCTION("SUM(FILTER(J:J, H:H=""Tiền mặt"")) - SUM(FILTER(K:K, H:H=""Tiền mặt""))
"),959000)</f>
        <v>959000</v>
      </c>
      <c r="N152" s="6">
        <f ca="1">IFERROR(__xludf.DUMMYFUNCTION("SUM(FILTER(J:J, H:H=""Chuyển khoản"")) - SUM(FILTER(K:K, H:H=""Chuyển khoản""))
"),4468984)</f>
        <v>4468984</v>
      </c>
      <c r="O152" s="5"/>
      <c r="P152" s="5"/>
      <c r="Q152" s="5"/>
      <c r="R152" s="5"/>
      <c r="S152" s="5"/>
    </row>
    <row r="153" spans="1:19" ht="15.75" customHeight="1" x14ac:dyDescent="0.2">
      <c r="A153" s="3">
        <v>46178</v>
      </c>
      <c r="B153" s="4" t="str">
        <f>IF(A153="","","PC-"&amp;TEXT(A153,"mm/yyyy")&amp;"-"&amp;TEXT(COUNTIFS($A$2:A153,"&gt;="&amp;EOMONTH(A153,-1)+1,$A$2:A153,"&lt;="&amp;EOMONTH(A153,0)),"000"))</f>
        <v>PC-06/2026-152</v>
      </c>
      <c r="C153" s="5" t="s">
        <v>554</v>
      </c>
      <c r="D153" s="5" t="s">
        <v>29</v>
      </c>
      <c r="E153" s="5" t="s">
        <v>153</v>
      </c>
      <c r="F153" s="5"/>
      <c r="G153" s="5" t="s">
        <v>953</v>
      </c>
      <c r="H153" s="5" t="s">
        <v>27</v>
      </c>
      <c r="I153" s="6">
        <v>6785000</v>
      </c>
      <c r="J153" s="6">
        <f>IF(D153="Thu",I153,0)</f>
        <v>0</v>
      </c>
      <c r="K153" s="6">
        <f>IF(D153="Chi",I153,0)</f>
        <v>6785000</v>
      </c>
      <c r="L153" s="6" t="e">
        <f>L152+J153-K153</f>
        <v>#VALUE!</v>
      </c>
      <c r="M153" s="6">
        <f ca="1">IFERROR(__xludf.DUMMYFUNCTION("SUM(FILTER(J:J, H:H=""Tiền mặt"")) - SUM(FILTER(K:K, H:H=""Tiền mặt""))
"),959000)</f>
        <v>959000</v>
      </c>
      <c r="N153" s="6">
        <f ca="1">IFERROR(__xludf.DUMMYFUNCTION("SUM(FILTER(J:J, H:H=""Chuyển khoản"")) - SUM(FILTER(K:K, H:H=""Chuyển khoản""))
"),4468984)</f>
        <v>4468984</v>
      </c>
      <c r="O153" s="5"/>
      <c r="P153" s="5"/>
      <c r="Q153" s="5"/>
      <c r="R153" s="5"/>
      <c r="S153" s="5"/>
    </row>
    <row r="154" spans="1:19" ht="15.75" customHeight="1" x14ac:dyDescent="0.2">
      <c r="A154" s="3">
        <v>46178</v>
      </c>
      <c r="B154" s="4" t="str">
        <f>IF(A154="","","PC-"&amp;TEXT(A154,"mm/yyyy")&amp;"-"&amp;TEXT(COUNTIFS($A$2:A154,"&gt;="&amp;EOMONTH(A154,-1)+1,$A$2:A154,"&lt;="&amp;EOMONTH(A154,0)),"000"))</f>
        <v>PC-06/2026-153</v>
      </c>
      <c r="C154" s="5" t="s">
        <v>1438</v>
      </c>
      <c r="D154" s="5" t="s">
        <v>29</v>
      </c>
      <c r="E154" s="5" t="s">
        <v>41</v>
      </c>
      <c r="F154" s="5"/>
      <c r="G154" s="5" t="s">
        <v>82</v>
      </c>
      <c r="H154" s="5" t="s">
        <v>23</v>
      </c>
      <c r="I154" s="6">
        <v>100000</v>
      </c>
      <c r="J154" s="6">
        <f>IF(D154="Thu",I154,0)</f>
        <v>0</v>
      </c>
      <c r="K154" s="6">
        <f>IF(D154="Chi",I154,0)</f>
        <v>100000</v>
      </c>
      <c r="L154" s="6" t="e">
        <f>L153+J154-K154</f>
        <v>#VALUE!</v>
      </c>
      <c r="M154" s="6">
        <f ca="1">IFERROR(__xludf.DUMMYFUNCTION("SUM(FILTER(J:J, H:H=""Tiền mặt"")) - SUM(FILTER(K:K, H:H=""Tiền mặt""))
"),959000)</f>
        <v>959000</v>
      </c>
      <c r="N154" s="6">
        <f ca="1">IFERROR(__xludf.DUMMYFUNCTION("SUM(FILTER(J:J, H:H=""Chuyển khoản"")) - SUM(FILTER(K:K, H:H=""Chuyển khoản""))
"),4468984)</f>
        <v>4468984</v>
      </c>
      <c r="O154" s="5"/>
      <c r="P154" s="5"/>
      <c r="Q154" s="5"/>
      <c r="R154" s="5"/>
      <c r="S154" s="5"/>
    </row>
    <row r="155" spans="1:19" ht="15.75" customHeight="1" x14ac:dyDescent="0.2">
      <c r="A155" s="3">
        <v>46178</v>
      </c>
      <c r="B155" s="4" t="str">
        <f>IF(A155="","","PC-"&amp;TEXT(A155,"mm/yyyy")&amp;"-"&amp;TEXT(COUNTIFS($A$2:A155,"&gt;="&amp;EOMONTH(A155,-1)+1,$A$2:A155,"&lt;="&amp;EOMONTH(A155,0)),"000"))</f>
        <v>PC-06/2026-154</v>
      </c>
      <c r="C155" s="5" t="s">
        <v>1439</v>
      </c>
      <c r="D155" s="5" t="s">
        <v>29</v>
      </c>
      <c r="E155" s="5" t="s">
        <v>141</v>
      </c>
      <c r="F155" s="5"/>
      <c r="G155" s="5" t="s">
        <v>52</v>
      </c>
      <c r="H155" s="5" t="s">
        <v>27</v>
      </c>
      <c r="I155" s="6">
        <v>1161000</v>
      </c>
      <c r="J155" s="6">
        <f>IF(D155="Thu",I155,0)</f>
        <v>0</v>
      </c>
      <c r="K155" s="6">
        <f>IF(D155="Chi",I155,0)</f>
        <v>1161000</v>
      </c>
      <c r="L155" s="6" t="e">
        <f>L154+J155-K155</f>
        <v>#VALUE!</v>
      </c>
      <c r="M155" s="6">
        <f ca="1">IFERROR(__xludf.DUMMYFUNCTION("SUM(FILTER(J:J, H:H=""Tiền mặt"")) - SUM(FILTER(K:K, H:H=""Tiền mặt""))
"),959000)</f>
        <v>959000</v>
      </c>
      <c r="N155" s="6">
        <f ca="1">IFERROR(__xludf.DUMMYFUNCTION("SUM(FILTER(J:J, H:H=""Chuyển khoản"")) - SUM(FILTER(K:K, H:H=""Chuyển khoản""))
"),4468984)</f>
        <v>4468984</v>
      </c>
      <c r="O155" s="5"/>
      <c r="P155" s="5"/>
      <c r="Q155" s="5"/>
      <c r="R155" s="5"/>
      <c r="S155" s="5"/>
    </row>
    <row r="156" spans="1:19" ht="15.75" customHeight="1" x14ac:dyDescent="0.2">
      <c r="A156" s="3">
        <v>46178</v>
      </c>
      <c r="B156" s="4" t="str">
        <f>IF(A156="","","PC-"&amp;TEXT(A156,"mm/yyyy")&amp;"-"&amp;TEXT(COUNTIFS($A$2:A156,"&gt;="&amp;EOMONTH(A156,-1)+1,$A$2:A156,"&lt;="&amp;EOMONTH(A156,0)),"000"))</f>
        <v>PC-06/2026-155</v>
      </c>
      <c r="C156" s="51" t="s">
        <v>1440</v>
      </c>
      <c r="D156" s="5" t="s">
        <v>29</v>
      </c>
      <c r="E156" s="5" t="s">
        <v>44</v>
      </c>
      <c r="F156" s="5"/>
      <c r="G156" s="5" t="s">
        <v>103</v>
      </c>
      <c r="H156" s="5" t="s">
        <v>23</v>
      </c>
      <c r="I156" s="6">
        <v>1500000</v>
      </c>
      <c r="J156" s="6">
        <f>IF(D156="Thu",I156,0)</f>
        <v>0</v>
      </c>
      <c r="K156" s="6">
        <f>IF(D156="Chi",I156,0)</f>
        <v>1500000</v>
      </c>
      <c r="L156" s="6" t="e">
        <f>L155+J156-K156</f>
        <v>#VALUE!</v>
      </c>
      <c r="M156" s="6">
        <f ca="1">IFERROR(__xludf.DUMMYFUNCTION("SUM(FILTER(J:J, H:H=""Tiền mặt"")) - SUM(FILTER(K:K, H:H=""Tiền mặt""))
"),959000)</f>
        <v>959000</v>
      </c>
      <c r="N156" s="6">
        <f ca="1">IFERROR(__xludf.DUMMYFUNCTION("SUM(FILTER(J:J, H:H=""Chuyển khoản"")) - SUM(FILTER(K:K, H:H=""Chuyển khoản""))
"),4468984)</f>
        <v>4468984</v>
      </c>
      <c r="O156" s="5"/>
      <c r="P156" s="5"/>
      <c r="Q156" s="5"/>
      <c r="R156" s="5"/>
      <c r="S156" s="5"/>
    </row>
    <row r="157" spans="1:19" ht="15.75" customHeight="1" x14ac:dyDescent="0.2">
      <c r="A157" s="3">
        <v>46178</v>
      </c>
      <c r="B157" s="4" t="str">
        <f>IF(A157="","","PC-"&amp;TEXT(A157,"mm/yyyy")&amp;"-"&amp;TEXT(COUNTIFS($A$2:A157,"&gt;="&amp;EOMONTH(A157,-1)+1,$A$2:A157,"&lt;="&amp;EOMONTH(A157,0)),"000"))</f>
        <v>PC-06/2026-156</v>
      </c>
      <c r="C157" s="5" t="s">
        <v>1441</v>
      </c>
      <c r="D157" s="5" t="s">
        <v>29</v>
      </c>
      <c r="E157" s="5" t="s">
        <v>47</v>
      </c>
      <c r="F157" s="5"/>
      <c r="G157" s="5" t="s">
        <v>48</v>
      </c>
      <c r="H157" s="5" t="s">
        <v>23</v>
      </c>
      <c r="I157" s="6">
        <v>50000</v>
      </c>
      <c r="J157" s="6">
        <f>IF(D157="Thu",I157,0)</f>
        <v>0</v>
      </c>
      <c r="K157" s="6">
        <f>IF(D157="Chi",I157,0)</f>
        <v>50000</v>
      </c>
      <c r="L157" s="6" t="e">
        <f>L156+J157-K157</f>
        <v>#VALUE!</v>
      </c>
      <c r="M157" s="6">
        <f ca="1">IFERROR(__xludf.DUMMYFUNCTION("SUM(FILTER(J:J, H:H=""Tiền mặt"")) - SUM(FILTER(K:K, H:H=""Tiền mặt""))
"),959000)</f>
        <v>959000</v>
      </c>
      <c r="N157" s="6">
        <f ca="1">IFERROR(__xludf.DUMMYFUNCTION("SUM(FILTER(J:J, H:H=""Chuyển khoản"")) - SUM(FILTER(K:K, H:H=""Chuyển khoản""))
"),4468984)</f>
        <v>4468984</v>
      </c>
      <c r="O157" s="5"/>
      <c r="P157" s="5"/>
      <c r="Q157" s="5"/>
      <c r="R157" s="5"/>
      <c r="S157" s="5"/>
    </row>
    <row r="158" spans="1:19" ht="15.75" customHeight="1" x14ac:dyDescent="0.2">
      <c r="A158" s="3">
        <v>46178</v>
      </c>
      <c r="B158" s="4" t="str">
        <f>IF(A158="","","PC-"&amp;TEXT(A158,"mm/yyyy")&amp;"-"&amp;TEXT(COUNTIFS($A$2:A158,"&gt;="&amp;EOMONTH(A158,-1)+1,$A$2:A158,"&lt;="&amp;EOMONTH(A158,0)),"000"))</f>
        <v>PC-06/2026-157</v>
      </c>
      <c r="C158" s="5" t="s">
        <v>1442</v>
      </c>
      <c r="D158" s="5" t="s">
        <v>29</v>
      </c>
      <c r="E158" s="5" t="s">
        <v>41</v>
      </c>
      <c r="F158" s="5"/>
      <c r="G158" s="5" t="s">
        <v>42</v>
      </c>
      <c r="H158" s="5" t="s">
        <v>23</v>
      </c>
      <c r="I158" s="6">
        <v>100000</v>
      </c>
      <c r="J158" s="6">
        <f>IF(D158="Thu",I158,0)</f>
        <v>0</v>
      </c>
      <c r="K158" s="6">
        <f>IF(D158="Chi",I158,0)</f>
        <v>100000</v>
      </c>
      <c r="L158" s="6" t="e">
        <f>L157+J158-K158</f>
        <v>#VALUE!</v>
      </c>
      <c r="M158" s="6">
        <f ca="1">IFERROR(__xludf.DUMMYFUNCTION("SUM(FILTER(J:J, H:H=""Tiền mặt"")) - SUM(FILTER(K:K, H:H=""Tiền mặt""))
"),959000)</f>
        <v>959000</v>
      </c>
      <c r="N158" s="6">
        <f ca="1">IFERROR(__xludf.DUMMYFUNCTION("SUM(FILTER(J:J, H:H=""Chuyển khoản"")) - SUM(FILTER(K:K, H:H=""Chuyển khoản""))
"),4468984)</f>
        <v>4468984</v>
      </c>
      <c r="O158" s="5"/>
      <c r="P158" s="5"/>
      <c r="Q158" s="5"/>
      <c r="R158" s="5"/>
      <c r="S158" s="5"/>
    </row>
    <row r="159" spans="1:19" ht="15.75" customHeight="1" x14ac:dyDescent="0.2">
      <c r="A159" s="3">
        <v>46178</v>
      </c>
      <c r="B159" s="4" t="str">
        <f>IF(A159="","","PC-"&amp;TEXT(A159,"mm/yyyy")&amp;"-"&amp;TEXT(COUNTIFS($A$2:A159,"&gt;="&amp;EOMONTH(A159,-1)+1,$A$2:A159,"&lt;="&amp;EOMONTH(A159,0)),"000"))</f>
        <v>PC-06/2026-158</v>
      </c>
      <c r="C159" s="5" t="s">
        <v>1443</v>
      </c>
      <c r="D159" s="5" t="s">
        <v>29</v>
      </c>
      <c r="E159" s="5" t="s">
        <v>674</v>
      </c>
      <c r="F159" s="5"/>
      <c r="G159" s="5" t="s">
        <v>571</v>
      </c>
      <c r="H159" s="5" t="s">
        <v>23</v>
      </c>
      <c r="I159" s="6">
        <v>10000</v>
      </c>
      <c r="J159" s="6">
        <f>IF(D159="Thu",I159,0)</f>
        <v>0</v>
      </c>
      <c r="K159" s="6">
        <f>IF(D159="Chi",I159,0)</f>
        <v>10000</v>
      </c>
      <c r="L159" s="6" t="e">
        <f>L158+J159-K159</f>
        <v>#VALUE!</v>
      </c>
      <c r="M159" s="6">
        <f ca="1">IFERROR(__xludf.DUMMYFUNCTION("SUM(FILTER(J:J, H:H=""Tiền mặt"")) - SUM(FILTER(K:K, H:H=""Tiền mặt""))
"),959000)</f>
        <v>959000</v>
      </c>
      <c r="N159" s="6">
        <f ca="1">IFERROR(__xludf.DUMMYFUNCTION("SUM(FILTER(J:J, H:H=""Chuyển khoản"")) - SUM(FILTER(K:K, H:H=""Chuyển khoản""))
"),4468984)</f>
        <v>4468984</v>
      </c>
      <c r="O159" s="5"/>
      <c r="P159" s="5"/>
      <c r="Q159" s="5"/>
      <c r="R159" s="5"/>
      <c r="S159" s="5"/>
    </row>
    <row r="160" spans="1:19" ht="15.75" customHeight="1" x14ac:dyDescent="0.2">
      <c r="A160" s="3">
        <v>46178</v>
      </c>
      <c r="B160" s="4" t="str">
        <f>IF(A160="","","PC-"&amp;TEXT(A160,"mm/yyyy")&amp;"-"&amp;TEXT(COUNTIFS($A$2:A160,"&gt;="&amp;EOMONTH(A160,-1)+1,$A$2:A160,"&lt;="&amp;EOMONTH(A160,0)),"000"))</f>
        <v>PC-06/2026-159</v>
      </c>
      <c r="C160" s="5" t="s">
        <v>1444</v>
      </c>
      <c r="D160" s="5" t="s">
        <v>29</v>
      </c>
      <c r="E160" s="5" t="s">
        <v>51</v>
      </c>
      <c r="F160" s="5"/>
      <c r="G160" s="5" t="s">
        <v>54</v>
      </c>
      <c r="H160" s="5" t="s">
        <v>27</v>
      </c>
      <c r="I160" s="6">
        <v>50600</v>
      </c>
      <c r="J160" s="6">
        <f>IF(D160="Thu",I160,0)</f>
        <v>0</v>
      </c>
      <c r="K160" s="6">
        <f>IF(D160="Chi",I160,0)</f>
        <v>50600</v>
      </c>
      <c r="L160" s="6" t="e">
        <f>L159+J160-K160</f>
        <v>#VALUE!</v>
      </c>
      <c r="M160" s="6">
        <f ca="1">IFERROR(__xludf.DUMMYFUNCTION("SUM(FILTER(J:J, H:H=""Tiền mặt"")) - SUM(FILTER(K:K, H:H=""Tiền mặt""))
"),959000)</f>
        <v>959000</v>
      </c>
      <c r="N160" s="6">
        <f ca="1">IFERROR(__xludf.DUMMYFUNCTION("SUM(FILTER(J:J, H:H=""Chuyển khoản"")) - SUM(FILTER(K:K, H:H=""Chuyển khoản""))
"),4468984)</f>
        <v>4468984</v>
      </c>
      <c r="O160" s="5"/>
      <c r="P160" s="5"/>
      <c r="Q160" s="5"/>
      <c r="R160" s="5"/>
      <c r="S160" s="5"/>
    </row>
    <row r="161" spans="1:19" ht="15.75" customHeight="1" x14ac:dyDescent="0.2">
      <c r="A161" s="3">
        <v>46178</v>
      </c>
      <c r="B161" s="4" t="str">
        <f>IF(A161="","","PC-"&amp;TEXT(A161,"mm/yyyy")&amp;"-"&amp;TEXT(COUNTIFS($A$2:A161,"&gt;="&amp;EOMONTH(A161,-1)+1,$A$2:A161,"&lt;="&amp;EOMONTH(A161,0)),"000"))</f>
        <v>PC-06/2026-160</v>
      </c>
      <c r="C161" s="7" t="s">
        <v>1445</v>
      </c>
      <c r="D161" s="5" t="s">
        <v>20</v>
      </c>
      <c r="E161" s="5" t="s">
        <v>21</v>
      </c>
      <c r="F161" s="5"/>
      <c r="G161" s="5" t="s">
        <v>54</v>
      </c>
      <c r="H161" s="5" t="s">
        <v>23</v>
      </c>
      <c r="I161" s="6">
        <v>70000</v>
      </c>
      <c r="J161" s="6">
        <f>IF(D161="Thu",I161,0)</f>
        <v>70000</v>
      </c>
      <c r="K161" s="6">
        <f>IF(D161="Chi",I161,0)</f>
        <v>0</v>
      </c>
      <c r="L161" s="6" t="e">
        <f>L160+J161-K161</f>
        <v>#VALUE!</v>
      </c>
      <c r="M161" s="6">
        <f ca="1">IFERROR(__xludf.DUMMYFUNCTION("SUM(FILTER(J:J, H:H=""Tiền mặt"")) - SUM(FILTER(K:K, H:H=""Tiền mặt""))
"),959000)</f>
        <v>959000</v>
      </c>
      <c r="N161" s="6">
        <f ca="1">IFERROR(__xludf.DUMMYFUNCTION("SUM(FILTER(J:J, H:H=""Chuyển khoản"")) - SUM(FILTER(K:K, H:H=""Chuyển khoản""))
"),4468984)</f>
        <v>4468984</v>
      </c>
      <c r="O161" s="5"/>
      <c r="P161" s="5"/>
      <c r="Q161" s="5"/>
      <c r="R161" s="5"/>
      <c r="S161" s="5"/>
    </row>
    <row r="162" spans="1:19" ht="15.75" customHeight="1" x14ac:dyDescent="0.2">
      <c r="A162" s="3">
        <v>46178</v>
      </c>
      <c r="B162" s="4" t="str">
        <f>IF(A162="","","PC-"&amp;TEXT(A162,"mm/yyyy")&amp;"-"&amp;TEXT(COUNTIFS($A$2:A162,"&gt;="&amp;EOMONTH(A162,-1)+1,$A$2:A162,"&lt;="&amp;EOMONTH(A162,0)),"000"))</f>
        <v>PC-06/2026-161</v>
      </c>
      <c r="C162" s="5" t="s">
        <v>1446</v>
      </c>
      <c r="D162" s="5" t="s">
        <v>29</v>
      </c>
      <c r="E162" s="5" t="s">
        <v>41</v>
      </c>
      <c r="F162" s="5"/>
      <c r="G162" s="5" t="s">
        <v>82</v>
      </c>
      <c r="H162" s="5" t="s">
        <v>23</v>
      </c>
      <c r="I162" s="6">
        <v>100000</v>
      </c>
      <c r="J162" s="6">
        <f>IF(D162="Thu",I162,0)</f>
        <v>0</v>
      </c>
      <c r="K162" s="6">
        <f>IF(D162="Chi",I162,0)</f>
        <v>100000</v>
      </c>
      <c r="L162" s="6" t="e">
        <f>L161+J162-K162</f>
        <v>#VALUE!</v>
      </c>
      <c r="M162" s="6">
        <f ca="1">IFERROR(__xludf.DUMMYFUNCTION("SUM(FILTER(J:J, H:H=""Tiền mặt"")) - SUM(FILTER(K:K, H:H=""Tiền mặt""))
"),959000)</f>
        <v>959000</v>
      </c>
      <c r="N162" s="6">
        <f ca="1">IFERROR(__xludf.DUMMYFUNCTION("SUM(FILTER(J:J, H:H=""Chuyển khoản"")) - SUM(FILTER(K:K, H:H=""Chuyển khoản""))
"),4468984)</f>
        <v>4468984</v>
      </c>
      <c r="O162" s="5"/>
      <c r="P162" s="5"/>
      <c r="Q162" s="5"/>
      <c r="R162" s="5"/>
      <c r="S162" s="5"/>
    </row>
    <row r="163" spans="1:19" ht="15.75" customHeight="1" x14ac:dyDescent="0.2">
      <c r="A163" s="3">
        <v>46178</v>
      </c>
      <c r="B163" s="4" t="str">
        <f>IF(A163="","","PC-"&amp;TEXT(A163,"mm/yyyy")&amp;"-"&amp;TEXT(COUNTIFS($A$2:A163,"&gt;="&amp;EOMONTH(A163,-1)+1,$A$2:A163,"&lt;="&amp;EOMONTH(A163,0)),"000"))</f>
        <v>PC-06/2026-162</v>
      </c>
      <c r="C163" s="7" t="s">
        <v>1447</v>
      </c>
      <c r="D163" s="5" t="s">
        <v>20</v>
      </c>
      <c r="E163" s="5" t="s">
        <v>21</v>
      </c>
      <c r="F163" s="5"/>
      <c r="G163" s="5" t="s">
        <v>1448</v>
      </c>
      <c r="H163" s="5" t="s">
        <v>23</v>
      </c>
      <c r="I163" s="6">
        <v>200000</v>
      </c>
      <c r="J163" s="6">
        <f>IF(D163="Thu",I163,0)</f>
        <v>200000</v>
      </c>
      <c r="K163" s="6">
        <f>IF(D163="Chi",I163,0)</f>
        <v>0</v>
      </c>
      <c r="L163" s="6" t="e">
        <f>L162+J163-K163</f>
        <v>#VALUE!</v>
      </c>
      <c r="M163" s="6">
        <f ca="1">IFERROR(__xludf.DUMMYFUNCTION("SUM(FILTER(J:J, H:H=""Tiền mặt"")) - SUM(FILTER(K:K, H:H=""Tiền mặt""))
"),959000)</f>
        <v>959000</v>
      </c>
      <c r="N163" s="6">
        <f ca="1">IFERROR(__xludf.DUMMYFUNCTION("SUM(FILTER(J:J, H:H=""Chuyển khoản"")) - SUM(FILTER(K:K, H:H=""Chuyển khoản""))
"),4468984)</f>
        <v>4468984</v>
      </c>
      <c r="O163" s="5"/>
      <c r="P163" s="5"/>
      <c r="Q163" s="5"/>
      <c r="R163" s="5"/>
      <c r="S163" s="5"/>
    </row>
    <row r="164" spans="1:19" ht="15.75" customHeight="1" x14ac:dyDescent="0.2">
      <c r="A164" s="3">
        <v>46178</v>
      </c>
      <c r="B164" s="4" t="str">
        <f>IF(A164="","","PC-"&amp;TEXT(A164,"mm/yyyy")&amp;"-"&amp;TEXT(COUNTIFS($A$2:A164,"&gt;="&amp;EOMONTH(A164,-1)+1,$A$2:A164,"&lt;="&amp;EOMONTH(A164,0)),"000"))</f>
        <v>PC-06/2026-163</v>
      </c>
      <c r="C164" s="5" t="s">
        <v>1449</v>
      </c>
      <c r="D164" s="5" t="s">
        <v>29</v>
      </c>
      <c r="E164" s="5" t="s">
        <v>71</v>
      </c>
      <c r="F164" s="5"/>
      <c r="G164" s="5" t="s">
        <v>241</v>
      </c>
      <c r="H164" s="5" t="s">
        <v>27</v>
      </c>
      <c r="I164" s="6">
        <v>20000</v>
      </c>
      <c r="J164" s="6">
        <f>IF(D164="Thu",I164,0)</f>
        <v>0</v>
      </c>
      <c r="K164" s="6">
        <f>IF(D164="Chi",I164,0)</f>
        <v>20000</v>
      </c>
      <c r="L164" s="6" t="e">
        <f>L163+J164-K164</f>
        <v>#VALUE!</v>
      </c>
      <c r="M164" s="6">
        <f ca="1">IFERROR(__xludf.DUMMYFUNCTION("SUM(FILTER(J:J, H:H=""Tiền mặt"")) - SUM(FILTER(K:K, H:H=""Tiền mặt""))
"),959000)</f>
        <v>959000</v>
      </c>
      <c r="N164" s="6">
        <f ca="1">IFERROR(__xludf.DUMMYFUNCTION("SUM(FILTER(J:J, H:H=""Chuyển khoản"")) - SUM(FILTER(K:K, H:H=""Chuyển khoản""))
"),4468984)</f>
        <v>4468984</v>
      </c>
      <c r="O164" s="5"/>
      <c r="P164" s="5"/>
      <c r="Q164" s="5"/>
      <c r="R164" s="5"/>
      <c r="S164" s="5"/>
    </row>
    <row r="165" spans="1:19" ht="15.75" customHeight="1" x14ac:dyDescent="0.2">
      <c r="A165" s="3">
        <v>46177</v>
      </c>
      <c r="B165" s="4" t="str">
        <f>IF(A165="","","PC-"&amp;TEXT(A165,"mm/yyyy")&amp;"-"&amp;TEXT(COUNTIFS($A$2:A165,"&gt;="&amp;EOMONTH(A165,-1)+1,$A$2:A165,"&lt;="&amp;EOMONTH(A165,0)),"000"))</f>
        <v>PC-06/2026-164</v>
      </c>
      <c r="C165" s="5" t="s">
        <v>528</v>
      </c>
      <c r="D165" s="5" t="s">
        <v>29</v>
      </c>
      <c r="E165" s="5" t="s">
        <v>36</v>
      </c>
      <c r="F165" s="5"/>
      <c r="G165" s="5" t="s">
        <v>37</v>
      </c>
      <c r="H165" s="5" t="s">
        <v>23</v>
      </c>
      <c r="I165" s="6">
        <v>150000</v>
      </c>
      <c r="J165" s="6">
        <f>IF(D165="Thu",I165,0)</f>
        <v>0</v>
      </c>
      <c r="K165" s="6">
        <f>IF(D165="Chi",I165,0)</f>
        <v>150000</v>
      </c>
      <c r="L165" s="6" t="e">
        <f>L164+J165-K165</f>
        <v>#VALUE!</v>
      </c>
      <c r="M165" s="6">
        <f ca="1">IFERROR(__xludf.DUMMYFUNCTION("SUM(FILTER(J:J, H:H=""Tiền mặt"")) - SUM(FILTER(K:K, H:H=""Tiền mặt""))
"),959000)</f>
        <v>959000</v>
      </c>
      <c r="N165" s="6">
        <f ca="1">IFERROR(__xludf.DUMMYFUNCTION("SUM(FILTER(J:J, H:H=""Chuyển khoản"")) - SUM(FILTER(K:K, H:H=""Chuyển khoản""))
"),4468984)</f>
        <v>4468984</v>
      </c>
      <c r="O165" s="5"/>
      <c r="P165" s="5"/>
      <c r="Q165" s="5"/>
      <c r="R165" s="5"/>
      <c r="S165" s="5"/>
    </row>
    <row r="166" spans="1:19" ht="15.75" customHeight="1" x14ac:dyDescent="0.2">
      <c r="A166" s="3">
        <v>46177</v>
      </c>
      <c r="B166" s="4" t="str">
        <f>IF(A166="","","PC-"&amp;TEXT(A166,"mm/yyyy")&amp;"-"&amp;TEXT(COUNTIFS($A$2:A166,"&gt;="&amp;EOMONTH(A166,-1)+1,$A$2:A166,"&lt;="&amp;EOMONTH(A166,0)),"000"))</f>
        <v>PC-06/2026-165</v>
      </c>
      <c r="C166" s="5" t="s">
        <v>1426</v>
      </c>
      <c r="D166" s="5" t="s">
        <v>29</v>
      </c>
      <c r="E166" s="5" t="s">
        <v>41</v>
      </c>
      <c r="F166" s="5"/>
      <c r="G166" s="5" t="s">
        <v>82</v>
      </c>
      <c r="H166" s="5" t="s">
        <v>23</v>
      </c>
      <c r="I166" s="6">
        <v>100000</v>
      </c>
      <c r="J166" s="6">
        <f>IF(D166="Thu",I166,0)</f>
        <v>0</v>
      </c>
      <c r="K166" s="6">
        <f>IF(D166="Chi",I166,0)</f>
        <v>100000</v>
      </c>
      <c r="L166" s="6" t="e">
        <f>L165+J166-K166</f>
        <v>#VALUE!</v>
      </c>
      <c r="M166" s="6">
        <f ca="1">IFERROR(__xludf.DUMMYFUNCTION("SUM(FILTER(J:J, H:H=""Tiền mặt"")) - SUM(FILTER(K:K, H:H=""Tiền mặt""))
"),959000)</f>
        <v>959000</v>
      </c>
      <c r="N166" s="6">
        <f ca="1">IFERROR(__xludf.DUMMYFUNCTION("SUM(FILTER(J:J, H:H=""Chuyển khoản"")) - SUM(FILTER(K:K, H:H=""Chuyển khoản""))
"),4468984)</f>
        <v>4468984</v>
      </c>
      <c r="O166" s="5"/>
      <c r="P166" s="5"/>
      <c r="Q166" s="5"/>
      <c r="R166" s="5"/>
      <c r="S166" s="5"/>
    </row>
    <row r="167" spans="1:19" ht="15.75" customHeight="1" x14ac:dyDescent="0.2">
      <c r="A167" s="3">
        <v>46177</v>
      </c>
      <c r="B167" s="4" t="str">
        <f>IF(A167="","","PC-"&amp;TEXT(A167,"mm/yyyy")&amp;"-"&amp;TEXT(COUNTIFS($A$2:A167,"&gt;="&amp;EOMONTH(A167,-1)+1,$A$2:A167,"&lt;="&amp;EOMONTH(A167,0)),"000"))</f>
        <v>PC-06/2026-166</v>
      </c>
      <c r="C167" s="5" t="s">
        <v>1427</v>
      </c>
      <c r="D167" s="5" t="s">
        <v>20</v>
      </c>
      <c r="E167" s="5" t="s">
        <v>21</v>
      </c>
      <c r="F167" s="5"/>
      <c r="G167" s="5" t="s">
        <v>22</v>
      </c>
      <c r="H167" s="5" t="s">
        <v>23</v>
      </c>
      <c r="I167" s="6">
        <v>10000000</v>
      </c>
      <c r="J167" s="6">
        <f>IF(D167="Thu",I167,0)</f>
        <v>10000000</v>
      </c>
      <c r="K167" s="6">
        <f>IF(D167="Chi",I167,0)</f>
        <v>0</v>
      </c>
      <c r="L167" s="6" t="e">
        <f>L166+J167-K167</f>
        <v>#VALUE!</v>
      </c>
      <c r="M167" s="6">
        <f ca="1">IFERROR(__xludf.DUMMYFUNCTION("SUM(FILTER(J:J, H:H=""Tiền mặt"")) - SUM(FILTER(K:K, H:H=""Tiền mặt""))
"),959000)</f>
        <v>959000</v>
      </c>
      <c r="N167" s="6">
        <f ca="1">IFERROR(__xludf.DUMMYFUNCTION("SUM(FILTER(J:J, H:H=""Chuyển khoản"")) - SUM(FILTER(K:K, H:H=""Chuyển khoản""))
"),4468984)</f>
        <v>4468984</v>
      </c>
      <c r="O167" s="5"/>
      <c r="P167" s="5"/>
      <c r="Q167" s="5"/>
      <c r="R167" s="5"/>
      <c r="S167" s="5"/>
    </row>
    <row r="168" spans="1:19" ht="15.75" customHeight="1" x14ac:dyDescent="0.2">
      <c r="A168" s="3">
        <v>46177</v>
      </c>
      <c r="B168" s="4" t="str">
        <f>IF(A168="","","PC-"&amp;TEXT(A168,"mm/yyyy")&amp;"-"&amp;TEXT(COUNTIFS($A$2:A168,"&gt;="&amp;EOMONTH(A168,-1)+1,$A$2:A168,"&lt;="&amp;EOMONTH(A168,0)),"000"))</f>
        <v>PC-06/2026-167</v>
      </c>
      <c r="C168" s="5" t="s">
        <v>1428</v>
      </c>
      <c r="D168" s="5" t="s">
        <v>29</v>
      </c>
      <c r="E168" s="5" t="s">
        <v>64</v>
      </c>
      <c r="F168" s="5"/>
      <c r="G168" s="5" t="s">
        <v>1408</v>
      </c>
      <c r="H168" s="5" t="s">
        <v>23</v>
      </c>
      <c r="I168" s="6">
        <v>2000000</v>
      </c>
      <c r="J168" s="6">
        <f>IF(D168="Thu",I168,0)</f>
        <v>0</v>
      </c>
      <c r="K168" s="6">
        <f>IF(D168="Chi",I168,0)</f>
        <v>2000000</v>
      </c>
      <c r="L168" s="6" t="e">
        <f>L167+J168-K168</f>
        <v>#VALUE!</v>
      </c>
      <c r="M168" s="6">
        <f ca="1">IFERROR(__xludf.DUMMYFUNCTION("SUM(FILTER(J:J, H:H=""Tiền mặt"")) - SUM(FILTER(K:K, H:H=""Tiền mặt""))
"),959000)</f>
        <v>959000</v>
      </c>
      <c r="N168" s="6">
        <f ca="1">IFERROR(__xludf.DUMMYFUNCTION("SUM(FILTER(J:J, H:H=""Chuyển khoản"")) - SUM(FILTER(K:K, H:H=""Chuyển khoản""))
"),4468984)</f>
        <v>4468984</v>
      </c>
      <c r="O168" s="5"/>
      <c r="P168" s="5"/>
      <c r="Q168" s="5"/>
      <c r="R168" s="5"/>
      <c r="S168" s="5"/>
    </row>
    <row r="169" spans="1:19" ht="15.75" customHeight="1" x14ac:dyDescent="0.2">
      <c r="A169" s="3">
        <v>46177</v>
      </c>
      <c r="B169" s="4" t="str">
        <f>IF(A169="","","PC-"&amp;TEXT(A169,"mm/yyyy")&amp;"-"&amp;TEXT(COUNTIFS($A$2:A169,"&gt;="&amp;EOMONTH(A169,-1)+1,$A$2:A169,"&lt;="&amp;EOMONTH(A169,0)),"000"))</f>
        <v>PC-06/2026-168</v>
      </c>
      <c r="C169" s="5" t="s">
        <v>1429</v>
      </c>
      <c r="D169" s="5" t="s">
        <v>29</v>
      </c>
      <c r="E169" s="5" t="s">
        <v>64</v>
      </c>
      <c r="F169" s="5"/>
      <c r="G169" s="5" t="s">
        <v>482</v>
      </c>
      <c r="H169" s="5" t="s">
        <v>23</v>
      </c>
      <c r="I169" s="6">
        <v>300000</v>
      </c>
      <c r="J169" s="6">
        <f>IF(D169="Thu",I169,0)</f>
        <v>0</v>
      </c>
      <c r="K169" s="6">
        <f>IF(D169="Chi",I169,0)</f>
        <v>300000</v>
      </c>
      <c r="L169" s="6" t="e">
        <f>L168+J169-K169</f>
        <v>#VALUE!</v>
      </c>
      <c r="M169" s="6">
        <f ca="1">IFERROR(__xludf.DUMMYFUNCTION("SUM(FILTER(J:J, H:H=""Tiền mặt"")) - SUM(FILTER(K:K, H:H=""Tiền mặt""))
"),959000)</f>
        <v>959000</v>
      </c>
      <c r="N169" s="6">
        <f ca="1">IFERROR(__xludf.DUMMYFUNCTION("SUM(FILTER(J:J, H:H=""Chuyển khoản"")) - SUM(FILTER(K:K, H:H=""Chuyển khoản""))
"),4468984)</f>
        <v>4468984</v>
      </c>
      <c r="O169" s="5"/>
      <c r="P169" s="5"/>
      <c r="Q169" s="5"/>
      <c r="R169" s="5"/>
      <c r="S169" s="5"/>
    </row>
    <row r="170" spans="1:19" ht="15.75" customHeight="1" x14ac:dyDescent="0.2">
      <c r="A170" s="3">
        <v>46177</v>
      </c>
      <c r="B170" s="4" t="str">
        <f>IF(A170="","","PC-"&amp;TEXT(A170,"mm/yyyy")&amp;"-"&amp;TEXT(COUNTIFS($A$2:A170,"&gt;="&amp;EOMONTH(A170,-1)+1,$A$2:A170,"&lt;="&amp;EOMONTH(A170,0)),"000"))</f>
        <v>PC-06/2026-169</v>
      </c>
      <c r="C170" s="5" t="s">
        <v>1430</v>
      </c>
      <c r="D170" s="5" t="s">
        <v>29</v>
      </c>
      <c r="E170" s="5" t="s">
        <v>41</v>
      </c>
      <c r="F170" s="5"/>
      <c r="G170" s="5" t="s">
        <v>82</v>
      </c>
      <c r="H170" s="5" t="s">
        <v>23</v>
      </c>
      <c r="I170" s="6">
        <v>100000</v>
      </c>
      <c r="J170" s="6">
        <f>IF(D170="Thu",I170,0)</f>
        <v>0</v>
      </c>
      <c r="K170" s="6">
        <f>IF(D170="Chi",I170,0)</f>
        <v>100000</v>
      </c>
      <c r="L170" s="6" t="e">
        <f>L169+J170-K170</f>
        <v>#VALUE!</v>
      </c>
      <c r="M170" s="6">
        <f ca="1">IFERROR(__xludf.DUMMYFUNCTION("SUM(FILTER(J:J, H:H=""Tiền mặt"")) - SUM(FILTER(K:K, H:H=""Tiền mặt""))
"),959000)</f>
        <v>959000</v>
      </c>
      <c r="N170" s="6">
        <f ca="1">IFERROR(__xludf.DUMMYFUNCTION("SUM(FILTER(J:J, H:H=""Chuyển khoản"")) - SUM(FILTER(K:K, H:H=""Chuyển khoản""))
"),4468984)</f>
        <v>4468984</v>
      </c>
      <c r="O170" s="5"/>
      <c r="P170" s="5"/>
      <c r="Q170" s="5"/>
      <c r="R170" s="5"/>
      <c r="S170" s="5"/>
    </row>
    <row r="171" spans="1:19" ht="15.75" customHeight="1" x14ac:dyDescent="0.2">
      <c r="A171" s="3">
        <v>46177</v>
      </c>
      <c r="B171" s="4" t="str">
        <f>IF(A171="","","PC-"&amp;TEXT(A171,"mm/yyyy")&amp;"-"&amp;TEXT(COUNTIFS($A$2:A171,"&gt;="&amp;EOMONTH(A171,-1)+1,$A$2:A171,"&lt;="&amp;EOMONTH(A171,0)),"000"))</f>
        <v>PC-06/2026-170</v>
      </c>
      <c r="C171" s="5" t="s">
        <v>1431</v>
      </c>
      <c r="D171" s="5" t="s">
        <v>29</v>
      </c>
      <c r="E171" s="5" t="s">
        <v>44</v>
      </c>
      <c r="F171" s="5"/>
      <c r="G171" s="5" t="s">
        <v>99</v>
      </c>
      <c r="H171" s="5" t="s">
        <v>23</v>
      </c>
      <c r="I171" s="6">
        <v>1500000</v>
      </c>
      <c r="J171" s="6">
        <f>IF(D171="Thu",I171,0)</f>
        <v>0</v>
      </c>
      <c r="K171" s="6">
        <f>IF(D171="Chi",I171,0)</f>
        <v>1500000</v>
      </c>
      <c r="L171" s="6" t="e">
        <f>L170+J171-K171</f>
        <v>#VALUE!</v>
      </c>
      <c r="M171" s="6">
        <f ca="1">IFERROR(__xludf.DUMMYFUNCTION("SUM(FILTER(J:J, H:H=""Tiền mặt"")) - SUM(FILTER(K:K, H:H=""Tiền mặt""))
"),959000)</f>
        <v>959000</v>
      </c>
      <c r="N171" s="6">
        <f ca="1">IFERROR(__xludf.DUMMYFUNCTION("SUM(FILTER(J:J, H:H=""Chuyển khoản"")) - SUM(FILTER(K:K, H:H=""Chuyển khoản""))
"),4468984)</f>
        <v>4468984</v>
      </c>
      <c r="O171" s="5"/>
      <c r="P171" s="5"/>
      <c r="Q171" s="5"/>
      <c r="R171" s="5"/>
      <c r="S171" s="5"/>
    </row>
    <row r="172" spans="1:19" ht="15.75" customHeight="1" x14ac:dyDescent="0.2">
      <c r="A172" s="3">
        <v>46177</v>
      </c>
      <c r="B172" s="4" t="str">
        <f>IF(A172="","","PC-"&amp;TEXT(A172,"mm/yyyy")&amp;"-"&amp;TEXT(COUNTIFS($A$2:A172,"&gt;="&amp;EOMONTH(A172,-1)+1,$A$2:A172,"&lt;="&amp;EOMONTH(A172,0)),"000"))</f>
        <v>PC-06/2026-171</v>
      </c>
      <c r="C172" s="5" t="s">
        <v>1432</v>
      </c>
      <c r="D172" s="5" t="s">
        <v>29</v>
      </c>
      <c r="E172" s="5" t="s">
        <v>44</v>
      </c>
      <c r="F172" s="5"/>
      <c r="G172" s="5" t="s">
        <v>99</v>
      </c>
      <c r="H172" s="5" t="s">
        <v>23</v>
      </c>
      <c r="I172" s="6">
        <v>1500000</v>
      </c>
      <c r="J172" s="6">
        <f>IF(D172="Thu",I172,0)</f>
        <v>0</v>
      </c>
      <c r="K172" s="6">
        <f>IF(D172="Chi",I172,0)</f>
        <v>1500000</v>
      </c>
      <c r="L172" s="6" t="e">
        <f>L171+J172-K172</f>
        <v>#VALUE!</v>
      </c>
      <c r="M172" s="6">
        <f ca="1">IFERROR(__xludf.DUMMYFUNCTION("SUM(FILTER(J:J, H:H=""Tiền mặt"")) - SUM(FILTER(K:K, H:H=""Tiền mặt""))
"),959000)</f>
        <v>959000</v>
      </c>
      <c r="N172" s="6">
        <f ca="1">IFERROR(__xludf.DUMMYFUNCTION("SUM(FILTER(J:J, H:H=""Chuyển khoản"")) - SUM(FILTER(K:K, H:H=""Chuyển khoản""))
"),4468984)</f>
        <v>4468984</v>
      </c>
      <c r="O172" s="5"/>
      <c r="P172" s="5"/>
      <c r="Q172" s="5"/>
      <c r="R172" s="5"/>
      <c r="S172" s="5"/>
    </row>
    <row r="173" spans="1:19" ht="15.75" customHeight="1" x14ac:dyDescent="0.2">
      <c r="A173" s="3">
        <v>46177</v>
      </c>
      <c r="B173" s="4" t="str">
        <f>IF(A173="","","PC-"&amp;TEXT(A173,"mm/yyyy")&amp;"-"&amp;TEXT(COUNTIFS($A$2:A173,"&gt;="&amp;EOMONTH(A173,-1)+1,$A$2:A173,"&lt;="&amp;EOMONTH(A173,0)),"000"))</f>
        <v>PC-06/2026-172</v>
      </c>
      <c r="C173" s="5" t="s">
        <v>1433</v>
      </c>
      <c r="D173" s="5" t="s">
        <v>29</v>
      </c>
      <c r="E173" s="5" t="s">
        <v>41</v>
      </c>
      <c r="F173" s="5"/>
      <c r="G173" s="5" t="s">
        <v>42</v>
      </c>
      <c r="H173" s="5" t="s">
        <v>23</v>
      </c>
      <c r="I173" s="6">
        <v>100000</v>
      </c>
      <c r="J173" s="6">
        <f>IF(D173="Thu",I173,0)</f>
        <v>0</v>
      </c>
      <c r="K173" s="6">
        <f>IF(D173="Chi",I173,0)</f>
        <v>100000</v>
      </c>
      <c r="L173" s="6" t="e">
        <f>L172+J173-K173</f>
        <v>#VALUE!</v>
      </c>
      <c r="M173" s="6">
        <f ca="1">IFERROR(__xludf.DUMMYFUNCTION("SUM(FILTER(J:J, H:H=""Tiền mặt"")) - SUM(FILTER(K:K, H:H=""Tiền mặt""))
"),959000)</f>
        <v>959000</v>
      </c>
      <c r="N173" s="6">
        <f ca="1">IFERROR(__xludf.DUMMYFUNCTION("SUM(FILTER(J:J, H:H=""Chuyển khoản"")) - SUM(FILTER(K:K, H:H=""Chuyển khoản""))
"),4468984)</f>
        <v>4468984</v>
      </c>
      <c r="O173" s="5"/>
      <c r="P173" s="5"/>
      <c r="Q173" s="5"/>
      <c r="R173" s="5"/>
      <c r="S173" s="5"/>
    </row>
    <row r="174" spans="1:19" ht="15.75" customHeight="1" x14ac:dyDescent="0.2">
      <c r="A174" s="3">
        <v>46177</v>
      </c>
      <c r="B174" s="4" t="str">
        <f>IF(A174="","","PC-"&amp;TEXT(A174,"mm/yyyy")&amp;"-"&amp;TEXT(COUNTIFS($A$2:A174,"&gt;="&amp;EOMONTH(A174,-1)+1,$A$2:A174,"&lt;="&amp;EOMONTH(A174,0)),"000"))</f>
        <v>PC-06/2026-173</v>
      </c>
      <c r="C174" s="51" t="s">
        <v>1434</v>
      </c>
      <c r="D174" s="5" t="s">
        <v>29</v>
      </c>
      <c r="E174" s="5" t="s">
        <v>64</v>
      </c>
      <c r="F174" s="5"/>
      <c r="G174" s="5" t="s">
        <v>22</v>
      </c>
      <c r="H174" s="5" t="s">
        <v>23</v>
      </c>
      <c r="I174" s="6">
        <v>2000000</v>
      </c>
      <c r="J174" s="6">
        <f>IF(D174="Thu",I174,0)</f>
        <v>0</v>
      </c>
      <c r="K174" s="6">
        <f>IF(D174="Chi",I174,0)</f>
        <v>2000000</v>
      </c>
      <c r="L174" s="6" t="e">
        <f>L173+J174-K174</f>
        <v>#VALUE!</v>
      </c>
      <c r="M174" s="6">
        <f ca="1">IFERROR(__xludf.DUMMYFUNCTION("SUM(FILTER(J:J, H:H=""Tiền mặt"")) - SUM(FILTER(K:K, H:H=""Tiền mặt""))
"),959000)</f>
        <v>959000</v>
      </c>
      <c r="N174" s="6">
        <f ca="1">IFERROR(__xludf.DUMMYFUNCTION("SUM(FILTER(J:J, H:H=""Chuyển khoản"")) - SUM(FILTER(K:K, H:H=""Chuyển khoản""))
"),4468984)</f>
        <v>4468984</v>
      </c>
      <c r="O174" s="5"/>
      <c r="P174" s="5"/>
      <c r="Q174" s="5"/>
      <c r="R174" s="5"/>
      <c r="S174" s="5"/>
    </row>
    <row r="175" spans="1:19" ht="15.75" customHeight="1" x14ac:dyDescent="0.2">
      <c r="A175" s="3">
        <v>46177</v>
      </c>
      <c r="B175" s="4" t="str">
        <f>IF(A175="","","PC-"&amp;TEXT(A175,"mm/yyyy")&amp;"-"&amp;TEXT(COUNTIFS($A$2:A175,"&gt;="&amp;EOMONTH(A175,-1)+1,$A$2:A175,"&lt;="&amp;EOMONTH(A175,0)),"000"))</f>
        <v>PC-06/2026-174</v>
      </c>
      <c r="C175" s="7" t="s">
        <v>1435</v>
      </c>
      <c r="D175" s="5" t="s">
        <v>29</v>
      </c>
      <c r="E175" s="5" t="s">
        <v>71</v>
      </c>
      <c r="F175" s="5"/>
      <c r="G175" s="5" t="s">
        <v>1436</v>
      </c>
      <c r="H175" s="5" t="s">
        <v>27</v>
      </c>
      <c r="I175" s="6">
        <v>22000</v>
      </c>
      <c r="J175" s="6">
        <f>IF(D175="Thu",I175,0)</f>
        <v>0</v>
      </c>
      <c r="K175" s="6">
        <f>IF(D175="Chi",I175,0)</f>
        <v>22000</v>
      </c>
      <c r="L175" s="6" t="e">
        <f>L174+J175-K175</f>
        <v>#VALUE!</v>
      </c>
      <c r="M175" s="6">
        <f ca="1">IFERROR(__xludf.DUMMYFUNCTION("SUM(FILTER(J:J, H:H=""Tiền mặt"")) - SUM(FILTER(K:K, H:H=""Tiền mặt""))
"),959000)</f>
        <v>959000</v>
      </c>
      <c r="N175" s="6">
        <f ca="1">IFERROR(__xludf.DUMMYFUNCTION("SUM(FILTER(J:J, H:H=""Chuyển khoản"")) - SUM(FILTER(K:K, H:H=""Chuyển khoản""))
"),4468984)</f>
        <v>4468984</v>
      </c>
      <c r="O175" s="5"/>
      <c r="P175" s="5"/>
      <c r="Q175" s="5"/>
      <c r="R175" s="5"/>
      <c r="S175" s="5"/>
    </row>
    <row r="176" spans="1:19" ht="15.75" customHeight="1" x14ac:dyDescent="0.2">
      <c r="A176" s="3">
        <v>46176</v>
      </c>
      <c r="B176" s="4" t="str">
        <f>IF(A176="","","PC-"&amp;TEXT(A176,"mm/yyyy")&amp;"-"&amp;TEXT(COUNTIFS($A$2:A176,"&gt;="&amp;EOMONTH(A176,-1)+1,$A$2:A176,"&lt;="&amp;EOMONTH(A176,0)),"000"))</f>
        <v>PC-06/2026-175</v>
      </c>
      <c r="C176" s="5" t="s">
        <v>1419</v>
      </c>
      <c r="D176" s="5" t="s">
        <v>29</v>
      </c>
      <c r="E176" s="5" t="s">
        <v>64</v>
      </c>
      <c r="F176" s="5"/>
      <c r="G176" s="5" t="s">
        <v>1408</v>
      </c>
      <c r="H176" s="5" t="s">
        <v>23</v>
      </c>
      <c r="I176" s="6">
        <v>2000000</v>
      </c>
      <c r="J176" s="6">
        <f>IF(D176="Thu",I176,0)</f>
        <v>0</v>
      </c>
      <c r="K176" s="6">
        <f>IF(D176="Chi",I176,0)</f>
        <v>2000000</v>
      </c>
      <c r="L176" s="6" t="e">
        <f>L175+J176-K176</f>
        <v>#VALUE!</v>
      </c>
      <c r="M176" s="6">
        <f ca="1">IFERROR(__xludf.DUMMYFUNCTION("SUM(FILTER(J:J, H:H=""Tiền mặt"")) - SUM(FILTER(K:K, H:H=""Tiền mặt""))
"),959000)</f>
        <v>959000</v>
      </c>
      <c r="N176" s="6">
        <f ca="1">IFERROR(__xludf.DUMMYFUNCTION("SUM(FILTER(J:J, H:H=""Chuyển khoản"")) - SUM(FILTER(K:K, H:H=""Chuyển khoản""))
"),4468984)</f>
        <v>4468984</v>
      </c>
      <c r="O176" s="5"/>
      <c r="P176" s="5"/>
      <c r="Q176" s="5"/>
      <c r="R176" s="5"/>
      <c r="S176" s="5"/>
    </row>
    <row r="177" spans="1:19" ht="15.75" customHeight="1" x14ac:dyDescent="0.2">
      <c r="A177" s="3">
        <v>46176</v>
      </c>
      <c r="B177" s="4" t="str">
        <f>IF(A177="","","PC-"&amp;TEXT(A177,"mm/yyyy")&amp;"-"&amp;TEXT(COUNTIFS($A$2:A177,"&gt;="&amp;EOMONTH(A177,-1)+1,$A$2:A177,"&lt;="&amp;EOMONTH(A177,0)),"000"))</f>
        <v>PC-06/2026-176</v>
      </c>
      <c r="C177" s="5" t="s">
        <v>1420</v>
      </c>
      <c r="D177" s="5" t="s">
        <v>29</v>
      </c>
      <c r="E177" s="5" t="s">
        <v>64</v>
      </c>
      <c r="F177" s="5"/>
      <c r="G177" s="5" t="s">
        <v>162</v>
      </c>
      <c r="H177" s="5" t="s">
        <v>23</v>
      </c>
      <c r="I177" s="6">
        <v>2000000</v>
      </c>
      <c r="J177" s="6">
        <f>IF(D177="Thu",I177,0)</f>
        <v>0</v>
      </c>
      <c r="K177" s="6">
        <f>IF(D177="Chi",I177,0)</f>
        <v>2000000</v>
      </c>
      <c r="L177" s="6" t="e">
        <f>L176+J177-K177</f>
        <v>#VALUE!</v>
      </c>
      <c r="M177" s="6">
        <f ca="1">IFERROR(__xludf.DUMMYFUNCTION("SUM(FILTER(J:J, H:H=""Tiền mặt"")) - SUM(FILTER(K:K, H:H=""Tiền mặt""))
"),959000)</f>
        <v>959000</v>
      </c>
      <c r="N177" s="6">
        <f ca="1">IFERROR(__xludf.DUMMYFUNCTION("SUM(FILTER(J:J, H:H=""Chuyển khoản"")) - SUM(FILTER(K:K, H:H=""Chuyển khoản""))
"),4468984)</f>
        <v>4468984</v>
      </c>
      <c r="O177" s="5"/>
      <c r="P177" s="5"/>
      <c r="Q177" s="5"/>
      <c r="R177" s="5"/>
      <c r="S177" s="5"/>
    </row>
    <row r="178" spans="1:19" ht="15.75" customHeight="1" x14ac:dyDescent="0.2">
      <c r="A178" s="3">
        <v>46176</v>
      </c>
      <c r="B178" s="4" t="str">
        <f>IF(A178="","","PC-"&amp;TEXT(A178,"mm/yyyy")&amp;"-"&amp;TEXT(COUNTIFS($A$2:A178,"&gt;="&amp;EOMONTH(A178,-1)+1,$A$2:A178,"&lt;="&amp;EOMONTH(A178,0)),"000"))</f>
        <v>PC-06/2026-177</v>
      </c>
      <c r="C178" s="5" t="s">
        <v>1421</v>
      </c>
      <c r="D178" s="5" t="s">
        <v>29</v>
      </c>
      <c r="E178" s="5" t="s">
        <v>36</v>
      </c>
      <c r="F178" s="5"/>
      <c r="G178" s="5" t="s">
        <v>72</v>
      </c>
      <c r="H178" s="5" t="s">
        <v>27</v>
      </c>
      <c r="I178" s="6">
        <v>35000</v>
      </c>
      <c r="J178" s="6">
        <f>IF(D178="Thu",I178,0)</f>
        <v>0</v>
      </c>
      <c r="K178" s="6">
        <f>IF(D178="Chi",I178,0)</f>
        <v>35000</v>
      </c>
      <c r="L178" s="6" t="e">
        <f>L177+J178-K178</f>
        <v>#VALUE!</v>
      </c>
      <c r="M178" s="6">
        <f ca="1">IFERROR(__xludf.DUMMYFUNCTION("SUM(FILTER(J:J, H:H=""Tiền mặt"")) - SUM(FILTER(K:K, H:H=""Tiền mặt""))
"),959000)</f>
        <v>959000</v>
      </c>
      <c r="N178" s="6">
        <f ca="1">IFERROR(__xludf.DUMMYFUNCTION("SUM(FILTER(J:J, H:H=""Chuyển khoản"")) - SUM(FILTER(K:K, H:H=""Chuyển khoản""))
"),4468984)</f>
        <v>4468984</v>
      </c>
      <c r="O178" s="5"/>
      <c r="P178" s="5"/>
      <c r="Q178" s="5"/>
      <c r="R178" s="5"/>
      <c r="S178" s="5"/>
    </row>
    <row r="179" spans="1:19" ht="15.75" customHeight="1" x14ac:dyDescent="0.2">
      <c r="A179" s="3">
        <v>46176</v>
      </c>
      <c r="B179" s="4" t="str">
        <f>IF(A179="","","PC-"&amp;TEXT(A179,"mm/yyyy")&amp;"-"&amp;TEXT(COUNTIFS($A$2:A179,"&gt;="&amp;EOMONTH(A179,-1)+1,$A$2:A179,"&lt;="&amp;EOMONTH(A179,0)),"000"))</f>
        <v>PC-06/2026-178</v>
      </c>
      <c r="C179" s="5" t="s">
        <v>1422</v>
      </c>
      <c r="D179" s="5" t="s">
        <v>29</v>
      </c>
      <c r="E179" s="5" t="s">
        <v>71</v>
      </c>
      <c r="F179" s="5"/>
      <c r="G179" s="5" t="s">
        <v>1423</v>
      </c>
      <c r="H179" s="5" t="s">
        <v>27</v>
      </c>
      <c r="I179" s="6">
        <v>41000</v>
      </c>
      <c r="J179" s="6">
        <f>IF(D179="Thu",I179,0)</f>
        <v>0</v>
      </c>
      <c r="K179" s="6">
        <f>IF(D179="Chi",I179,0)</f>
        <v>41000</v>
      </c>
      <c r="L179" s="6" t="e">
        <f>L178+J179-K179</f>
        <v>#VALUE!</v>
      </c>
      <c r="M179" s="6">
        <f ca="1">IFERROR(__xludf.DUMMYFUNCTION("SUM(FILTER(J:J, H:H=""Tiền mặt"")) - SUM(FILTER(K:K, H:H=""Tiền mặt""))
"),959000)</f>
        <v>959000</v>
      </c>
      <c r="N179" s="6">
        <f ca="1">IFERROR(__xludf.DUMMYFUNCTION("SUM(FILTER(J:J, H:H=""Chuyển khoản"")) - SUM(FILTER(K:K, H:H=""Chuyển khoản""))
"),4468984)</f>
        <v>4468984</v>
      </c>
      <c r="O179" s="5"/>
      <c r="P179" s="5"/>
      <c r="Q179" s="5"/>
      <c r="R179" s="5"/>
      <c r="S179" s="5"/>
    </row>
    <row r="180" spans="1:19" ht="15.75" customHeight="1" x14ac:dyDescent="0.2">
      <c r="A180" s="3">
        <v>46176</v>
      </c>
      <c r="B180" s="4" t="str">
        <f>IF(A180="","","PC-"&amp;TEXT(A180,"mm/yyyy")&amp;"-"&amp;TEXT(COUNTIFS($A$2:A180,"&gt;="&amp;EOMONTH(A180,-1)+1,$A$2:A180,"&lt;="&amp;EOMONTH(A180,0)),"000"))</f>
        <v>PC-06/2026-179</v>
      </c>
      <c r="C180" s="5" t="s">
        <v>1424</v>
      </c>
      <c r="D180" s="5" t="s">
        <v>29</v>
      </c>
      <c r="E180" s="5" t="s">
        <v>71</v>
      </c>
      <c r="F180" s="5"/>
      <c r="G180" s="5" t="s">
        <v>72</v>
      </c>
      <c r="H180" s="5" t="s">
        <v>27</v>
      </c>
      <c r="I180" s="6">
        <v>30000</v>
      </c>
      <c r="J180" s="6">
        <f>IF(D180="Thu",I180,0)</f>
        <v>0</v>
      </c>
      <c r="K180" s="6">
        <f>IF(D180="Chi",I180,0)</f>
        <v>30000</v>
      </c>
      <c r="L180" s="6" t="e">
        <f>L179+J180-K180</f>
        <v>#VALUE!</v>
      </c>
      <c r="M180" s="6">
        <f ca="1">IFERROR(__xludf.DUMMYFUNCTION("SUM(FILTER(J:J, H:H=""Tiền mặt"")) - SUM(FILTER(K:K, H:H=""Tiền mặt""))
"),959000)</f>
        <v>959000</v>
      </c>
      <c r="N180" s="6">
        <f ca="1">IFERROR(__xludf.DUMMYFUNCTION("SUM(FILTER(J:J, H:H=""Chuyển khoản"")) - SUM(FILTER(K:K, H:H=""Chuyển khoản""))
"),4468984)</f>
        <v>4468984</v>
      </c>
      <c r="O180" s="5"/>
      <c r="P180" s="5"/>
      <c r="Q180" s="5"/>
      <c r="R180" s="5"/>
      <c r="S180" s="5"/>
    </row>
    <row r="181" spans="1:19" ht="15.75" customHeight="1" x14ac:dyDescent="0.2">
      <c r="A181" s="3">
        <v>46176</v>
      </c>
      <c r="B181" s="4" t="str">
        <f>IF(A181="","","PC-"&amp;TEXT(A181,"mm/yyyy")&amp;"-"&amp;TEXT(COUNTIFS($A$2:A181,"&gt;="&amp;EOMONTH(A181,-1)+1,$A$2:A181,"&lt;="&amp;EOMONTH(A181,0)),"000"))</f>
        <v>PC-06/2026-180</v>
      </c>
      <c r="C181" s="5" t="s">
        <v>1425</v>
      </c>
      <c r="D181" s="5" t="s">
        <v>29</v>
      </c>
      <c r="E181" s="5" t="s">
        <v>88</v>
      </c>
      <c r="F181" s="5"/>
      <c r="G181" s="5" t="s">
        <v>571</v>
      </c>
      <c r="H181" s="5" t="s">
        <v>23</v>
      </c>
      <c r="I181" s="6">
        <v>92000</v>
      </c>
      <c r="J181" s="6">
        <f>IF(D181="Thu",I181,0)</f>
        <v>0</v>
      </c>
      <c r="K181" s="6">
        <f>IF(D181="Chi",I181,0)</f>
        <v>92000</v>
      </c>
      <c r="L181" s="6" t="e">
        <f>L180+J181-K181</f>
        <v>#VALUE!</v>
      </c>
      <c r="M181" s="6">
        <f ca="1">IFERROR(__xludf.DUMMYFUNCTION("SUM(FILTER(J:J, H:H=""Tiền mặt"")) - SUM(FILTER(K:K, H:H=""Tiền mặt""))
"),959000)</f>
        <v>959000</v>
      </c>
      <c r="N181" s="6">
        <f ca="1">IFERROR(__xludf.DUMMYFUNCTION("SUM(FILTER(J:J, H:H=""Chuyển khoản"")) - SUM(FILTER(K:K, H:H=""Chuyển khoản""))
"),4468984)</f>
        <v>4468984</v>
      </c>
      <c r="O181" s="5"/>
      <c r="P181" s="5"/>
      <c r="Q181" s="5"/>
      <c r="R181" s="5"/>
      <c r="S181" s="5"/>
    </row>
    <row r="182" spans="1:19" ht="15.75" customHeight="1" x14ac:dyDescent="0.2">
      <c r="A182" s="3">
        <v>46175</v>
      </c>
      <c r="B182" s="4" t="str">
        <f>IF(A182="","","PC-"&amp;TEXT(A182,"mm/yyyy")&amp;"-"&amp;TEXT(COUNTIFS($A$2:A182,"&gt;="&amp;EOMONTH(A182,-1)+1,$A$2:A182,"&lt;="&amp;EOMONTH(A182,0)),"000"))</f>
        <v>PC-06/2026-181</v>
      </c>
      <c r="C182" s="5" t="s">
        <v>1407</v>
      </c>
      <c r="D182" s="5" t="s">
        <v>29</v>
      </c>
      <c r="E182" s="5" t="s">
        <v>64</v>
      </c>
      <c r="F182" s="5"/>
      <c r="G182" s="5" t="s">
        <v>1408</v>
      </c>
      <c r="H182" s="5" t="s">
        <v>23</v>
      </c>
      <c r="I182" s="6">
        <v>2000000</v>
      </c>
      <c r="J182" s="6">
        <f>IF(D182="Thu",I182,0)</f>
        <v>0</v>
      </c>
      <c r="K182" s="6">
        <f>IF(D182="Chi",I182,0)</f>
        <v>2000000</v>
      </c>
      <c r="L182" s="6" t="e">
        <f>L181+J182-K182</f>
        <v>#VALUE!</v>
      </c>
      <c r="M182" s="6">
        <f ca="1">IFERROR(__xludf.DUMMYFUNCTION("SUM(FILTER(J:J, H:H=""Tiền mặt"")) - SUM(FILTER(K:K, H:H=""Tiền mặt""))
"),959000)</f>
        <v>959000</v>
      </c>
      <c r="N182" s="6">
        <f ca="1">IFERROR(__xludf.DUMMYFUNCTION("SUM(FILTER(J:J, H:H=""Chuyển khoản"")) - SUM(FILTER(K:K, H:H=""Chuyển khoản""))
"),4468984)</f>
        <v>4468984</v>
      </c>
      <c r="O182" s="5"/>
      <c r="P182" s="5"/>
      <c r="Q182" s="5"/>
      <c r="R182" s="5"/>
      <c r="S182" s="5"/>
    </row>
    <row r="183" spans="1:19" ht="15.75" customHeight="1" x14ac:dyDescent="0.2">
      <c r="A183" s="3">
        <v>46175</v>
      </c>
      <c r="B183" s="4" t="str">
        <f>IF(A183="","","PC-"&amp;TEXT(A183,"mm/yyyy")&amp;"-"&amp;TEXT(COUNTIFS($A$2:A183,"&gt;="&amp;EOMONTH(A183,-1)+1,$A$2:A183,"&lt;="&amp;EOMONTH(A183,0)),"000"))</f>
        <v>PC-06/2026-182</v>
      </c>
      <c r="C183" s="5" t="s">
        <v>1409</v>
      </c>
      <c r="D183" s="5" t="s">
        <v>29</v>
      </c>
      <c r="E183" s="5" t="s">
        <v>51</v>
      </c>
      <c r="F183" s="5"/>
      <c r="G183" s="5" t="s">
        <v>52</v>
      </c>
      <c r="H183" s="5" t="s">
        <v>27</v>
      </c>
      <c r="I183" s="6">
        <v>159051</v>
      </c>
      <c r="J183" s="6">
        <f>IF(D183="Thu",I183,0)</f>
        <v>0</v>
      </c>
      <c r="K183" s="6">
        <f>IF(D183="Chi",I183,0)</f>
        <v>159051</v>
      </c>
      <c r="L183" s="6" t="e">
        <f>L182+J183-K183</f>
        <v>#VALUE!</v>
      </c>
      <c r="M183" s="6">
        <f ca="1">IFERROR(__xludf.DUMMYFUNCTION("SUM(FILTER(J:J, H:H=""Tiền mặt"")) - SUM(FILTER(K:K, H:H=""Tiền mặt""))
"),959000)</f>
        <v>959000</v>
      </c>
      <c r="N183" s="6">
        <f ca="1">IFERROR(__xludf.DUMMYFUNCTION("SUM(FILTER(J:J, H:H=""Chuyển khoản"")) - SUM(FILTER(K:K, H:H=""Chuyển khoản""))
"),4468984)</f>
        <v>4468984</v>
      </c>
      <c r="O183" s="5"/>
      <c r="P183" s="5"/>
      <c r="Q183" s="5"/>
      <c r="R183" s="5"/>
      <c r="S183" s="5"/>
    </row>
    <row r="184" spans="1:19" ht="15.75" customHeight="1" x14ac:dyDescent="0.2">
      <c r="A184" s="3">
        <v>46175</v>
      </c>
      <c r="B184" s="4" t="str">
        <f>IF(A184="","","PC-"&amp;TEXT(A184,"mm/yyyy")&amp;"-"&amp;TEXT(COUNTIFS($A$2:A184,"&gt;="&amp;EOMONTH(A184,-1)+1,$A$2:A184,"&lt;="&amp;EOMONTH(A184,0)),"000"))</f>
        <v>PC-06/2026-183</v>
      </c>
      <c r="C184" s="5" t="s">
        <v>1410</v>
      </c>
      <c r="D184" s="5" t="s">
        <v>29</v>
      </c>
      <c r="E184" s="5" t="s">
        <v>41</v>
      </c>
      <c r="F184" s="5"/>
      <c r="G184" s="5" t="s">
        <v>42</v>
      </c>
      <c r="H184" s="5" t="s">
        <v>23</v>
      </c>
      <c r="I184" s="6">
        <v>100000</v>
      </c>
      <c r="J184" s="6">
        <f>IF(D184="Thu",I184,0)</f>
        <v>0</v>
      </c>
      <c r="K184" s="6">
        <f>IF(D184="Chi",I184,0)</f>
        <v>100000</v>
      </c>
      <c r="L184" s="6" t="e">
        <f>L183+J184-K184</f>
        <v>#VALUE!</v>
      </c>
      <c r="M184" s="6">
        <f ca="1">IFERROR(__xludf.DUMMYFUNCTION("SUM(FILTER(J:J, H:H=""Tiền mặt"")) - SUM(FILTER(K:K, H:H=""Tiền mặt""))
"),959000)</f>
        <v>959000</v>
      </c>
      <c r="N184" s="6">
        <f ca="1">IFERROR(__xludf.DUMMYFUNCTION("SUM(FILTER(J:J, H:H=""Chuyển khoản"")) - SUM(FILTER(K:K, H:H=""Chuyển khoản""))
"),4468984)</f>
        <v>4468984</v>
      </c>
      <c r="O184" s="5"/>
      <c r="P184" s="5"/>
      <c r="Q184" s="5"/>
      <c r="R184" s="5"/>
      <c r="S184" s="5"/>
    </row>
    <row r="185" spans="1:19" ht="15.75" customHeight="1" x14ac:dyDescent="0.2">
      <c r="A185" s="3">
        <v>46175</v>
      </c>
      <c r="B185" s="4" t="str">
        <f>IF(A185="","","PC-"&amp;TEXT(A185,"mm/yyyy")&amp;"-"&amp;TEXT(COUNTIFS($A$2:A185,"&gt;="&amp;EOMONTH(A185,-1)+1,$A$2:A185,"&lt;="&amp;EOMONTH(A185,0)),"000"))</f>
        <v>PC-06/2026-184</v>
      </c>
      <c r="C185" s="5" t="s">
        <v>1411</v>
      </c>
      <c r="D185" s="5" t="s">
        <v>29</v>
      </c>
      <c r="E185" s="5" t="s">
        <v>30</v>
      </c>
      <c r="F185" s="5"/>
      <c r="G185" s="5" t="s">
        <v>884</v>
      </c>
      <c r="H185" s="5" t="s">
        <v>27</v>
      </c>
      <c r="I185" s="6">
        <v>400000</v>
      </c>
      <c r="J185" s="6">
        <f>IF(D185="Thu",I185,0)</f>
        <v>0</v>
      </c>
      <c r="K185" s="6">
        <f>IF(D185="Chi",I185,0)</f>
        <v>400000</v>
      </c>
      <c r="L185" s="6" t="e">
        <f>L184+J185-K185</f>
        <v>#VALUE!</v>
      </c>
      <c r="M185" s="6">
        <f ca="1">IFERROR(__xludf.DUMMYFUNCTION("SUM(FILTER(J:J, H:H=""Tiền mặt"")) - SUM(FILTER(K:K, H:H=""Tiền mặt""))
"),959000)</f>
        <v>959000</v>
      </c>
      <c r="N185" s="6">
        <f ca="1">IFERROR(__xludf.DUMMYFUNCTION("SUM(FILTER(J:J, H:H=""Chuyển khoản"")) - SUM(FILTER(K:K, H:H=""Chuyển khoản""))
"),4468984)</f>
        <v>4468984</v>
      </c>
      <c r="O185" s="5"/>
      <c r="P185" s="5"/>
      <c r="Q185" s="5"/>
      <c r="R185" s="5"/>
      <c r="S185" s="5"/>
    </row>
    <row r="186" spans="1:19" ht="15.75" customHeight="1" x14ac:dyDescent="0.2">
      <c r="A186" s="3">
        <v>46175</v>
      </c>
      <c r="B186" s="4" t="str">
        <f>IF(A186="","","PC-"&amp;TEXT(A186,"mm/yyyy")&amp;"-"&amp;TEXT(COUNTIFS($A$2:A186,"&gt;="&amp;EOMONTH(A186,-1)+1,$A$2:A186,"&lt;="&amp;EOMONTH(A186,0)),"000"))</f>
        <v>PC-06/2026-185</v>
      </c>
      <c r="C186" s="5" t="s">
        <v>1412</v>
      </c>
      <c r="D186" s="5" t="s">
        <v>29</v>
      </c>
      <c r="E186" s="5" t="s">
        <v>71</v>
      </c>
      <c r="F186" s="5"/>
      <c r="G186" s="5" t="s">
        <v>316</v>
      </c>
      <c r="H186" s="5" t="s">
        <v>27</v>
      </c>
      <c r="I186" s="6">
        <v>60000</v>
      </c>
      <c r="J186" s="6">
        <f>IF(D186="Thu",I186,0)</f>
        <v>0</v>
      </c>
      <c r="K186" s="6">
        <f>IF(D186="Chi",I186,0)</f>
        <v>60000</v>
      </c>
      <c r="L186" s="6" t="e">
        <f>L185+J186-K186</f>
        <v>#VALUE!</v>
      </c>
      <c r="M186" s="6">
        <f ca="1">IFERROR(__xludf.DUMMYFUNCTION("SUM(FILTER(J:J, H:H=""Tiền mặt"")) - SUM(FILTER(K:K, H:H=""Tiền mặt""))
"),959000)</f>
        <v>959000</v>
      </c>
      <c r="N186" s="6">
        <f ca="1">IFERROR(__xludf.DUMMYFUNCTION("SUM(FILTER(J:J, H:H=""Chuyển khoản"")) - SUM(FILTER(K:K, H:H=""Chuyển khoản""))
"),4468984)</f>
        <v>4468984</v>
      </c>
      <c r="O186" s="5"/>
      <c r="P186" s="5"/>
      <c r="Q186" s="5"/>
      <c r="R186" s="5"/>
      <c r="S186" s="5"/>
    </row>
    <row r="187" spans="1:19" ht="15.75" customHeight="1" x14ac:dyDescent="0.2">
      <c r="A187" s="3">
        <v>46175</v>
      </c>
      <c r="B187" s="4" t="str">
        <f>IF(A187="","","PC-"&amp;TEXT(A187,"mm/yyyy")&amp;"-"&amp;TEXT(COUNTIFS($A$2:A187,"&gt;="&amp;EOMONTH(A187,-1)+1,$A$2:A187,"&lt;="&amp;EOMONTH(A187,0)),"000"))</f>
        <v>PC-06/2026-186</v>
      </c>
      <c r="C187" s="5" t="s">
        <v>1413</v>
      </c>
      <c r="D187" s="5" t="s">
        <v>29</v>
      </c>
      <c r="E187" s="5" t="s">
        <v>64</v>
      </c>
      <c r="F187" s="5"/>
      <c r="G187" s="5" t="s">
        <v>1408</v>
      </c>
      <c r="H187" s="5" t="s">
        <v>23</v>
      </c>
      <c r="I187" s="6">
        <v>2000000</v>
      </c>
      <c r="J187" s="6">
        <f>IF(D187="Thu",I187,0)</f>
        <v>0</v>
      </c>
      <c r="K187" s="6">
        <f>IF(D187="Chi",I187,0)</f>
        <v>2000000</v>
      </c>
      <c r="L187" s="6" t="e">
        <f>L186+J187-K187</f>
        <v>#VALUE!</v>
      </c>
      <c r="M187" s="6">
        <f ca="1">IFERROR(__xludf.DUMMYFUNCTION("SUM(FILTER(J:J, H:H=""Tiền mặt"")) - SUM(FILTER(K:K, H:H=""Tiền mặt""))
"),959000)</f>
        <v>959000</v>
      </c>
      <c r="N187" s="6">
        <f ca="1">IFERROR(__xludf.DUMMYFUNCTION("SUM(FILTER(J:J, H:H=""Chuyển khoản"")) - SUM(FILTER(K:K, H:H=""Chuyển khoản""))
"),4468984)</f>
        <v>4468984</v>
      </c>
      <c r="O187" s="5"/>
      <c r="P187" s="5"/>
      <c r="Q187" s="5"/>
      <c r="R187" s="5"/>
      <c r="S187" s="5"/>
    </row>
    <row r="188" spans="1:19" ht="15.75" customHeight="1" x14ac:dyDescent="0.2">
      <c r="A188" s="3">
        <v>46175</v>
      </c>
      <c r="B188" s="4" t="str">
        <f>IF(A188="","","PC-"&amp;TEXT(A188,"mm/yyyy")&amp;"-"&amp;TEXT(COUNTIFS($A$2:A188,"&gt;="&amp;EOMONTH(A188,-1)+1,$A$2:A188,"&lt;="&amp;EOMONTH(A188,0)),"000"))</f>
        <v>PC-06/2026-187</v>
      </c>
      <c r="C188" s="5" t="s">
        <v>1414</v>
      </c>
      <c r="D188" s="5" t="s">
        <v>29</v>
      </c>
      <c r="E188" s="5" t="s">
        <v>41</v>
      </c>
      <c r="F188" s="5"/>
      <c r="G188" s="5" t="s">
        <v>22</v>
      </c>
      <c r="H188" s="5" t="s">
        <v>23</v>
      </c>
      <c r="I188" s="6">
        <v>200000</v>
      </c>
      <c r="J188" s="6">
        <f>IF(D188="Thu",I188,0)</f>
        <v>0</v>
      </c>
      <c r="K188" s="6">
        <f>IF(D188="Chi",I188,0)</f>
        <v>200000</v>
      </c>
      <c r="L188" s="6" t="e">
        <f>L187+J188-K188</f>
        <v>#VALUE!</v>
      </c>
      <c r="M188" s="6">
        <f ca="1">IFERROR(__xludf.DUMMYFUNCTION("SUM(FILTER(J:J, H:H=""Tiền mặt"")) - SUM(FILTER(K:K, H:H=""Tiền mặt""))
"),959000)</f>
        <v>959000</v>
      </c>
      <c r="N188" s="6">
        <f ca="1">IFERROR(__xludf.DUMMYFUNCTION("SUM(FILTER(J:J, H:H=""Chuyển khoản"")) - SUM(FILTER(K:K, H:H=""Chuyển khoản""))
"),4468984)</f>
        <v>4468984</v>
      </c>
      <c r="O188" s="5"/>
      <c r="P188" s="5"/>
      <c r="Q188" s="5"/>
      <c r="R188" s="5"/>
      <c r="S188" s="5"/>
    </row>
    <row r="189" spans="1:19" ht="15.75" customHeight="1" x14ac:dyDescent="0.2">
      <c r="A189" s="3">
        <v>46175</v>
      </c>
      <c r="B189" s="4" t="str">
        <f>IF(A189="","","PC-"&amp;TEXT(A189,"mm/yyyy")&amp;"-"&amp;TEXT(COUNTIFS($A$2:A189,"&gt;="&amp;EOMONTH(A189,-1)+1,$A$2:A189,"&lt;="&amp;EOMONTH(A189,0)),"000"))</f>
        <v>PC-06/2026-188</v>
      </c>
      <c r="C189" s="5" t="s">
        <v>1415</v>
      </c>
      <c r="D189" s="5" t="s">
        <v>29</v>
      </c>
      <c r="E189" s="5" t="s">
        <v>33</v>
      </c>
      <c r="F189" s="5"/>
      <c r="G189" s="5" t="s">
        <v>486</v>
      </c>
      <c r="H189" s="5" t="s">
        <v>27</v>
      </c>
      <c r="I189" s="6">
        <v>1280000</v>
      </c>
      <c r="J189" s="6">
        <f>IF(D189="Thu",I189,0)</f>
        <v>0</v>
      </c>
      <c r="K189" s="6">
        <f>IF(D189="Chi",I189,0)</f>
        <v>1280000</v>
      </c>
      <c r="L189" s="6" t="e">
        <f>L188+J189-K189</f>
        <v>#VALUE!</v>
      </c>
      <c r="M189" s="6">
        <f ca="1">IFERROR(__xludf.DUMMYFUNCTION("SUM(FILTER(J:J, H:H=""Tiền mặt"")) - SUM(FILTER(K:K, H:H=""Tiền mặt""))
"),959000)</f>
        <v>959000</v>
      </c>
      <c r="N189" s="6">
        <f ca="1">IFERROR(__xludf.DUMMYFUNCTION("SUM(FILTER(J:J, H:H=""Chuyển khoản"")) - SUM(FILTER(K:K, H:H=""Chuyển khoản""))
"),4468984)</f>
        <v>4468984</v>
      </c>
      <c r="O189" s="5"/>
      <c r="P189" s="5"/>
      <c r="Q189" s="5"/>
      <c r="R189" s="5"/>
      <c r="S189" s="5"/>
    </row>
    <row r="190" spans="1:19" ht="15.75" customHeight="1" x14ac:dyDescent="0.2">
      <c r="A190" s="3">
        <v>46175</v>
      </c>
      <c r="B190" s="4" t="str">
        <f>IF(A190="","","PC-"&amp;TEXT(A190,"mm/yyyy")&amp;"-"&amp;TEXT(COUNTIFS($A$2:A190,"&gt;="&amp;EOMONTH(A190,-1)+1,$A$2:A190,"&lt;="&amp;EOMONTH(A190,0)),"000"))</f>
        <v>PC-06/2026-189</v>
      </c>
      <c r="C190" s="5" t="s">
        <v>1416</v>
      </c>
      <c r="D190" s="5" t="s">
        <v>29</v>
      </c>
      <c r="E190" s="5" t="s">
        <v>71</v>
      </c>
      <c r="F190" s="5"/>
      <c r="G190" s="5" t="s">
        <v>22</v>
      </c>
      <c r="H190" s="5" t="s">
        <v>27</v>
      </c>
      <c r="I190" s="6">
        <v>70000</v>
      </c>
      <c r="J190" s="6">
        <f>IF(D190="Thu",I190,0)</f>
        <v>0</v>
      </c>
      <c r="K190" s="6">
        <f>IF(D190="Chi",I190,0)</f>
        <v>70000</v>
      </c>
      <c r="L190" s="6" t="e">
        <f>L189+J190-K190</f>
        <v>#VALUE!</v>
      </c>
      <c r="M190" s="6">
        <f ca="1">IFERROR(__xludf.DUMMYFUNCTION("SUM(FILTER(J:J, H:H=""Tiền mặt"")) - SUM(FILTER(K:K, H:H=""Tiền mặt""))
"),959000)</f>
        <v>959000</v>
      </c>
      <c r="N190" s="6">
        <f ca="1">IFERROR(__xludf.DUMMYFUNCTION("SUM(FILTER(J:J, H:H=""Chuyển khoản"")) - SUM(FILTER(K:K, H:H=""Chuyển khoản""))
"),4468984)</f>
        <v>4468984</v>
      </c>
      <c r="O190" s="5"/>
      <c r="P190" s="5"/>
      <c r="Q190" s="5"/>
      <c r="R190" s="5"/>
      <c r="S190" s="5"/>
    </row>
    <row r="191" spans="1:19" ht="15.75" customHeight="1" x14ac:dyDescent="0.2">
      <c r="A191" s="3">
        <v>46175</v>
      </c>
      <c r="B191" s="4" t="str">
        <f>IF(A191="","","PC-"&amp;TEXT(A191,"mm/yyyy")&amp;"-"&amp;TEXT(COUNTIFS($A$2:A191,"&gt;="&amp;EOMONTH(A191,-1)+1,$A$2:A191,"&lt;="&amp;EOMONTH(A191,0)),"000"))</f>
        <v>PC-06/2026-190</v>
      </c>
      <c r="C191" s="5" t="s">
        <v>1417</v>
      </c>
      <c r="D191" s="5" t="s">
        <v>29</v>
      </c>
      <c r="E191" s="5" t="s">
        <v>51</v>
      </c>
      <c r="F191" s="5"/>
      <c r="G191" s="5" t="s">
        <v>52</v>
      </c>
      <c r="H191" s="5" t="s">
        <v>27</v>
      </c>
      <c r="I191" s="6">
        <v>75240</v>
      </c>
      <c r="J191" s="6">
        <f>IF(D191="Thu",I191,0)</f>
        <v>0</v>
      </c>
      <c r="K191" s="6">
        <f>IF(D191="Chi",I191,0)</f>
        <v>75240</v>
      </c>
      <c r="L191" s="6" t="e">
        <f>L190+J191-K191</f>
        <v>#VALUE!</v>
      </c>
      <c r="M191" s="6">
        <f ca="1">IFERROR(__xludf.DUMMYFUNCTION("SUM(FILTER(J:J, H:H=""Tiền mặt"")) - SUM(FILTER(K:K, H:H=""Tiền mặt""))
"),959000)</f>
        <v>959000</v>
      </c>
      <c r="N191" s="6">
        <f ca="1">IFERROR(__xludf.DUMMYFUNCTION("SUM(FILTER(J:J, H:H=""Chuyển khoản"")) - SUM(FILTER(K:K, H:H=""Chuyển khoản""))
"),4468984)</f>
        <v>4468984</v>
      </c>
      <c r="O191" s="5"/>
      <c r="P191" s="5"/>
      <c r="Q191" s="5"/>
      <c r="R191" s="5"/>
      <c r="S191" s="5"/>
    </row>
    <row r="192" spans="1:19" ht="15.75" customHeight="1" x14ac:dyDescent="0.2">
      <c r="A192" s="3">
        <v>46175</v>
      </c>
      <c r="B192" s="4" t="str">
        <f>IF(A192="","","PC-"&amp;TEXT(A192,"mm/yyyy")&amp;"-"&amp;TEXT(COUNTIFS($A$2:A192,"&gt;="&amp;EOMONTH(A192,-1)+1,$A$2:A192,"&lt;="&amp;EOMONTH(A192,0)),"000"))</f>
        <v>PC-06/2026-191</v>
      </c>
      <c r="C192" s="5" t="s">
        <v>1418</v>
      </c>
      <c r="D192" s="5" t="s">
        <v>29</v>
      </c>
      <c r="E192" s="5" t="s">
        <v>51</v>
      </c>
      <c r="F192" s="5"/>
      <c r="G192" s="5" t="s">
        <v>52</v>
      </c>
      <c r="H192" s="5" t="s">
        <v>27</v>
      </c>
      <c r="I192" s="6">
        <v>60500</v>
      </c>
      <c r="J192" s="6">
        <f>IF(D192="Thu",I192,0)</f>
        <v>0</v>
      </c>
      <c r="K192" s="6">
        <f>IF(D192="Chi",I192,0)</f>
        <v>60500</v>
      </c>
      <c r="L192" s="6" t="e">
        <f>L191+J192-K192</f>
        <v>#VALUE!</v>
      </c>
      <c r="M192" s="6">
        <f ca="1">IFERROR(__xludf.DUMMYFUNCTION("SUM(FILTER(J:J, H:H=""Tiền mặt"")) - SUM(FILTER(K:K, H:H=""Tiền mặt""))
"),959000)</f>
        <v>959000</v>
      </c>
      <c r="N192" s="6">
        <f ca="1">IFERROR(__xludf.DUMMYFUNCTION("SUM(FILTER(J:J, H:H=""Chuyển khoản"")) - SUM(FILTER(K:K, H:H=""Chuyển khoản""))
"),4468984)</f>
        <v>4468984</v>
      </c>
      <c r="O192" s="5"/>
      <c r="P192" s="5"/>
      <c r="Q192" s="5"/>
      <c r="R192" s="5"/>
      <c r="S192" s="5"/>
    </row>
    <row r="193" spans="1:19" ht="15.75" customHeight="1" x14ac:dyDescent="0.2">
      <c r="A193" s="3">
        <v>46174</v>
      </c>
      <c r="B193" s="4" t="str">
        <f>IF(A193="","","PC-"&amp;TEXT(A193,"mm/yyyy")&amp;"-"&amp;TEXT(COUNTIFS($A$2:A193,"&gt;="&amp;EOMONTH(A193,-1)+1,$A$2:A193,"&lt;="&amp;EOMONTH(A193,0)),"000"))</f>
        <v>PC-06/2026-192</v>
      </c>
      <c r="C193" s="5" t="s">
        <v>528</v>
      </c>
      <c r="D193" s="5" t="s">
        <v>29</v>
      </c>
      <c r="E193" s="5" t="s">
        <v>36</v>
      </c>
      <c r="F193" s="5"/>
      <c r="G193" s="5" t="s">
        <v>37</v>
      </c>
      <c r="H193" s="5" t="s">
        <v>23</v>
      </c>
      <c r="I193" s="6">
        <v>190000</v>
      </c>
      <c r="J193" s="6">
        <f>IF(D193="Thu",I193,0)</f>
        <v>0</v>
      </c>
      <c r="K193" s="6">
        <f>IF(D193="Chi",I193,0)</f>
        <v>190000</v>
      </c>
      <c r="L193" s="6" t="e">
        <f>L192+J193-K193</f>
        <v>#VALUE!</v>
      </c>
      <c r="M193" s="6">
        <f ca="1">IFERROR(__xludf.DUMMYFUNCTION("SUM(FILTER(J:J, H:H=""Tiền mặt"")) - SUM(FILTER(K:K, H:H=""Tiền mặt""))
"),959000)</f>
        <v>959000</v>
      </c>
      <c r="N193" s="6">
        <f ca="1">IFERROR(__xludf.DUMMYFUNCTION("SUM(FILTER(J:J, H:H=""Chuyển khoản"")) - SUM(FILTER(K:K, H:H=""Chuyển khoản""))
"),4468984)</f>
        <v>4468984</v>
      </c>
      <c r="O193" s="5"/>
      <c r="P193" s="5"/>
      <c r="Q193" s="5"/>
      <c r="R193" s="5"/>
      <c r="S193" s="5"/>
    </row>
    <row r="194" spans="1:19" ht="15.75" customHeight="1" x14ac:dyDescent="0.2">
      <c r="A194" s="3">
        <v>46174</v>
      </c>
      <c r="B194" s="4" t="str">
        <f>IF(A194="","","PC-"&amp;TEXT(A194,"mm/yyyy")&amp;"-"&amp;TEXT(COUNTIFS($A$2:A194,"&gt;="&amp;EOMONTH(A194,-1)+1,$A$2:A194,"&lt;="&amp;EOMONTH(A194,0)),"000"))</f>
        <v>PC-06/2026-193</v>
      </c>
      <c r="C194" s="5" t="s">
        <v>1393</v>
      </c>
      <c r="D194" s="5" t="s">
        <v>29</v>
      </c>
      <c r="E194" s="5" t="s">
        <v>44</v>
      </c>
      <c r="F194" s="5"/>
      <c r="G194" s="5" t="s">
        <v>103</v>
      </c>
      <c r="H194" s="5" t="s">
        <v>23</v>
      </c>
      <c r="I194" s="6">
        <v>1500000</v>
      </c>
      <c r="J194" s="6">
        <f>IF(D194="Thu",I194,0)</f>
        <v>0</v>
      </c>
      <c r="K194" s="6">
        <f>IF(D194="Chi",I194,0)</f>
        <v>1500000</v>
      </c>
      <c r="L194" s="6" t="e">
        <f>L193+J194-K194</f>
        <v>#VALUE!</v>
      </c>
      <c r="M194" s="6">
        <f ca="1">IFERROR(__xludf.DUMMYFUNCTION("SUM(FILTER(J:J, H:H=""Tiền mặt"")) - SUM(FILTER(K:K, H:H=""Tiền mặt""))
"),959000)</f>
        <v>959000</v>
      </c>
      <c r="N194" s="6">
        <f ca="1">IFERROR(__xludf.DUMMYFUNCTION("SUM(FILTER(J:J, H:H=""Chuyển khoản"")) - SUM(FILTER(K:K, H:H=""Chuyển khoản""))
"),4468984)</f>
        <v>4468984</v>
      </c>
      <c r="O194" s="5"/>
      <c r="P194" s="5"/>
      <c r="Q194" s="5"/>
      <c r="R194" s="5"/>
      <c r="S194" s="5"/>
    </row>
    <row r="195" spans="1:19" ht="15.75" customHeight="1" x14ac:dyDescent="0.2">
      <c r="A195" s="3">
        <v>46174</v>
      </c>
      <c r="B195" s="4" t="str">
        <f>IF(A195="","","PC-"&amp;TEXT(A195,"mm/yyyy")&amp;"-"&amp;TEXT(COUNTIFS($A$2:A195,"&gt;="&amp;EOMONTH(A195,-1)+1,$A$2:A195,"&lt;="&amp;EOMONTH(A195,0)),"000"))</f>
        <v>PC-06/2026-194</v>
      </c>
      <c r="C195" s="5" t="s">
        <v>1394</v>
      </c>
      <c r="D195" s="5" t="s">
        <v>29</v>
      </c>
      <c r="E195" s="5" t="s">
        <v>47</v>
      </c>
      <c r="F195" s="5"/>
      <c r="G195" s="5" t="s">
        <v>48</v>
      </c>
      <c r="H195" s="5" t="s">
        <v>23</v>
      </c>
      <c r="I195" s="6">
        <v>50000</v>
      </c>
      <c r="J195" s="6">
        <f>IF(D195="Thu",I195,0)</f>
        <v>0</v>
      </c>
      <c r="K195" s="6">
        <f>IF(D195="Chi",I195,0)</f>
        <v>50000</v>
      </c>
      <c r="L195" s="6" t="e">
        <f>L194+J195-K195</f>
        <v>#VALUE!</v>
      </c>
      <c r="M195" s="6">
        <f ca="1">IFERROR(__xludf.DUMMYFUNCTION("SUM(FILTER(J:J, H:H=""Tiền mặt"")) - SUM(FILTER(K:K, H:H=""Tiền mặt""))
"),959000)</f>
        <v>959000</v>
      </c>
      <c r="N195" s="6">
        <f ca="1">IFERROR(__xludf.DUMMYFUNCTION("SUM(FILTER(J:J, H:H=""Chuyển khoản"")) - SUM(FILTER(K:K, H:H=""Chuyển khoản""))
"),4468984)</f>
        <v>4468984</v>
      </c>
      <c r="O195" s="5"/>
      <c r="P195" s="5"/>
      <c r="Q195" s="5"/>
      <c r="R195" s="5"/>
      <c r="S195" s="5"/>
    </row>
    <row r="196" spans="1:19" ht="15.75" customHeight="1" x14ac:dyDescent="0.2">
      <c r="A196" s="3">
        <v>46174</v>
      </c>
      <c r="B196" s="4" t="str">
        <f>IF(A196="","","PC-"&amp;TEXT(A196,"mm/yyyy")&amp;"-"&amp;TEXT(COUNTIFS($A$2:A196,"&gt;="&amp;EOMONTH(A196,-1)+1,$A$2:A196,"&lt;="&amp;EOMONTH(A196,0)),"000"))</f>
        <v>PC-06/2026-195</v>
      </c>
      <c r="C196" s="5" t="s">
        <v>1395</v>
      </c>
      <c r="D196" s="5" t="s">
        <v>29</v>
      </c>
      <c r="E196" s="5" t="s">
        <v>71</v>
      </c>
      <c r="F196" s="5"/>
      <c r="G196" s="5" t="s">
        <v>1396</v>
      </c>
      <c r="H196" s="5" t="s">
        <v>27</v>
      </c>
      <c r="I196" s="6">
        <v>82000</v>
      </c>
      <c r="J196" s="6">
        <f>IF(D196="Thu",I196,0)</f>
        <v>0</v>
      </c>
      <c r="K196" s="6">
        <f>IF(D196="Chi",I196,0)</f>
        <v>82000</v>
      </c>
      <c r="L196" s="6" t="e">
        <f>L195+J196-K196</f>
        <v>#VALUE!</v>
      </c>
      <c r="M196" s="6">
        <f ca="1">IFERROR(__xludf.DUMMYFUNCTION("SUM(FILTER(J:J, H:H=""Tiền mặt"")) - SUM(FILTER(K:K, H:H=""Tiền mặt""))
"),959000)</f>
        <v>959000</v>
      </c>
      <c r="N196" s="6">
        <f ca="1">IFERROR(__xludf.DUMMYFUNCTION("SUM(FILTER(J:J, H:H=""Chuyển khoản"")) - SUM(FILTER(K:K, H:H=""Chuyển khoản""))
"),4468984)</f>
        <v>4468984</v>
      </c>
      <c r="O196" s="5"/>
      <c r="P196" s="5"/>
      <c r="Q196" s="5"/>
      <c r="R196" s="5"/>
      <c r="S196" s="5"/>
    </row>
    <row r="197" spans="1:19" ht="15.75" customHeight="1" x14ac:dyDescent="0.2">
      <c r="A197" s="3">
        <v>46174</v>
      </c>
      <c r="B197" s="4" t="str">
        <f>IF(A197="","","PC-"&amp;TEXT(A197,"mm/yyyy")&amp;"-"&amp;TEXT(COUNTIFS($A$2:A197,"&gt;="&amp;EOMONTH(A197,-1)+1,$A$2:A197,"&lt;="&amp;EOMONTH(A197,0)),"000"))</f>
        <v>PC-06/2026-196</v>
      </c>
      <c r="C197" s="5" t="s">
        <v>1397</v>
      </c>
      <c r="D197" s="5" t="s">
        <v>29</v>
      </c>
      <c r="E197" s="5" t="s">
        <v>71</v>
      </c>
      <c r="F197" s="5"/>
      <c r="G197" s="5" t="s">
        <v>1398</v>
      </c>
      <c r="H197" s="5" t="s">
        <v>27</v>
      </c>
      <c r="I197" s="6">
        <v>225000</v>
      </c>
      <c r="J197" s="6">
        <f>IF(D197="Thu",I197,0)</f>
        <v>0</v>
      </c>
      <c r="K197" s="6">
        <f>IF(D197="Chi",I197,0)</f>
        <v>225000</v>
      </c>
      <c r="L197" s="6" t="e">
        <f>L196+J197-K197</f>
        <v>#VALUE!</v>
      </c>
      <c r="M197" s="6">
        <f ca="1">IFERROR(__xludf.DUMMYFUNCTION("SUM(FILTER(J:J, H:H=""Tiền mặt"")) - SUM(FILTER(K:K, H:H=""Tiền mặt""))
"),959000)</f>
        <v>959000</v>
      </c>
      <c r="N197" s="6">
        <f ca="1">IFERROR(__xludf.DUMMYFUNCTION("SUM(FILTER(J:J, H:H=""Chuyển khoản"")) - SUM(FILTER(K:K, H:H=""Chuyển khoản""))
"),4468984)</f>
        <v>4468984</v>
      </c>
      <c r="O197" s="5"/>
      <c r="P197" s="5"/>
      <c r="Q197" s="5"/>
      <c r="R197" s="5"/>
      <c r="S197" s="5"/>
    </row>
    <row r="198" spans="1:19" ht="15.75" customHeight="1" x14ac:dyDescent="0.2">
      <c r="A198" s="3">
        <v>46174</v>
      </c>
      <c r="B198" s="4" t="str">
        <f>IF(A198="","","PC-"&amp;TEXT(A198,"mm/yyyy")&amp;"-"&amp;TEXT(COUNTIFS($A$2:A198,"&gt;="&amp;EOMONTH(A198,-1)+1,$A$2:A198,"&lt;="&amp;EOMONTH(A198,0)),"000"))</f>
        <v>PC-06/2026-197</v>
      </c>
      <c r="C198" s="5" t="s">
        <v>1399</v>
      </c>
      <c r="D198" s="5" t="s">
        <v>29</v>
      </c>
      <c r="E198" s="5" t="s">
        <v>51</v>
      </c>
      <c r="F198" s="5"/>
      <c r="G198" s="5" t="s">
        <v>52</v>
      </c>
      <c r="H198" s="5" t="s">
        <v>27</v>
      </c>
      <c r="I198" s="6">
        <v>105363</v>
      </c>
      <c r="J198" s="6">
        <f>IF(D198="Thu",I198,0)</f>
        <v>0</v>
      </c>
      <c r="K198" s="6">
        <f>IF(D198="Chi",I198,0)</f>
        <v>105363</v>
      </c>
      <c r="L198" s="6" t="e">
        <f>L197+J198-K198</f>
        <v>#VALUE!</v>
      </c>
      <c r="M198" s="6">
        <f ca="1">IFERROR(__xludf.DUMMYFUNCTION("SUM(FILTER(J:J, H:H=""Tiền mặt"")) - SUM(FILTER(K:K, H:H=""Tiền mặt""))
"),959000)</f>
        <v>959000</v>
      </c>
      <c r="N198" s="6">
        <f ca="1">IFERROR(__xludf.DUMMYFUNCTION("SUM(FILTER(J:J, H:H=""Chuyển khoản"")) - SUM(FILTER(K:K, H:H=""Chuyển khoản""))
"),4468984)</f>
        <v>4468984</v>
      </c>
      <c r="O198" s="5"/>
      <c r="P198" s="5"/>
      <c r="Q198" s="5"/>
      <c r="R198" s="5"/>
      <c r="S198" s="5"/>
    </row>
    <row r="199" spans="1:19" ht="15.75" customHeight="1" x14ac:dyDescent="0.2">
      <c r="A199" s="3">
        <v>46174</v>
      </c>
      <c r="B199" s="4" t="str">
        <f>IF(A199="","","PC-"&amp;TEXT(A199,"mm/yyyy")&amp;"-"&amp;TEXT(COUNTIFS($A$2:A199,"&gt;="&amp;EOMONTH(A199,-1)+1,$A$2:A199,"&lt;="&amp;EOMONTH(A199,0)),"000"))</f>
        <v>PC-06/2026-198</v>
      </c>
      <c r="C199" s="5" t="s">
        <v>1400</v>
      </c>
      <c r="D199" s="5" t="s">
        <v>29</v>
      </c>
      <c r="E199" s="5" t="s">
        <v>1284</v>
      </c>
      <c r="F199" s="5"/>
      <c r="G199" s="5" t="s">
        <v>1401</v>
      </c>
      <c r="H199" s="5" t="s">
        <v>23</v>
      </c>
      <c r="I199" s="6">
        <v>350000</v>
      </c>
      <c r="J199" s="6">
        <f>IF(D199="Thu",I199,0)</f>
        <v>0</v>
      </c>
      <c r="K199" s="6">
        <f>IF(D199="Chi",I199,0)</f>
        <v>350000</v>
      </c>
      <c r="L199" s="6" t="e">
        <f>L198+J199-K199</f>
        <v>#VALUE!</v>
      </c>
      <c r="M199" s="6">
        <f ca="1">IFERROR(__xludf.DUMMYFUNCTION("SUM(FILTER(J:J, H:H=""Tiền mặt"")) - SUM(FILTER(K:K, H:H=""Tiền mặt""))
"),959000)</f>
        <v>959000</v>
      </c>
      <c r="N199" s="6">
        <f ca="1">IFERROR(__xludf.DUMMYFUNCTION("SUM(FILTER(J:J, H:H=""Chuyển khoản"")) - SUM(FILTER(K:K, H:H=""Chuyển khoản""))
"),4468984)</f>
        <v>4468984</v>
      </c>
      <c r="O199" s="5"/>
      <c r="P199" s="5"/>
      <c r="Q199" s="5"/>
      <c r="R199" s="5"/>
      <c r="S199" s="5"/>
    </row>
    <row r="200" spans="1:19" ht="15.75" customHeight="1" x14ac:dyDescent="0.2">
      <c r="A200" s="3">
        <v>46174</v>
      </c>
      <c r="B200" s="4" t="str">
        <f>IF(A200="","","PC-"&amp;TEXT(A200,"mm/yyyy")&amp;"-"&amp;TEXT(COUNTIFS($A$2:A200,"&gt;="&amp;EOMONTH(A200,-1)+1,$A$2:A200,"&lt;="&amp;EOMONTH(A200,0)),"000"))</f>
        <v>PC-06/2026-199</v>
      </c>
      <c r="C200" s="5" t="s">
        <v>1402</v>
      </c>
      <c r="D200" s="5" t="s">
        <v>29</v>
      </c>
      <c r="E200" s="5" t="s">
        <v>41</v>
      </c>
      <c r="F200" s="5"/>
      <c r="G200" s="5" t="s">
        <v>82</v>
      </c>
      <c r="H200" s="5" t="s">
        <v>23</v>
      </c>
      <c r="I200" s="6">
        <v>100000</v>
      </c>
      <c r="J200" s="6">
        <f>IF(D200="Thu",I200,0)</f>
        <v>0</v>
      </c>
      <c r="K200" s="6">
        <f>IF(D200="Chi",I200,0)</f>
        <v>100000</v>
      </c>
      <c r="L200" s="6" t="e">
        <f>L199+J200-K200</f>
        <v>#VALUE!</v>
      </c>
      <c r="M200" s="6">
        <f ca="1">IFERROR(__xludf.DUMMYFUNCTION("SUM(FILTER(J:J, H:H=""Tiền mặt"")) - SUM(FILTER(K:K, H:H=""Tiền mặt""))
"),959000)</f>
        <v>959000</v>
      </c>
      <c r="N200" s="6">
        <f ca="1">IFERROR(__xludf.DUMMYFUNCTION("SUM(FILTER(J:J, H:H=""Chuyển khoản"")) - SUM(FILTER(K:K, H:H=""Chuyển khoản""))
"),4468984)</f>
        <v>4468984</v>
      </c>
      <c r="O200" s="5"/>
      <c r="P200" s="5"/>
      <c r="Q200" s="5"/>
      <c r="R200" s="5"/>
      <c r="S200" s="5"/>
    </row>
    <row r="201" spans="1:19" ht="15.75" customHeight="1" x14ac:dyDescent="0.2">
      <c r="A201" s="3">
        <v>46174</v>
      </c>
      <c r="B201" s="4" t="str">
        <f>IF(A201="","","PC-"&amp;TEXT(A201,"mm/yyyy")&amp;"-"&amp;TEXT(COUNTIFS($A$2:A201,"&gt;="&amp;EOMONTH(A201,-1)+1,$A$2:A201,"&lt;="&amp;EOMONTH(A201,0)),"000"))</f>
        <v>PC-06/2026-200</v>
      </c>
      <c r="C201" s="5" t="s">
        <v>1131</v>
      </c>
      <c r="D201" s="5" t="s">
        <v>29</v>
      </c>
      <c r="E201" s="5" t="s">
        <v>41</v>
      </c>
      <c r="F201" s="5"/>
      <c r="G201" s="5" t="s">
        <v>42</v>
      </c>
      <c r="H201" s="5" t="s">
        <v>23</v>
      </c>
      <c r="I201" s="6">
        <v>100000</v>
      </c>
      <c r="J201" s="6">
        <f>IF(D201="Thu",I201,0)</f>
        <v>0</v>
      </c>
      <c r="K201" s="6">
        <f>IF(D201="Chi",I201,0)</f>
        <v>100000</v>
      </c>
      <c r="L201" s="6" t="e">
        <f>L200+J201-K201</f>
        <v>#VALUE!</v>
      </c>
      <c r="M201" s="6">
        <f ca="1">IFERROR(__xludf.DUMMYFUNCTION("SUM(FILTER(J:J, H:H=""Tiền mặt"")) - SUM(FILTER(K:K, H:H=""Tiền mặt""))
"),959000)</f>
        <v>959000</v>
      </c>
      <c r="N201" s="6">
        <f ca="1">IFERROR(__xludf.DUMMYFUNCTION("SUM(FILTER(J:J, H:H=""Chuyển khoản"")) - SUM(FILTER(K:K, H:H=""Chuyển khoản""))
"),4468984)</f>
        <v>4468984</v>
      </c>
      <c r="O201" s="5"/>
      <c r="P201" s="5"/>
      <c r="Q201" s="5"/>
      <c r="R201" s="5"/>
      <c r="S201" s="5"/>
    </row>
    <row r="202" spans="1:19" ht="15.75" customHeight="1" x14ac:dyDescent="0.2">
      <c r="A202" s="3">
        <v>46174</v>
      </c>
      <c r="B202" s="4" t="str">
        <f>IF(A202="","","PC-"&amp;TEXT(A202,"mm/yyyy")&amp;"-"&amp;TEXT(COUNTIFS($A$2:A202,"&gt;="&amp;EOMONTH(A202,-1)+1,$A$2:A202,"&lt;="&amp;EOMONTH(A202,0)),"000"))</f>
        <v>PC-06/2026-201</v>
      </c>
      <c r="C202" s="5" t="s">
        <v>1403</v>
      </c>
      <c r="D202" s="5" t="s">
        <v>20</v>
      </c>
      <c r="E202" s="5" t="s">
        <v>21</v>
      </c>
      <c r="F202" s="5"/>
      <c r="G202" s="5" t="s">
        <v>22</v>
      </c>
      <c r="H202" s="5" t="s">
        <v>23</v>
      </c>
      <c r="I202" s="6">
        <v>10100000</v>
      </c>
      <c r="J202" s="6">
        <f>IF(D202="Thu",I202,0)</f>
        <v>10100000</v>
      </c>
      <c r="K202" s="6">
        <f>IF(D202="Chi",I202,0)</f>
        <v>0</v>
      </c>
      <c r="L202" s="6" t="e">
        <f>L201+J202-K202</f>
        <v>#VALUE!</v>
      </c>
      <c r="M202" s="6">
        <f ca="1">IFERROR(__xludf.DUMMYFUNCTION("SUM(FILTER(J:J, H:H=""Tiền mặt"")) - SUM(FILTER(K:K, H:H=""Tiền mặt""))
"),959000)</f>
        <v>959000</v>
      </c>
      <c r="N202" s="6">
        <f ca="1">IFERROR(__xludf.DUMMYFUNCTION("SUM(FILTER(J:J, H:H=""Chuyển khoản"")) - SUM(FILTER(K:K, H:H=""Chuyển khoản""))
"),4468984)</f>
        <v>4468984</v>
      </c>
      <c r="O202" s="5"/>
      <c r="P202" s="5"/>
      <c r="Q202" s="5"/>
      <c r="R202" s="5"/>
      <c r="S202" s="5"/>
    </row>
    <row r="203" spans="1:19" ht="15.75" customHeight="1" x14ac:dyDescent="0.2">
      <c r="A203" s="3">
        <v>46174</v>
      </c>
      <c r="B203" s="4" t="str">
        <f>IF(A203="","","PC-"&amp;TEXT(A203,"mm/yyyy")&amp;"-"&amp;TEXT(COUNTIFS($A$2:A203,"&gt;="&amp;EOMONTH(A203,-1)+1,$A$2:A203,"&lt;="&amp;EOMONTH(A203,0)),"000"))</f>
        <v>PC-06/2026-202</v>
      </c>
      <c r="C203" s="5" t="s">
        <v>1404</v>
      </c>
      <c r="D203" s="5" t="s">
        <v>29</v>
      </c>
      <c r="E203" s="5" t="s">
        <v>41</v>
      </c>
      <c r="F203" s="5"/>
      <c r="G203" s="5" t="s">
        <v>82</v>
      </c>
      <c r="H203" s="5" t="s">
        <v>23</v>
      </c>
      <c r="I203" s="6">
        <v>100000</v>
      </c>
      <c r="J203" s="6">
        <f>IF(D203="Thu",I203,0)</f>
        <v>0</v>
      </c>
      <c r="K203" s="6">
        <f>IF(D203="Chi",I203,0)</f>
        <v>100000</v>
      </c>
      <c r="L203" s="6" t="e">
        <f>L202+J203-K203</f>
        <v>#VALUE!</v>
      </c>
      <c r="M203" s="6">
        <f ca="1">IFERROR(__xludf.DUMMYFUNCTION("SUM(FILTER(J:J, H:H=""Tiền mặt"")) - SUM(FILTER(K:K, H:H=""Tiền mặt""))
"),959000)</f>
        <v>959000</v>
      </c>
      <c r="N203" s="6">
        <f ca="1">IFERROR(__xludf.DUMMYFUNCTION("SUM(FILTER(J:J, H:H=""Chuyển khoản"")) - SUM(FILTER(K:K, H:H=""Chuyển khoản""))
"),4468984)</f>
        <v>4468984</v>
      </c>
      <c r="O203" s="5"/>
      <c r="P203" s="5"/>
      <c r="Q203" s="5"/>
      <c r="R203" s="5"/>
      <c r="S203" s="5"/>
    </row>
    <row r="204" spans="1:19" ht="15.75" customHeight="1" x14ac:dyDescent="0.2">
      <c r="A204" s="3">
        <v>46174</v>
      </c>
      <c r="B204" s="4" t="str">
        <f>IF(A204="","","PC-"&amp;TEXT(A204,"mm/yyyy")&amp;"-"&amp;TEXT(COUNTIFS($A$2:A204,"&gt;="&amp;EOMONTH(A204,-1)+1,$A$2:A204,"&lt;="&amp;EOMONTH(A204,0)),"000"))</f>
        <v>PC-06/2026-203</v>
      </c>
      <c r="C204" s="5" t="s">
        <v>1405</v>
      </c>
      <c r="D204" s="5" t="s">
        <v>29</v>
      </c>
      <c r="E204" s="5" t="s">
        <v>71</v>
      </c>
      <c r="F204" s="5"/>
      <c r="G204" s="5" t="s">
        <v>1406</v>
      </c>
      <c r="H204" s="5" t="s">
        <v>27</v>
      </c>
      <c r="I204" s="6">
        <v>41000</v>
      </c>
      <c r="J204" s="6">
        <f>IF(D204="Thu",I204,0)</f>
        <v>0</v>
      </c>
      <c r="K204" s="6">
        <f>IF(D204="Chi",I204,0)</f>
        <v>41000</v>
      </c>
      <c r="L204" s="6" t="e">
        <f>L203+J204-K204</f>
        <v>#VALUE!</v>
      </c>
      <c r="M204" s="6">
        <f ca="1">IFERROR(__xludf.DUMMYFUNCTION("SUM(FILTER(J:J, H:H=""Tiền mặt"")) - SUM(FILTER(K:K, H:H=""Tiền mặt""))
"),959000)</f>
        <v>959000</v>
      </c>
      <c r="N204" s="6">
        <f ca="1">IFERROR(__xludf.DUMMYFUNCTION("SUM(FILTER(J:J, H:H=""Chuyển khoản"")) - SUM(FILTER(K:K, H:H=""Chuyển khoản""))
"),4468984)</f>
        <v>4468984</v>
      </c>
      <c r="O204" s="5"/>
      <c r="P204" s="5"/>
      <c r="Q204" s="5"/>
      <c r="R204" s="5"/>
      <c r="S204" s="5"/>
    </row>
    <row r="205" spans="1:19" ht="15.75" customHeight="1" x14ac:dyDescent="0.2">
      <c r="A205" s="3">
        <v>46173</v>
      </c>
      <c r="B205" s="4" t="str">
        <f>IF(A205="","","PC-"&amp;TEXT(A205,"mm/yyyy")&amp;"-"&amp;TEXT(COUNTIFS($A$2:A205,"&gt;="&amp;EOMONTH(A205,-1)+1,$A$2:A205,"&lt;="&amp;EOMONTH(A205,0)),"000"))</f>
        <v>PC-05/2026-001</v>
      </c>
      <c r="C205" s="5" t="s">
        <v>1392</v>
      </c>
      <c r="D205" s="5" t="s">
        <v>29</v>
      </c>
      <c r="E205" s="5" t="s">
        <v>141</v>
      </c>
      <c r="F205" s="5"/>
      <c r="G205" s="5" t="s">
        <v>571</v>
      </c>
      <c r="H205" s="5" t="s">
        <v>27</v>
      </c>
      <c r="I205" s="6">
        <v>1250000</v>
      </c>
      <c r="J205" s="6">
        <f>IF(D205="Thu",I205,0)</f>
        <v>0</v>
      </c>
      <c r="K205" s="6">
        <f>IF(D205="Chi",I205,0)</f>
        <v>1250000</v>
      </c>
      <c r="L205" s="6" t="e">
        <f>L204+J205-K205</f>
        <v>#VALUE!</v>
      </c>
      <c r="M205" s="6">
        <f ca="1">IFERROR(__xludf.DUMMYFUNCTION("SUM(FILTER(J:J, H:H=""Tiền mặt"")) - SUM(FILTER(K:K, H:H=""Tiền mặt""))
"),959000)</f>
        <v>959000</v>
      </c>
      <c r="N205" s="6">
        <f ca="1">IFERROR(__xludf.DUMMYFUNCTION("SUM(FILTER(J:J, H:H=""Chuyển khoản"")) - SUM(FILTER(K:K, H:H=""Chuyển khoản""))
"),4468984)</f>
        <v>4468984</v>
      </c>
      <c r="O205" s="5"/>
      <c r="P205" s="5"/>
      <c r="Q205" s="5"/>
      <c r="R205" s="5"/>
      <c r="S205" s="5"/>
    </row>
    <row r="206" spans="1:19" ht="15.75" customHeight="1" x14ac:dyDescent="0.2">
      <c r="A206" s="3">
        <v>46172</v>
      </c>
      <c r="B206" s="4" t="str">
        <f>IF(A206="","","PC-"&amp;TEXT(A206,"mm/yyyy")&amp;"-"&amp;TEXT(COUNTIFS($A$2:A206,"&gt;="&amp;EOMONTH(A206,-1)+1,$A$2:A206,"&lt;="&amp;EOMONTH(A206,0)),"000"))</f>
        <v>PC-05/2026-002</v>
      </c>
      <c r="C206" s="5" t="s">
        <v>692</v>
      </c>
      <c r="D206" s="5" t="s">
        <v>29</v>
      </c>
      <c r="E206" s="5" t="s">
        <v>41</v>
      </c>
      <c r="F206" s="5"/>
      <c r="G206" s="5" t="s">
        <v>82</v>
      </c>
      <c r="H206" s="5" t="s">
        <v>23</v>
      </c>
      <c r="I206" s="6">
        <v>100000</v>
      </c>
      <c r="J206" s="6">
        <f>IF(D206="Thu",I206,0)</f>
        <v>0</v>
      </c>
      <c r="K206" s="6">
        <f>IF(D206="Chi",I206,0)</f>
        <v>100000</v>
      </c>
      <c r="L206" s="6" t="e">
        <f>L205+J206-K206</f>
        <v>#VALUE!</v>
      </c>
      <c r="M206" s="6">
        <f ca="1">IFERROR(__xludf.DUMMYFUNCTION("SUM(FILTER(J:J, H:H=""Tiền mặt"")) - SUM(FILTER(K:K, H:H=""Tiền mặt""))
"),959000)</f>
        <v>959000</v>
      </c>
      <c r="N206" s="6">
        <f ca="1">IFERROR(__xludf.DUMMYFUNCTION("SUM(FILTER(J:J, H:H=""Chuyển khoản"")) - SUM(FILTER(K:K, H:H=""Chuyển khoản""))
"),4468984)</f>
        <v>4468984</v>
      </c>
      <c r="O206" s="5"/>
      <c r="P206" s="5"/>
      <c r="Q206" s="5"/>
      <c r="R206" s="5"/>
      <c r="S206" s="5"/>
    </row>
    <row r="207" spans="1:19" ht="15.75" customHeight="1" x14ac:dyDescent="0.2">
      <c r="A207" s="3">
        <v>46172</v>
      </c>
      <c r="B207" s="4" t="str">
        <f>IF(A207="","","PC-"&amp;TEXT(A207,"mm/yyyy")&amp;"-"&amp;TEXT(COUNTIFS($A$2:A207,"&gt;="&amp;EOMONTH(A207,-1)+1,$A$2:A207,"&lt;="&amp;EOMONTH(A207,0)),"000"))</f>
        <v>PC-05/2026-003</v>
      </c>
      <c r="C207" s="5" t="s">
        <v>559</v>
      </c>
      <c r="D207" s="5" t="s">
        <v>29</v>
      </c>
      <c r="E207" s="5" t="s">
        <v>41</v>
      </c>
      <c r="F207" s="5"/>
      <c r="G207" s="5" t="s">
        <v>560</v>
      </c>
      <c r="H207" s="5" t="s">
        <v>23</v>
      </c>
      <c r="I207" s="6">
        <v>2000000</v>
      </c>
      <c r="J207" s="6">
        <f>IF(D207="Thu",I207,0)</f>
        <v>0</v>
      </c>
      <c r="K207" s="6">
        <f>IF(D207="Chi",I207,0)</f>
        <v>2000000</v>
      </c>
      <c r="L207" s="6" t="e">
        <f>L206+J207-K207</f>
        <v>#VALUE!</v>
      </c>
      <c r="M207" s="6">
        <f ca="1">IFERROR(__xludf.DUMMYFUNCTION("SUM(FILTER(J:J, H:H=""Tiền mặt"")) - SUM(FILTER(K:K, H:H=""Tiền mặt""))
"),959000)</f>
        <v>959000</v>
      </c>
      <c r="N207" s="6">
        <f ca="1">IFERROR(__xludf.DUMMYFUNCTION("SUM(FILTER(J:J, H:H=""Chuyển khoản"")) - SUM(FILTER(K:K, H:H=""Chuyển khoản""))
"),4468984)</f>
        <v>4468984</v>
      </c>
      <c r="O207" s="5"/>
      <c r="P207" s="5"/>
      <c r="Q207" s="5"/>
      <c r="R207" s="5"/>
      <c r="S207" s="5"/>
    </row>
    <row r="208" spans="1:19" ht="15.75" customHeight="1" x14ac:dyDescent="0.2">
      <c r="A208" s="3">
        <v>46172</v>
      </c>
      <c r="B208" s="4" t="str">
        <f>IF(A208="","","PC-"&amp;TEXT(A208,"mm/yyyy")&amp;"-"&amp;TEXT(COUNTIFS($A$2:A208,"&gt;="&amp;EOMONTH(A208,-1)+1,$A$2:A208,"&lt;="&amp;EOMONTH(A208,0)),"000"))</f>
        <v>PC-05/2026-004</v>
      </c>
      <c r="C208" s="51" t="s">
        <v>1391</v>
      </c>
      <c r="D208" s="5" t="s">
        <v>29</v>
      </c>
      <c r="E208" s="5" t="s">
        <v>30</v>
      </c>
      <c r="F208" s="5"/>
      <c r="G208" s="5" t="s">
        <v>72</v>
      </c>
      <c r="H208" s="5" t="s">
        <v>27</v>
      </c>
      <c r="I208" s="6">
        <v>90000</v>
      </c>
      <c r="J208" s="6">
        <f>IF(D208="Thu",I208,0)</f>
        <v>0</v>
      </c>
      <c r="K208" s="6">
        <f>IF(D208="Chi",I208,0)</f>
        <v>90000</v>
      </c>
      <c r="L208" s="6" t="e">
        <f>L207+J208-K208</f>
        <v>#VALUE!</v>
      </c>
      <c r="M208" s="6">
        <f ca="1">IFERROR(__xludf.DUMMYFUNCTION("SUM(FILTER(J:J, H:H=""Tiền mặt"")) - SUM(FILTER(K:K, H:H=""Tiền mặt""))
"),959000)</f>
        <v>959000</v>
      </c>
      <c r="N208" s="6">
        <f ca="1">IFERROR(__xludf.DUMMYFUNCTION("SUM(FILTER(J:J, H:H=""Chuyển khoản"")) - SUM(FILTER(K:K, H:H=""Chuyển khoản""))
"),4468984)</f>
        <v>4468984</v>
      </c>
      <c r="O208" s="5"/>
      <c r="P208" s="5"/>
      <c r="Q208" s="5"/>
      <c r="R208" s="5"/>
      <c r="S208" s="5"/>
    </row>
    <row r="209" spans="1:19" ht="15.75" customHeight="1" x14ac:dyDescent="0.2">
      <c r="A209" s="3">
        <v>46172</v>
      </c>
      <c r="B209" s="4" t="str">
        <f>IF(A209="","","PC-"&amp;TEXT(A209,"mm/yyyy")&amp;"-"&amp;TEXT(COUNTIFS($A$2:A209,"&gt;="&amp;EOMONTH(A209,-1)+1,$A$2:A209,"&lt;="&amp;EOMONTH(A209,0)),"000"))</f>
        <v>PC-05/2026-005</v>
      </c>
      <c r="C209" s="5" t="s">
        <v>1207</v>
      </c>
      <c r="D209" s="5" t="s">
        <v>29</v>
      </c>
      <c r="E209" s="5" t="s">
        <v>153</v>
      </c>
      <c r="F209" s="5"/>
      <c r="G209" s="5" t="s">
        <v>72</v>
      </c>
      <c r="H209" s="5" t="s">
        <v>27</v>
      </c>
      <c r="I209" s="6">
        <v>356720</v>
      </c>
      <c r="J209" s="6">
        <f>IF(D209="Thu",I209,0)</f>
        <v>0</v>
      </c>
      <c r="K209" s="6">
        <f>IF(D209="Chi",I209,0)</f>
        <v>356720</v>
      </c>
      <c r="L209" s="6" t="e">
        <f>L208+J209-K209</f>
        <v>#VALUE!</v>
      </c>
      <c r="M209" s="6">
        <f ca="1">IFERROR(__xludf.DUMMYFUNCTION("SUM(FILTER(J:J, H:H=""Tiền mặt"")) - SUM(FILTER(K:K, H:H=""Tiền mặt""))
"),959000)</f>
        <v>959000</v>
      </c>
      <c r="N209" s="6">
        <f ca="1">IFERROR(__xludf.DUMMYFUNCTION("SUM(FILTER(J:J, H:H=""Chuyển khoản"")) - SUM(FILTER(K:K, H:H=""Chuyển khoản""))
"),4468984)</f>
        <v>4468984</v>
      </c>
      <c r="O209" s="5"/>
      <c r="P209" s="5"/>
      <c r="Q209" s="5"/>
      <c r="R209" s="5"/>
      <c r="S209" s="5"/>
    </row>
    <row r="210" spans="1:19" ht="15.75" customHeight="1" x14ac:dyDescent="0.2">
      <c r="A210" s="3">
        <v>46171</v>
      </c>
      <c r="B210" s="4" t="str">
        <f>IF(A210="","","PC-"&amp;TEXT(A210,"mm/yyyy")&amp;"-"&amp;TEXT(COUNTIFS($A$2:A210,"&gt;="&amp;EOMONTH(A210,-1)+1,$A$2:A210,"&lt;="&amp;EOMONTH(A210,0)),"000"))</f>
        <v>PC-05/2026-006</v>
      </c>
      <c r="C210" s="5" t="s">
        <v>1380</v>
      </c>
      <c r="D210" s="5" t="s">
        <v>29</v>
      </c>
      <c r="E210" s="5" t="s">
        <v>44</v>
      </c>
      <c r="F210" s="5"/>
      <c r="G210" s="5" t="s">
        <v>1381</v>
      </c>
      <c r="H210" s="5" t="s">
        <v>23</v>
      </c>
      <c r="I210" s="6">
        <v>1500000</v>
      </c>
      <c r="J210" s="6">
        <f>IF(D210="Thu",I210,0)</f>
        <v>0</v>
      </c>
      <c r="K210" s="6">
        <f>IF(D210="Chi",I210,0)</f>
        <v>1500000</v>
      </c>
      <c r="L210" s="6" t="e">
        <f>L209+J210-K210</f>
        <v>#VALUE!</v>
      </c>
      <c r="M210" s="6">
        <f ca="1">IFERROR(__xludf.DUMMYFUNCTION("SUM(FILTER(J:J, H:H=""Tiền mặt"")) - SUM(FILTER(K:K, H:H=""Tiền mặt""))
"),959000)</f>
        <v>959000</v>
      </c>
      <c r="N210" s="6">
        <f ca="1">IFERROR(__xludf.DUMMYFUNCTION("SUM(FILTER(J:J, H:H=""Chuyển khoản"")) - SUM(FILTER(K:K, H:H=""Chuyển khoản""))
"),4468984)</f>
        <v>4468984</v>
      </c>
      <c r="O210" s="5"/>
      <c r="P210" s="5"/>
      <c r="Q210" s="5"/>
      <c r="R210" s="5"/>
      <c r="S210" s="5"/>
    </row>
    <row r="211" spans="1:19" ht="15.75" customHeight="1" x14ac:dyDescent="0.2">
      <c r="A211" s="3">
        <v>46171</v>
      </c>
      <c r="B211" s="4" t="str">
        <f>IF(A211="","","PC-"&amp;TEXT(A211,"mm/yyyy")&amp;"-"&amp;TEXT(COUNTIFS($A$2:A211,"&gt;="&amp;EOMONTH(A211,-1)+1,$A$2:A211,"&lt;="&amp;EOMONTH(A211,0)),"000"))</f>
        <v>PC-05/2026-007</v>
      </c>
      <c r="C211" s="5" t="s">
        <v>375</v>
      </c>
      <c r="D211" s="5" t="s">
        <v>29</v>
      </c>
      <c r="E211" s="5" t="s">
        <v>47</v>
      </c>
      <c r="F211" s="5"/>
      <c r="G211" s="5" t="s">
        <v>48</v>
      </c>
      <c r="H211" s="5" t="s">
        <v>23</v>
      </c>
      <c r="I211" s="6">
        <v>50000</v>
      </c>
      <c r="J211" s="6">
        <f>IF(D211="Thu",I211,0)</f>
        <v>0</v>
      </c>
      <c r="K211" s="6">
        <f>IF(D211="Chi",I211,0)</f>
        <v>50000</v>
      </c>
      <c r="L211" s="6" t="e">
        <f>L210+J211-K211</f>
        <v>#VALUE!</v>
      </c>
      <c r="M211" s="6">
        <f ca="1">IFERROR(__xludf.DUMMYFUNCTION("SUM(FILTER(J:J, H:H=""Tiền mặt"")) - SUM(FILTER(K:K, H:H=""Tiền mặt""))
"),959000)</f>
        <v>959000</v>
      </c>
      <c r="N211" s="6">
        <f ca="1">IFERROR(__xludf.DUMMYFUNCTION("SUM(FILTER(J:J, H:H=""Chuyển khoản"")) - SUM(FILTER(K:K, H:H=""Chuyển khoản""))
"),4468984)</f>
        <v>4468984</v>
      </c>
      <c r="O211" s="5"/>
      <c r="P211" s="5"/>
      <c r="Q211" s="5"/>
      <c r="R211" s="5"/>
      <c r="S211" s="5"/>
    </row>
    <row r="212" spans="1:19" ht="15.75" customHeight="1" x14ac:dyDescent="0.2">
      <c r="A212" s="3">
        <v>46171</v>
      </c>
      <c r="B212" s="4" t="str">
        <f>IF(A212="","","PC-"&amp;TEXT(A212,"mm/yyyy")&amp;"-"&amp;TEXT(COUNTIFS($A$2:A212,"&gt;="&amp;EOMONTH(A212,-1)+1,$A$2:A212,"&lt;="&amp;EOMONTH(A212,0)),"000"))</f>
        <v>PC-05/2026-008</v>
      </c>
      <c r="C212" s="5" t="s">
        <v>1382</v>
      </c>
      <c r="D212" s="5" t="s">
        <v>20</v>
      </c>
      <c r="E212" s="5" t="s">
        <v>68</v>
      </c>
      <c r="F212" s="5"/>
      <c r="G212" s="5" t="s">
        <v>1383</v>
      </c>
      <c r="H212" s="5" t="s">
        <v>23</v>
      </c>
      <c r="I212" s="6">
        <v>200000</v>
      </c>
      <c r="J212" s="6">
        <f>IF(D212="Thu",I212,0)</f>
        <v>200000</v>
      </c>
      <c r="K212" s="6">
        <f>IF(D212="Chi",I212,0)</f>
        <v>0</v>
      </c>
      <c r="L212" s="6" t="e">
        <f>L211+J212-K212</f>
        <v>#VALUE!</v>
      </c>
      <c r="M212" s="6">
        <f ca="1">IFERROR(__xludf.DUMMYFUNCTION("SUM(FILTER(J:J, H:H=""Tiền mặt"")) - SUM(FILTER(K:K, H:H=""Tiền mặt""))
"),959000)</f>
        <v>959000</v>
      </c>
      <c r="N212" s="6">
        <f ca="1">IFERROR(__xludf.DUMMYFUNCTION("SUM(FILTER(J:J, H:H=""Chuyển khoản"")) - SUM(FILTER(K:K, H:H=""Chuyển khoản""))
"),4468984)</f>
        <v>4468984</v>
      </c>
      <c r="O212" s="5"/>
      <c r="P212" s="5"/>
      <c r="Q212" s="5"/>
      <c r="R212" s="5"/>
      <c r="S212" s="5"/>
    </row>
    <row r="213" spans="1:19" ht="15.75" customHeight="1" x14ac:dyDescent="0.2">
      <c r="A213" s="3">
        <v>46171</v>
      </c>
      <c r="B213" s="4" t="str">
        <f>IF(A213="","","PC-"&amp;TEXT(A213,"mm/yyyy")&amp;"-"&amp;TEXT(COUNTIFS($A$2:A213,"&gt;="&amp;EOMONTH(A213,-1)+1,$A$2:A213,"&lt;="&amp;EOMONTH(A213,0)),"000"))</f>
        <v>PC-05/2026-009</v>
      </c>
      <c r="C213" s="5" t="s">
        <v>1384</v>
      </c>
      <c r="D213" s="5" t="s">
        <v>29</v>
      </c>
      <c r="E213" s="5" t="s">
        <v>64</v>
      </c>
      <c r="F213" s="5"/>
      <c r="G213" s="5" t="s">
        <v>162</v>
      </c>
      <c r="H213" s="5" t="s">
        <v>23</v>
      </c>
      <c r="I213" s="6">
        <v>2000000</v>
      </c>
      <c r="J213" s="6">
        <f>IF(D213="Thu",I213,0)</f>
        <v>0</v>
      </c>
      <c r="K213" s="6">
        <f>IF(D213="Chi",I213,0)</f>
        <v>2000000</v>
      </c>
      <c r="L213" s="6" t="e">
        <f>L212+J213-K213</f>
        <v>#VALUE!</v>
      </c>
      <c r="M213" s="6">
        <f ca="1">IFERROR(__xludf.DUMMYFUNCTION("SUM(FILTER(J:J, H:H=""Tiền mặt"")) - SUM(FILTER(K:K, H:H=""Tiền mặt""))
"),959000)</f>
        <v>959000</v>
      </c>
      <c r="N213" s="6">
        <f ca="1">IFERROR(__xludf.DUMMYFUNCTION("SUM(FILTER(J:J, H:H=""Chuyển khoản"")) - SUM(FILTER(K:K, H:H=""Chuyển khoản""))
"),4468984)</f>
        <v>4468984</v>
      </c>
      <c r="O213" s="5"/>
      <c r="P213" s="5"/>
      <c r="Q213" s="5"/>
      <c r="R213" s="5"/>
      <c r="S213" s="5"/>
    </row>
    <row r="214" spans="1:19" ht="15.75" customHeight="1" x14ac:dyDescent="0.2">
      <c r="A214" s="3">
        <v>46171</v>
      </c>
      <c r="B214" s="4" t="str">
        <f>IF(A214="","","PC-"&amp;TEXT(A214,"mm/yyyy")&amp;"-"&amp;TEXT(COUNTIFS($A$2:A214,"&gt;="&amp;EOMONTH(A214,-1)+1,$A$2:A214,"&lt;="&amp;EOMONTH(A214,0)),"000"))</f>
        <v>PC-05/2026-010</v>
      </c>
      <c r="C214" s="5" t="s">
        <v>1385</v>
      </c>
      <c r="D214" s="5" t="s">
        <v>29</v>
      </c>
      <c r="E214" s="5" t="s">
        <v>41</v>
      </c>
      <c r="F214" s="5"/>
      <c r="G214" s="5" t="s">
        <v>82</v>
      </c>
      <c r="H214" s="5" t="s">
        <v>23</v>
      </c>
      <c r="I214" s="6">
        <v>100000</v>
      </c>
      <c r="J214" s="6">
        <f>IF(D214="Thu",I214,0)</f>
        <v>0</v>
      </c>
      <c r="K214" s="6">
        <f>IF(D214="Chi",I214,0)</f>
        <v>100000</v>
      </c>
      <c r="L214" s="6" t="e">
        <f>L213+J214-K214</f>
        <v>#VALUE!</v>
      </c>
      <c r="M214" s="6">
        <f ca="1">IFERROR(__xludf.DUMMYFUNCTION("SUM(FILTER(J:J, H:H=""Tiền mặt"")) - SUM(FILTER(K:K, H:H=""Tiền mặt""))
"),959000)</f>
        <v>959000</v>
      </c>
      <c r="N214" s="6">
        <f ca="1">IFERROR(__xludf.DUMMYFUNCTION("SUM(FILTER(J:J, H:H=""Chuyển khoản"")) - SUM(FILTER(K:K, H:H=""Chuyển khoản""))
"),4468984)</f>
        <v>4468984</v>
      </c>
      <c r="O214" s="5"/>
      <c r="P214" s="5"/>
      <c r="Q214" s="5"/>
      <c r="R214" s="5"/>
      <c r="S214" s="5"/>
    </row>
    <row r="215" spans="1:19" ht="15.75" customHeight="1" x14ac:dyDescent="0.2">
      <c r="A215" s="3">
        <v>46171</v>
      </c>
      <c r="B215" s="4" t="str">
        <f>IF(A215="","","PC-"&amp;TEXT(A215,"mm/yyyy")&amp;"-"&amp;TEXT(COUNTIFS($A$2:A215,"&gt;="&amp;EOMONTH(A215,-1)+1,$A$2:A215,"&lt;="&amp;EOMONTH(A215,0)),"000"))</f>
        <v>PC-05/2026-011</v>
      </c>
      <c r="C215" s="5" t="s">
        <v>1386</v>
      </c>
      <c r="D215" s="5" t="s">
        <v>29</v>
      </c>
      <c r="E215" s="5" t="s">
        <v>44</v>
      </c>
      <c r="F215" s="5"/>
      <c r="G215" s="5" t="s">
        <v>103</v>
      </c>
      <c r="H215" s="5" t="s">
        <v>23</v>
      </c>
      <c r="I215" s="6">
        <v>1500000</v>
      </c>
      <c r="J215" s="6">
        <f>IF(D215="Thu",I215,0)</f>
        <v>0</v>
      </c>
      <c r="K215" s="6">
        <f>IF(D215="Chi",I215,0)</f>
        <v>1500000</v>
      </c>
      <c r="L215" s="6" t="e">
        <f>L214+J215-K215</f>
        <v>#VALUE!</v>
      </c>
      <c r="M215" s="6">
        <f ca="1">IFERROR(__xludf.DUMMYFUNCTION("SUM(FILTER(J:J, H:H=""Tiền mặt"")) - SUM(FILTER(K:K, H:H=""Tiền mặt""))
"),959000)</f>
        <v>959000</v>
      </c>
      <c r="N215" s="6">
        <f ca="1">IFERROR(__xludf.DUMMYFUNCTION("SUM(FILTER(J:J, H:H=""Chuyển khoản"")) - SUM(FILTER(K:K, H:H=""Chuyển khoản""))
"),4468984)</f>
        <v>4468984</v>
      </c>
      <c r="O215" s="5"/>
      <c r="P215" s="5"/>
      <c r="Q215" s="5"/>
      <c r="R215" s="5"/>
      <c r="S215" s="5"/>
    </row>
    <row r="216" spans="1:19" ht="15.75" customHeight="1" x14ac:dyDescent="0.2">
      <c r="A216" s="3">
        <v>46171</v>
      </c>
      <c r="B216" s="4" t="str">
        <f>IF(A216="","","PC-"&amp;TEXT(A216,"mm/yyyy")&amp;"-"&amp;TEXT(COUNTIFS($A$2:A216,"&gt;="&amp;EOMONTH(A216,-1)+1,$A$2:A216,"&lt;="&amp;EOMONTH(A216,0)),"000"))</f>
        <v>PC-05/2026-012</v>
      </c>
      <c r="C216" s="5" t="s">
        <v>1387</v>
      </c>
      <c r="D216" s="5" t="s">
        <v>29</v>
      </c>
      <c r="E216" s="5" t="s">
        <v>47</v>
      </c>
      <c r="F216" s="5"/>
      <c r="G216" s="5" t="s">
        <v>48</v>
      </c>
      <c r="H216" s="5" t="s">
        <v>23</v>
      </c>
      <c r="I216" s="6">
        <v>50000</v>
      </c>
      <c r="J216" s="6">
        <f>IF(D216="Thu",I216,0)</f>
        <v>0</v>
      </c>
      <c r="K216" s="6">
        <f>IF(D216="Chi",I216,0)</f>
        <v>50000</v>
      </c>
      <c r="L216" s="6" t="e">
        <f>L215+J216-K216</f>
        <v>#VALUE!</v>
      </c>
      <c r="M216" s="6">
        <f ca="1">IFERROR(__xludf.DUMMYFUNCTION("SUM(FILTER(J:J, H:H=""Tiền mặt"")) - SUM(FILTER(K:K, H:H=""Tiền mặt""))
"),959000)</f>
        <v>959000</v>
      </c>
      <c r="N216" s="6">
        <f ca="1">IFERROR(__xludf.DUMMYFUNCTION("SUM(FILTER(J:J, H:H=""Chuyển khoản"")) - SUM(FILTER(K:K, H:H=""Chuyển khoản""))
"),4468984)</f>
        <v>4468984</v>
      </c>
      <c r="O216" s="5"/>
      <c r="P216" s="5"/>
      <c r="Q216" s="5"/>
      <c r="R216" s="5"/>
      <c r="S216" s="5"/>
    </row>
    <row r="217" spans="1:19" ht="15.75" customHeight="1" x14ac:dyDescent="0.2">
      <c r="A217" s="3">
        <v>46171</v>
      </c>
      <c r="B217" s="4" t="str">
        <f>IF(A217="","","PC-"&amp;TEXT(A217,"mm/yyyy")&amp;"-"&amp;TEXT(COUNTIFS($A$2:A217,"&gt;="&amp;EOMONTH(A217,-1)+1,$A$2:A217,"&lt;="&amp;EOMONTH(A217,0)),"000"))</f>
        <v>PC-05/2026-013</v>
      </c>
      <c r="C217" s="5" t="s">
        <v>1388</v>
      </c>
      <c r="D217" s="5" t="s">
        <v>29</v>
      </c>
      <c r="E217" s="5" t="s">
        <v>64</v>
      </c>
      <c r="F217" s="5"/>
      <c r="G217" s="5" t="s">
        <v>162</v>
      </c>
      <c r="H217" s="5" t="s">
        <v>23</v>
      </c>
      <c r="I217" s="6">
        <v>2000000</v>
      </c>
      <c r="J217" s="6">
        <f>IF(D217="Thu",I217,0)</f>
        <v>0</v>
      </c>
      <c r="K217" s="6">
        <f>IF(D217="Chi",I217,0)</f>
        <v>2000000</v>
      </c>
      <c r="L217" s="6" t="e">
        <f>L216+J217-K217</f>
        <v>#VALUE!</v>
      </c>
      <c r="M217" s="6">
        <f ca="1">IFERROR(__xludf.DUMMYFUNCTION("SUM(FILTER(J:J, H:H=""Tiền mặt"")) - SUM(FILTER(K:K, H:H=""Tiền mặt""))
"),959000)</f>
        <v>959000</v>
      </c>
      <c r="N217" s="6">
        <f ca="1">IFERROR(__xludf.DUMMYFUNCTION("SUM(FILTER(J:J, H:H=""Chuyển khoản"")) - SUM(FILTER(K:K, H:H=""Chuyển khoản""))
"),4468984)</f>
        <v>4468984</v>
      </c>
      <c r="O217" s="5"/>
      <c r="P217" s="5"/>
      <c r="Q217" s="5"/>
      <c r="R217" s="5"/>
      <c r="S217" s="5"/>
    </row>
    <row r="218" spans="1:19" ht="15.75" customHeight="1" x14ac:dyDescent="0.2">
      <c r="A218" s="3">
        <v>46171</v>
      </c>
      <c r="B218" s="4" t="str">
        <f>IF(A218="","","PC-"&amp;TEXT(A218,"mm/yyyy")&amp;"-"&amp;TEXT(COUNTIFS($A$2:A218,"&gt;="&amp;EOMONTH(A218,-1)+1,$A$2:A218,"&lt;="&amp;EOMONTH(A218,0)),"000"))</f>
        <v>PC-05/2026-014</v>
      </c>
      <c r="C218" s="5" t="s">
        <v>1389</v>
      </c>
      <c r="D218" s="5" t="s">
        <v>29</v>
      </c>
      <c r="E218" s="5" t="s">
        <v>41</v>
      </c>
      <c r="F218" s="5"/>
      <c r="G218" s="5" t="s">
        <v>82</v>
      </c>
      <c r="H218" s="5" t="s">
        <v>23</v>
      </c>
      <c r="I218" s="6">
        <v>100000</v>
      </c>
      <c r="J218" s="6">
        <f>IF(D218="Thu",I218,0)</f>
        <v>0</v>
      </c>
      <c r="K218" s="6">
        <f>IF(D218="Chi",I218,0)</f>
        <v>100000</v>
      </c>
      <c r="L218" s="6" t="e">
        <f>L217+J218-K218</f>
        <v>#VALUE!</v>
      </c>
      <c r="M218" s="6">
        <f ca="1">IFERROR(__xludf.DUMMYFUNCTION("SUM(FILTER(J:J, H:H=""Tiền mặt"")) - SUM(FILTER(K:K, H:H=""Tiền mặt""))
"),959000)</f>
        <v>959000</v>
      </c>
      <c r="N218" s="6">
        <f ca="1">IFERROR(__xludf.DUMMYFUNCTION("SUM(FILTER(J:J, H:H=""Chuyển khoản"")) - SUM(FILTER(K:K, H:H=""Chuyển khoản""))
"),4468984)</f>
        <v>4468984</v>
      </c>
      <c r="O218" s="5"/>
      <c r="P218" s="5"/>
      <c r="Q218" s="5"/>
      <c r="R218" s="5"/>
      <c r="S218" s="5"/>
    </row>
    <row r="219" spans="1:19" ht="15.75" customHeight="1" x14ac:dyDescent="0.2">
      <c r="A219" s="3">
        <v>46171</v>
      </c>
      <c r="B219" s="4" t="str">
        <f>IF(A219="","","PC-"&amp;TEXT(A219,"mm/yyyy")&amp;"-"&amp;TEXT(COUNTIFS($A$2:A219,"&gt;="&amp;EOMONTH(A219,-1)+1,$A$2:A219,"&lt;="&amp;EOMONTH(A219,0)),"000"))</f>
        <v>PC-05/2026-015</v>
      </c>
      <c r="C219" s="7" t="s">
        <v>1390</v>
      </c>
      <c r="D219" s="5" t="s">
        <v>29</v>
      </c>
      <c r="E219" s="5" t="s">
        <v>71</v>
      </c>
      <c r="F219" s="5"/>
      <c r="G219" s="5" t="s">
        <v>219</v>
      </c>
      <c r="H219" s="5" t="s">
        <v>23</v>
      </c>
      <c r="I219" s="6">
        <v>100000</v>
      </c>
      <c r="J219" s="6">
        <f>IF(D219="Thu",I219,0)</f>
        <v>0</v>
      </c>
      <c r="K219" s="6">
        <f>IF(D219="Chi",I219,0)</f>
        <v>100000</v>
      </c>
      <c r="L219" s="6" t="e">
        <f>L218+J219-K219</f>
        <v>#VALUE!</v>
      </c>
      <c r="M219" s="6">
        <f ca="1">IFERROR(__xludf.DUMMYFUNCTION("SUM(FILTER(J:J, H:H=""Tiền mặt"")) - SUM(FILTER(K:K, H:H=""Tiền mặt""))
"),959000)</f>
        <v>959000</v>
      </c>
      <c r="N219" s="6">
        <f ca="1">IFERROR(__xludf.DUMMYFUNCTION("SUM(FILTER(J:J, H:H=""Chuyển khoản"")) - SUM(FILTER(K:K, H:H=""Chuyển khoản""))
"),4468984)</f>
        <v>4468984</v>
      </c>
      <c r="O219" s="5"/>
      <c r="P219" s="5"/>
      <c r="Q219" s="5"/>
      <c r="R219" s="5"/>
      <c r="S219" s="5"/>
    </row>
    <row r="220" spans="1:19" ht="15.75" customHeight="1" x14ac:dyDescent="0.2">
      <c r="A220" s="3">
        <v>46170</v>
      </c>
      <c r="B220" s="4" t="str">
        <f>IF(A220="","","PC-"&amp;TEXT(A220,"mm/yyyy")&amp;"-"&amp;TEXT(COUNTIFS($A$2:A220,"&gt;="&amp;EOMONTH(A220,-1)+1,$A$2:A220,"&lt;="&amp;EOMONTH(A220,0)),"000"))</f>
        <v>PC-05/2026-016</v>
      </c>
      <c r="C220" s="5" t="s">
        <v>551</v>
      </c>
      <c r="D220" s="5" t="s">
        <v>29</v>
      </c>
      <c r="E220" s="5" t="s">
        <v>36</v>
      </c>
      <c r="F220" s="5"/>
      <c r="G220" s="5" t="s">
        <v>37</v>
      </c>
      <c r="H220" s="5" t="s">
        <v>23</v>
      </c>
      <c r="I220" s="6">
        <v>52000</v>
      </c>
      <c r="J220" s="6">
        <f>IF(D220="Thu",I220,0)</f>
        <v>0</v>
      </c>
      <c r="K220" s="6">
        <f>IF(D220="Chi",I220,0)</f>
        <v>52000</v>
      </c>
      <c r="L220" s="6" t="e">
        <f>L219+J220-K220</f>
        <v>#VALUE!</v>
      </c>
      <c r="M220" s="6">
        <f ca="1">IFERROR(__xludf.DUMMYFUNCTION("SUM(FILTER(J:J, H:H=""Tiền mặt"")) - SUM(FILTER(K:K, H:H=""Tiền mặt""))
"),959000)</f>
        <v>959000</v>
      </c>
      <c r="N220" s="6">
        <f ca="1">IFERROR(__xludf.DUMMYFUNCTION("SUM(FILTER(J:J, H:H=""Chuyển khoản"")) - SUM(FILTER(K:K, H:H=""Chuyển khoản""))
"),4468984)</f>
        <v>4468984</v>
      </c>
      <c r="O220" s="5"/>
      <c r="P220" s="5"/>
      <c r="Q220" s="5"/>
      <c r="R220" s="5"/>
      <c r="S220" s="5"/>
    </row>
    <row r="221" spans="1:19" ht="15.75" customHeight="1" x14ac:dyDescent="0.2">
      <c r="A221" s="3">
        <v>46170</v>
      </c>
      <c r="B221" s="4" t="str">
        <f>IF(A221="","","PC-"&amp;TEXT(A221,"mm/yyyy")&amp;"-"&amp;TEXT(COUNTIFS($A$2:A221,"&gt;="&amp;EOMONTH(A221,-1)+1,$A$2:A221,"&lt;="&amp;EOMONTH(A221,0)),"000"))</f>
        <v>PC-05/2026-017</v>
      </c>
      <c r="C221" s="5" t="s">
        <v>1371</v>
      </c>
      <c r="D221" s="5" t="s">
        <v>29</v>
      </c>
      <c r="E221" s="5" t="s">
        <v>71</v>
      </c>
      <c r="F221" s="5"/>
      <c r="G221" s="5" t="s">
        <v>1372</v>
      </c>
      <c r="H221" s="5" t="s">
        <v>27</v>
      </c>
      <c r="I221" s="6">
        <v>67000</v>
      </c>
      <c r="J221" s="6">
        <f>IF(D221="Thu",I221,0)</f>
        <v>0</v>
      </c>
      <c r="K221" s="6">
        <f>IF(D221="Chi",I221,0)</f>
        <v>67000</v>
      </c>
      <c r="L221" s="6" t="e">
        <f>L220+J221-K221</f>
        <v>#VALUE!</v>
      </c>
      <c r="M221" s="6">
        <f ca="1">IFERROR(__xludf.DUMMYFUNCTION("SUM(FILTER(J:J, H:H=""Tiền mặt"")) - SUM(FILTER(K:K, H:H=""Tiền mặt""))
"),959000)</f>
        <v>959000</v>
      </c>
      <c r="N221" s="6">
        <f ca="1">IFERROR(__xludf.DUMMYFUNCTION("SUM(FILTER(J:J, H:H=""Chuyển khoản"")) - SUM(FILTER(K:K, H:H=""Chuyển khoản""))
"),4468984)</f>
        <v>4468984</v>
      </c>
      <c r="O221" s="5"/>
      <c r="P221" s="5"/>
      <c r="Q221" s="5"/>
      <c r="R221" s="5"/>
      <c r="S221" s="5"/>
    </row>
    <row r="222" spans="1:19" ht="15.75" customHeight="1" x14ac:dyDescent="0.2">
      <c r="A222" s="3">
        <v>46170</v>
      </c>
      <c r="B222" s="4" t="str">
        <f>IF(A222="","","PC-"&amp;TEXT(A222,"mm/yyyy")&amp;"-"&amp;TEXT(COUNTIFS($A$2:A222,"&gt;="&amp;EOMONTH(A222,-1)+1,$A$2:A222,"&lt;="&amp;EOMONTH(A222,0)),"000"))</f>
        <v>PC-05/2026-018</v>
      </c>
      <c r="C222" s="5" t="s">
        <v>1373</v>
      </c>
      <c r="D222" s="5" t="s">
        <v>29</v>
      </c>
      <c r="E222" s="5" t="s">
        <v>61</v>
      </c>
      <c r="F222" s="5"/>
      <c r="G222" s="5" t="s">
        <v>52</v>
      </c>
      <c r="H222" s="5" t="s">
        <v>27</v>
      </c>
      <c r="I222" s="6">
        <v>200000</v>
      </c>
      <c r="J222" s="6">
        <f>IF(D222="Thu",I222,0)</f>
        <v>0</v>
      </c>
      <c r="K222" s="6">
        <f>IF(D222="Chi",I222,0)</f>
        <v>200000</v>
      </c>
      <c r="L222" s="6" t="e">
        <f>L221+J222-K222</f>
        <v>#VALUE!</v>
      </c>
      <c r="M222" s="6">
        <f ca="1">IFERROR(__xludf.DUMMYFUNCTION("SUM(FILTER(J:J, H:H=""Tiền mặt"")) - SUM(FILTER(K:K, H:H=""Tiền mặt""))
"),959000)</f>
        <v>959000</v>
      </c>
      <c r="N222" s="6">
        <f ca="1">IFERROR(__xludf.DUMMYFUNCTION("SUM(FILTER(J:J, H:H=""Chuyển khoản"")) - SUM(FILTER(K:K, H:H=""Chuyển khoản""))
"),4468984)</f>
        <v>4468984</v>
      </c>
      <c r="O222" s="5"/>
      <c r="P222" s="5"/>
      <c r="Q222" s="5"/>
      <c r="R222" s="5"/>
      <c r="S222" s="5"/>
    </row>
    <row r="223" spans="1:19" ht="15.75" customHeight="1" x14ac:dyDescent="0.2">
      <c r="A223" s="3">
        <v>46170</v>
      </c>
      <c r="B223" s="4" t="str">
        <f>IF(A223="","","PC-"&amp;TEXT(A223,"mm/yyyy")&amp;"-"&amp;TEXT(COUNTIFS($A$2:A223,"&gt;="&amp;EOMONTH(A223,-1)+1,$A$2:A223,"&lt;="&amp;EOMONTH(A223,0)),"000"))</f>
        <v>PC-05/2026-019</v>
      </c>
      <c r="C223" s="5" t="s">
        <v>1374</v>
      </c>
      <c r="D223" s="5" t="s">
        <v>29</v>
      </c>
      <c r="E223" s="5" t="s">
        <v>51</v>
      </c>
      <c r="F223" s="5"/>
      <c r="G223" s="5" t="s">
        <v>52</v>
      </c>
      <c r="H223" s="5" t="s">
        <v>27</v>
      </c>
      <c r="I223" s="6">
        <v>196519</v>
      </c>
      <c r="J223" s="6">
        <f>IF(D223="Thu",I223,0)</f>
        <v>0</v>
      </c>
      <c r="K223" s="6">
        <f>IF(D223="Chi",I223,0)</f>
        <v>196519</v>
      </c>
      <c r="L223" s="6" t="e">
        <f>L222+J223-K223</f>
        <v>#VALUE!</v>
      </c>
      <c r="M223" s="6">
        <f ca="1">IFERROR(__xludf.DUMMYFUNCTION("SUM(FILTER(J:J, H:H=""Tiền mặt"")) - SUM(FILTER(K:K, H:H=""Tiền mặt""))
"),959000)</f>
        <v>959000</v>
      </c>
      <c r="N223" s="6">
        <f ca="1">IFERROR(__xludf.DUMMYFUNCTION("SUM(FILTER(J:J, H:H=""Chuyển khoản"")) - SUM(FILTER(K:K, H:H=""Chuyển khoản""))
"),4468984)</f>
        <v>4468984</v>
      </c>
      <c r="O223" s="5"/>
      <c r="P223" s="5"/>
      <c r="Q223" s="5"/>
      <c r="R223" s="5"/>
      <c r="S223" s="5"/>
    </row>
    <row r="224" spans="1:19" ht="15.75" customHeight="1" x14ac:dyDescent="0.2">
      <c r="A224" s="3">
        <v>46170</v>
      </c>
      <c r="B224" s="4" t="str">
        <f>IF(A224="","","PC-"&amp;TEXT(A224,"mm/yyyy")&amp;"-"&amp;TEXT(COUNTIFS($A$2:A224,"&gt;="&amp;EOMONTH(A224,-1)+1,$A$2:A224,"&lt;="&amp;EOMONTH(A224,0)),"000"))</f>
        <v>PC-05/2026-020</v>
      </c>
      <c r="C224" s="5" t="s">
        <v>1375</v>
      </c>
      <c r="D224" s="5" t="s">
        <v>29</v>
      </c>
      <c r="E224" s="5" t="s">
        <v>51</v>
      </c>
      <c r="F224" s="5"/>
      <c r="G224" s="5" t="s">
        <v>52</v>
      </c>
      <c r="H224" s="5" t="s">
        <v>27</v>
      </c>
      <c r="I224" s="6">
        <v>60500</v>
      </c>
      <c r="J224" s="6">
        <f>IF(D224="Thu",I224,0)</f>
        <v>0</v>
      </c>
      <c r="K224" s="6">
        <f>IF(D224="Chi",I224,0)</f>
        <v>60500</v>
      </c>
      <c r="L224" s="6" t="e">
        <f>L223+J224-K224</f>
        <v>#VALUE!</v>
      </c>
      <c r="M224" s="6">
        <f ca="1">IFERROR(__xludf.DUMMYFUNCTION("SUM(FILTER(J:J, H:H=""Tiền mặt"")) - SUM(FILTER(K:K, H:H=""Tiền mặt""))
"),959000)</f>
        <v>959000</v>
      </c>
      <c r="N224" s="6">
        <f ca="1">IFERROR(__xludf.DUMMYFUNCTION("SUM(FILTER(J:J, H:H=""Chuyển khoản"")) - SUM(FILTER(K:K, H:H=""Chuyển khoản""))
"),4468984)</f>
        <v>4468984</v>
      </c>
      <c r="O224" s="5"/>
      <c r="P224" s="5"/>
      <c r="Q224" s="5"/>
      <c r="R224" s="5"/>
      <c r="S224" s="5"/>
    </row>
    <row r="225" spans="1:19" ht="15.75" customHeight="1" x14ac:dyDescent="0.2">
      <c r="A225" s="3">
        <v>46170</v>
      </c>
      <c r="B225" s="4" t="str">
        <f>IF(A225="","","PC-"&amp;TEXT(A225,"mm/yyyy")&amp;"-"&amp;TEXT(COUNTIFS($A$2:A225,"&gt;="&amp;EOMONTH(A225,-1)+1,$A$2:A225,"&lt;="&amp;EOMONTH(A225,0)),"000"))</f>
        <v>PC-05/2026-021</v>
      </c>
      <c r="C225" s="5" t="s">
        <v>1376</v>
      </c>
      <c r="D225" s="5" t="s">
        <v>29</v>
      </c>
      <c r="E225" s="5" t="s">
        <v>71</v>
      </c>
      <c r="F225" s="5"/>
      <c r="G225" s="5" t="s">
        <v>835</v>
      </c>
      <c r="H225" s="5" t="s">
        <v>27</v>
      </c>
      <c r="I225" s="6">
        <v>73000</v>
      </c>
      <c r="J225" s="6">
        <f>IF(D225="Thu",I225,0)</f>
        <v>0</v>
      </c>
      <c r="K225" s="6">
        <f>IF(D225="Chi",I225,0)</f>
        <v>73000</v>
      </c>
      <c r="L225" s="6" t="e">
        <f>L224+J225-K225</f>
        <v>#VALUE!</v>
      </c>
      <c r="M225" s="6">
        <f ca="1">IFERROR(__xludf.DUMMYFUNCTION("SUM(FILTER(J:J, H:H=""Tiền mặt"")) - SUM(FILTER(K:K, H:H=""Tiền mặt""))
"),959000)</f>
        <v>959000</v>
      </c>
      <c r="N225" s="6">
        <f ca="1">IFERROR(__xludf.DUMMYFUNCTION("SUM(FILTER(J:J, H:H=""Chuyển khoản"")) - SUM(FILTER(K:K, H:H=""Chuyển khoản""))
"),4468984)</f>
        <v>4468984</v>
      </c>
      <c r="O225" s="5"/>
      <c r="P225" s="5"/>
      <c r="Q225" s="5"/>
      <c r="R225" s="5"/>
      <c r="S225" s="5"/>
    </row>
    <row r="226" spans="1:19" ht="15.75" customHeight="1" x14ac:dyDescent="0.2">
      <c r="A226" s="3">
        <v>46170</v>
      </c>
      <c r="B226" s="4" t="str">
        <f>IF(A226="","","PC-"&amp;TEXT(A226,"mm/yyyy")&amp;"-"&amp;TEXT(COUNTIFS($A$2:A226,"&gt;="&amp;EOMONTH(A226,-1)+1,$A$2:A226,"&lt;="&amp;EOMONTH(A226,0)),"000"))</f>
        <v>PC-05/2026-022</v>
      </c>
      <c r="C226" s="5" t="s">
        <v>1377</v>
      </c>
      <c r="D226" s="5" t="s">
        <v>29</v>
      </c>
      <c r="E226" s="5" t="s">
        <v>47</v>
      </c>
      <c r="F226" s="5"/>
      <c r="G226" s="5" t="s">
        <v>48</v>
      </c>
      <c r="H226" s="5" t="s">
        <v>23</v>
      </c>
      <c r="I226" s="6">
        <v>50000</v>
      </c>
      <c r="J226" s="6">
        <f>IF(D226="Thu",I226,0)</f>
        <v>0</v>
      </c>
      <c r="K226" s="6">
        <f>IF(D226="Chi",I226,0)</f>
        <v>50000</v>
      </c>
      <c r="L226" s="6" t="e">
        <f>L225+J226-K226</f>
        <v>#VALUE!</v>
      </c>
      <c r="M226" s="6">
        <f ca="1">IFERROR(__xludf.DUMMYFUNCTION("SUM(FILTER(J:J, H:H=""Tiền mặt"")) - SUM(FILTER(K:K, H:H=""Tiền mặt""))
"),959000)</f>
        <v>959000</v>
      </c>
      <c r="N226" s="6">
        <f ca="1">IFERROR(__xludf.DUMMYFUNCTION("SUM(FILTER(J:J, H:H=""Chuyển khoản"")) - SUM(FILTER(K:K, H:H=""Chuyển khoản""))
"),4468984)</f>
        <v>4468984</v>
      </c>
      <c r="O226" s="5"/>
      <c r="P226" s="5"/>
      <c r="Q226" s="5"/>
      <c r="R226" s="5"/>
      <c r="S226" s="5"/>
    </row>
    <row r="227" spans="1:19" ht="15.75" customHeight="1" x14ac:dyDescent="0.2">
      <c r="A227" s="3">
        <v>46170</v>
      </c>
      <c r="B227" s="4" t="str">
        <f>IF(A227="","","PC-"&amp;TEXT(A227,"mm/yyyy")&amp;"-"&amp;TEXT(COUNTIFS($A$2:A227,"&gt;="&amp;EOMONTH(A227,-1)+1,$A$2:A227,"&lt;="&amp;EOMONTH(A227,0)),"000"))</f>
        <v>PC-05/2026-023</v>
      </c>
      <c r="C227" s="5" t="s">
        <v>1378</v>
      </c>
      <c r="D227" s="5" t="s">
        <v>29</v>
      </c>
      <c r="E227" s="5" t="s">
        <v>41</v>
      </c>
      <c r="F227" s="5"/>
      <c r="G227" s="5" t="s">
        <v>211</v>
      </c>
      <c r="H227" s="5" t="s">
        <v>23</v>
      </c>
      <c r="I227" s="6">
        <v>100000</v>
      </c>
      <c r="J227" s="6">
        <f>IF(D227="Thu",I227,0)</f>
        <v>0</v>
      </c>
      <c r="K227" s="6">
        <f>IF(D227="Chi",I227,0)</f>
        <v>100000</v>
      </c>
      <c r="L227" s="6" t="e">
        <f>L226+J227-K227</f>
        <v>#VALUE!</v>
      </c>
      <c r="M227" s="6">
        <f ca="1">IFERROR(__xludf.DUMMYFUNCTION("SUM(FILTER(J:J, H:H=""Tiền mặt"")) - SUM(FILTER(K:K, H:H=""Tiền mặt""))
"),959000)</f>
        <v>959000</v>
      </c>
      <c r="N227" s="6">
        <f ca="1">IFERROR(__xludf.DUMMYFUNCTION("SUM(FILTER(J:J, H:H=""Chuyển khoản"")) - SUM(FILTER(K:K, H:H=""Chuyển khoản""))
"),4468984)</f>
        <v>4468984</v>
      </c>
      <c r="O227" s="5"/>
      <c r="P227" s="5"/>
      <c r="Q227" s="5"/>
      <c r="R227" s="5"/>
      <c r="S227" s="5"/>
    </row>
    <row r="228" spans="1:19" ht="15.75" customHeight="1" x14ac:dyDescent="0.2">
      <c r="A228" s="3">
        <v>46170</v>
      </c>
      <c r="B228" s="4" t="str">
        <f>IF(A228="","","PC-"&amp;TEXT(A228,"mm/yyyy")&amp;"-"&amp;TEXT(COUNTIFS($A$2:A228,"&gt;="&amp;EOMONTH(A228,-1)+1,$A$2:A228,"&lt;="&amp;EOMONTH(A228,0)),"000"))</f>
        <v>PC-05/2026-024</v>
      </c>
      <c r="C228" s="5" t="s">
        <v>1379</v>
      </c>
      <c r="D228" s="5" t="s">
        <v>29</v>
      </c>
      <c r="E228" s="5" t="s">
        <v>41</v>
      </c>
      <c r="F228" s="5"/>
      <c r="G228" s="5" t="s">
        <v>82</v>
      </c>
      <c r="H228" s="5" t="s">
        <v>23</v>
      </c>
      <c r="I228" s="6">
        <v>100000</v>
      </c>
      <c r="J228" s="6">
        <f>IF(D228="Thu",I228,0)</f>
        <v>0</v>
      </c>
      <c r="K228" s="6">
        <f>IF(D228="Chi",I228,0)</f>
        <v>100000</v>
      </c>
      <c r="L228" s="6" t="e">
        <f>L227+J228-K228</f>
        <v>#VALUE!</v>
      </c>
      <c r="M228" s="6">
        <f ca="1">IFERROR(__xludf.DUMMYFUNCTION("SUM(FILTER(J:J, H:H=""Tiền mặt"")) - SUM(FILTER(K:K, H:H=""Tiền mặt""))
"),959000)</f>
        <v>959000</v>
      </c>
      <c r="N228" s="6">
        <f ca="1">IFERROR(__xludf.DUMMYFUNCTION("SUM(FILTER(J:J, H:H=""Chuyển khoản"")) - SUM(FILTER(K:K, H:H=""Chuyển khoản""))
"),4468984)</f>
        <v>4468984</v>
      </c>
      <c r="O228" s="5"/>
      <c r="P228" s="5"/>
      <c r="Q228" s="5"/>
      <c r="R228" s="5"/>
      <c r="S228" s="5"/>
    </row>
    <row r="229" spans="1:19" ht="15.75" customHeight="1" x14ac:dyDescent="0.2">
      <c r="A229" s="3">
        <v>46169</v>
      </c>
      <c r="B229" s="4" t="str">
        <f>IF(A229="","","PC-"&amp;TEXT(A229,"mm/yyyy")&amp;"-"&amp;TEXT(COUNTIFS($A$2:A229,"&gt;="&amp;EOMONTH(A229,-1)+1,$A$2:A229,"&lt;="&amp;EOMONTH(A229,0)),"000"))</f>
        <v>PC-05/2026-025</v>
      </c>
      <c r="C229" s="5" t="s">
        <v>1360</v>
      </c>
      <c r="D229" s="5" t="s">
        <v>29</v>
      </c>
      <c r="E229" s="5" t="s">
        <v>141</v>
      </c>
      <c r="F229" s="5"/>
      <c r="G229" s="5" t="s">
        <v>1361</v>
      </c>
      <c r="H229" s="5" t="s">
        <v>27</v>
      </c>
      <c r="I229" s="6">
        <v>1663000</v>
      </c>
      <c r="J229" s="6">
        <f>IF(D229="Thu",I229,0)</f>
        <v>0</v>
      </c>
      <c r="K229" s="6">
        <f>IF(D229="Chi",I229,0)</f>
        <v>1663000</v>
      </c>
      <c r="L229" s="6" t="e">
        <f>L228+J229-K229</f>
        <v>#VALUE!</v>
      </c>
      <c r="M229" s="6">
        <f ca="1">IFERROR(__xludf.DUMMYFUNCTION("SUM(FILTER(J:J, H:H=""Tiền mặt"")) - SUM(FILTER(K:K, H:H=""Tiền mặt""))
"),959000)</f>
        <v>959000</v>
      </c>
      <c r="N229" s="6">
        <f ca="1">IFERROR(__xludf.DUMMYFUNCTION("SUM(FILTER(J:J, H:H=""Chuyển khoản"")) - SUM(FILTER(K:K, H:H=""Chuyển khoản""))
"),4468984)</f>
        <v>4468984</v>
      </c>
      <c r="O229" s="5"/>
      <c r="P229" s="5"/>
      <c r="Q229" s="5"/>
      <c r="R229" s="5"/>
      <c r="S229" s="5"/>
    </row>
    <row r="230" spans="1:19" ht="15.75" customHeight="1" x14ac:dyDescent="0.2">
      <c r="A230" s="3">
        <v>46169</v>
      </c>
      <c r="B230" s="4" t="str">
        <f>IF(A230="","","PC-"&amp;TEXT(A230,"mm/yyyy")&amp;"-"&amp;TEXT(COUNTIFS($A$2:A230,"&gt;="&amp;EOMONTH(A230,-1)+1,$A$2:A230,"&lt;="&amp;EOMONTH(A230,0)),"000"))</f>
        <v>PC-05/2026-026</v>
      </c>
      <c r="C230" s="7" t="s">
        <v>1362</v>
      </c>
      <c r="D230" s="5" t="s">
        <v>29</v>
      </c>
      <c r="E230" s="5" t="s">
        <v>41</v>
      </c>
      <c r="F230" s="5"/>
      <c r="G230" s="5" t="s">
        <v>82</v>
      </c>
      <c r="H230" s="5" t="s">
        <v>23</v>
      </c>
      <c r="I230" s="6">
        <v>100000</v>
      </c>
      <c r="J230" s="6">
        <f>IF(D230="Thu",I230,0)</f>
        <v>0</v>
      </c>
      <c r="K230" s="6">
        <f>IF(D230="Chi",I230,0)</f>
        <v>100000</v>
      </c>
      <c r="L230" s="6" t="e">
        <f>L229+J230-K230</f>
        <v>#VALUE!</v>
      </c>
      <c r="M230" s="6">
        <f ca="1">IFERROR(__xludf.DUMMYFUNCTION("SUM(FILTER(J:J, H:H=""Tiền mặt"")) - SUM(FILTER(K:K, H:H=""Tiền mặt""))
"),959000)</f>
        <v>959000</v>
      </c>
      <c r="N230" s="6">
        <f ca="1">IFERROR(__xludf.DUMMYFUNCTION("SUM(FILTER(J:J, H:H=""Chuyển khoản"")) - SUM(FILTER(K:K, H:H=""Chuyển khoản""))
"),4468984)</f>
        <v>4468984</v>
      </c>
      <c r="O230" s="5"/>
      <c r="P230" s="5"/>
      <c r="Q230" s="5"/>
      <c r="R230" s="5"/>
      <c r="S230" s="5"/>
    </row>
    <row r="231" spans="1:19" ht="15.75" customHeight="1" x14ac:dyDescent="0.2">
      <c r="A231" s="3">
        <v>46169</v>
      </c>
      <c r="B231" s="4" t="str">
        <f>IF(A231="","","PC-"&amp;TEXT(A231,"mm/yyyy")&amp;"-"&amp;TEXT(COUNTIFS($A$2:A231,"&gt;="&amp;EOMONTH(A231,-1)+1,$A$2:A231,"&lt;="&amp;EOMONTH(A231,0)),"000"))</f>
        <v>PC-05/2026-027</v>
      </c>
      <c r="C231" s="5" t="s">
        <v>1363</v>
      </c>
      <c r="D231" s="5" t="s">
        <v>29</v>
      </c>
      <c r="E231" s="5" t="s">
        <v>61</v>
      </c>
      <c r="F231" s="5"/>
      <c r="G231" s="5" t="s">
        <v>52</v>
      </c>
      <c r="H231" s="5" t="s">
        <v>27</v>
      </c>
      <c r="I231" s="6">
        <v>200000</v>
      </c>
      <c r="J231" s="6">
        <f>IF(D231="Thu",I231,0)</f>
        <v>0</v>
      </c>
      <c r="K231" s="6">
        <f>IF(D231="Chi",I231,0)</f>
        <v>200000</v>
      </c>
      <c r="L231" s="6" t="e">
        <f>L230+J231-K231</f>
        <v>#VALUE!</v>
      </c>
      <c r="M231" s="6">
        <f ca="1">IFERROR(__xludf.DUMMYFUNCTION("SUM(FILTER(J:J, H:H=""Tiền mặt"")) - SUM(FILTER(K:K, H:H=""Tiền mặt""))
"),959000)</f>
        <v>959000</v>
      </c>
      <c r="N231" s="6">
        <f ca="1">IFERROR(__xludf.DUMMYFUNCTION("SUM(FILTER(J:J, H:H=""Chuyển khoản"")) - SUM(FILTER(K:K, H:H=""Chuyển khoản""))
"),4468984)</f>
        <v>4468984</v>
      </c>
      <c r="O231" s="5"/>
      <c r="P231" s="5"/>
      <c r="Q231" s="5"/>
      <c r="R231" s="5"/>
      <c r="S231" s="5"/>
    </row>
    <row r="232" spans="1:19" ht="15.75" customHeight="1" x14ac:dyDescent="0.2">
      <c r="A232" s="3">
        <v>46169</v>
      </c>
      <c r="B232" s="4" t="str">
        <f>IF(A232="","","PC-"&amp;TEXT(A232,"mm/yyyy")&amp;"-"&amp;TEXT(COUNTIFS($A$2:A232,"&gt;="&amp;EOMONTH(A232,-1)+1,$A$2:A232,"&lt;="&amp;EOMONTH(A232,0)),"000"))</f>
        <v>PC-05/2026-028</v>
      </c>
      <c r="C232" s="5" t="s">
        <v>1364</v>
      </c>
      <c r="D232" s="5" t="s">
        <v>29</v>
      </c>
      <c r="E232" s="5" t="s">
        <v>41</v>
      </c>
      <c r="F232" s="5"/>
      <c r="G232" s="5" t="s">
        <v>82</v>
      </c>
      <c r="H232" s="5" t="s">
        <v>23</v>
      </c>
      <c r="I232" s="6">
        <v>100000</v>
      </c>
      <c r="J232" s="6">
        <f>IF(D232="Thu",I232,0)</f>
        <v>0</v>
      </c>
      <c r="K232" s="6">
        <f>IF(D232="Chi",I232,0)</f>
        <v>100000</v>
      </c>
      <c r="L232" s="6" t="e">
        <f>L231+J232-K232</f>
        <v>#VALUE!</v>
      </c>
      <c r="M232" s="6">
        <f ca="1">IFERROR(__xludf.DUMMYFUNCTION("SUM(FILTER(J:J, H:H=""Tiền mặt"")) - SUM(FILTER(K:K, H:H=""Tiền mặt""))
"),959000)</f>
        <v>959000</v>
      </c>
      <c r="N232" s="6">
        <f ca="1">IFERROR(__xludf.DUMMYFUNCTION("SUM(FILTER(J:J, H:H=""Chuyển khoản"")) - SUM(FILTER(K:K, H:H=""Chuyển khoản""))
"),4468984)</f>
        <v>4468984</v>
      </c>
      <c r="O232" s="5"/>
      <c r="P232" s="5"/>
      <c r="Q232" s="5"/>
      <c r="R232" s="5"/>
      <c r="S232" s="5"/>
    </row>
    <row r="233" spans="1:19" ht="15.75" customHeight="1" x14ac:dyDescent="0.2">
      <c r="A233" s="3">
        <v>46169</v>
      </c>
      <c r="B233" s="4" t="str">
        <f>IF(A233="","","PC-"&amp;TEXT(A233,"mm/yyyy")&amp;"-"&amp;TEXT(COUNTIFS($A$2:A233,"&gt;="&amp;EOMONTH(A233,-1)+1,$A$2:A233,"&lt;="&amp;EOMONTH(A233,0)),"000"))</f>
        <v>PC-05/2026-029</v>
      </c>
      <c r="C233" s="5" t="s">
        <v>1365</v>
      </c>
      <c r="D233" s="5" t="s">
        <v>29</v>
      </c>
      <c r="E233" s="5" t="s">
        <v>44</v>
      </c>
      <c r="F233" s="5"/>
      <c r="G233" s="5" t="s">
        <v>995</v>
      </c>
      <c r="H233" s="5" t="s">
        <v>23</v>
      </c>
      <c r="I233" s="6">
        <v>1500000</v>
      </c>
      <c r="J233" s="6">
        <f>IF(D233="Thu",I233,0)</f>
        <v>0</v>
      </c>
      <c r="K233" s="6">
        <f>IF(D233="Chi",I233,0)</f>
        <v>1500000</v>
      </c>
      <c r="L233" s="6" t="e">
        <f>L232+J233-K233</f>
        <v>#VALUE!</v>
      </c>
      <c r="M233" s="6">
        <f ca="1">IFERROR(__xludf.DUMMYFUNCTION("SUM(FILTER(J:J, H:H=""Tiền mặt"")) - SUM(FILTER(K:K, H:H=""Tiền mặt""))
"),959000)</f>
        <v>959000</v>
      </c>
      <c r="N233" s="6">
        <f ca="1">IFERROR(__xludf.DUMMYFUNCTION("SUM(FILTER(J:J, H:H=""Chuyển khoản"")) - SUM(FILTER(K:K, H:H=""Chuyển khoản""))
"),4468984)</f>
        <v>4468984</v>
      </c>
      <c r="O233" s="5"/>
      <c r="P233" s="5"/>
      <c r="Q233" s="5"/>
      <c r="R233" s="5"/>
      <c r="S233" s="5"/>
    </row>
    <row r="234" spans="1:19" ht="15.75" customHeight="1" x14ac:dyDescent="0.2">
      <c r="A234" s="3">
        <v>46169</v>
      </c>
      <c r="B234" s="4" t="str">
        <f>IF(A234="","","PC-"&amp;TEXT(A234,"mm/yyyy")&amp;"-"&amp;TEXT(COUNTIFS($A$2:A234,"&gt;="&amp;EOMONTH(A234,-1)+1,$A$2:A234,"&lt;="&amp;EOMONTH(A234,0)),"000"))</f>
        <v>PC-05/2026-030</v>
      </c>
      <c r="C234" s="5" t="s">
        <v>1366</v>
      </c>
      <c r="D234" s="5" t="s">
        <v>29</v>
      </c>
      <c r="E234" s="5" t="s">
        <v>47</v>
      </c>
      <c r="F234" s="5"/>
      <c r="G234" s="5" t="s">
        <v>48</v>
      </c>
      <c r="H234" s="5" t="s">
        <v>23</v>
      </c>
      <c r="I234" s="6">
        <v>40000</v>
      </c>
      <c r="J234" s="6">
        <f>IF(D234="Thu",I234,0)</f>
        <v>0</v>
      </c>
      <c r="K234" s="6">
        <f>IF(D234="Chi",I234,0)</f>
        <v>40000</v>
      </c>
      <c r="L234" s="6" t="e">
        <f>L233+J234-K234</f>
        <v>#VALUE!</v>
      </c>
      <c r="M234" s="6">
        <f ca="1">IFERROR(__xludf.DUMMYFUNCTION("SUM(FILTER(J:J, H:H=""Tiền mặt"")) - SUM(FILTER(K:K, H:H=""Tiền mặt""))
"),959000)</f>
        <v>959000</v>
      </c>
      <c r="N234" s="6">
        <f ca="1">IFERROR(__xludf.DUMMYFUNCTION("SUM(FILTER(J:J, H:H=""Chuyển khoản"")) - SUM(FILTER(K:K, H:H=""Chuyển khoản""))
"),4468984)</f>
        <v>4468984</v>
      </c>
      <c r="O234" s="5"/>
      <c r="P234" s="5"/>
      <c r="Q234" s="5"/>
      <c r="R234" s="5"/>
      <c r="S234" s="5"/>
    </row>
    <row r="235" spans="1:19" ht="15.75" customHeight="1" x14ac:dyDescent="0.2">
      <c r="A235" s="3">
        <v>46169</v>
      </c>
      <c r="B235" s="4" t="str">
        <f>IF(A235="","","PC-"&amp;TEXT(A235,"mm/yyyy")&amp;"-"&amp;TEXT(COUNTIFS($A$2:A235,"&gt;="&amp;EOMONTH(A235,-1)+1,$A$2:A235,"&lt;="&amp;EOMONTH(A235,0)),"000"))</f>
        <v>PC-05/2026-031</v>
      </c>
      <c r="C235" s="5" t="s">
        <v>1367</v>
      </c>
      <c r="D235" s="5" t="s">
        <v>20</v>
      </c>
      <c r="E235" s="5" t="s">
        <v>21</v>
      </c>
      <c r="F235" s="5"/>
      <c r="G235" s="5" t="s">
        <v>22</v>
      </c>
      <c r="H235" s="5" t="s">
        <v>23</v>
      </c>
      <c r="I235" s="6">
        <v>2000000</v>
      </c>
      <c r="J235" s="6">
        <f>IF(D235="Thu",I235,0)</f>
        <v>2000000</v>
      </c>
      <c r="K235" s="6">
        <f>IF(D235="Chi",I235,0)</f>
        <v>0</v>
      </c>
      <c r="L235" s="6" t="e">
        <f>L234+J235-K235</f>
        <v>#VALUE!</v>
      </c>
      <c r="M235" s="6">
        <f ca="1">IFERROR(__xludf.DUMMYFUNCTION("SUM(FILTER(J:J, H:H=""Tiền mặt"")) - SUM(FILTER(K:K, H:H=""Tiền mặt""))
"),959000)</f>
        <v>959000</v>
      </c>
      <c r="N235" s="6">
        <f ca="1">IFERROR(__xludf.DUMMYFUNCTION("SUM(FILTER(J:J, H:H=""Chuyển khoản"")) - SUM(FILTER(K:K, H:H=""Chuyển khoản""))
"),4468984)</f>
        <v>4468984</v>
      </c>
      <c r="O235" s="5"/>
      <c r="P235" s="5"/>
      <c r="Q235" s="5"/>
      <c r="R235" s="5"/>
      <c r="S235" s="5"/>
    </row>
    <row r="236" spans="1:19" ht="15.75" customHeight="1" x14ac:dyDescent="0.2">
      <c r="A236" s="3">
        <v>46169</v>
      </c>
      <c r="B236" s="4" t="str">
        <f>IF(A236="","","PC-"&amp;TEXT(A236,"mm/yyyy")&amp;"-"&amp;TEXT(COUNTIFS($A$2:A236,"&gt;="&amp;EOMONTH(A236,-1)+1,$A$2:A236,"&lt;="&amp;EOMONTH(A236,0)),"000"))</f>
        <v>PC-05/2026-032</v>
      </c>
      <c r="C236" s="5" t="s">
        <v>1368</v>
      </c>
      <c r="D236" s="5" t="s">
        <v>29</v>
      </c>
      <c r="E236" s="5" t="s">
        <v>64</v>
      </c>
      <c r="F236" s="5"/>
      <c r="G236" s="5" t="s">
        <v>338</v>
      </c>
      <c r="H236" s="5" t="s">
        <v>23</v>
      </c>
      <c r="I236" s="6">
        <v>2000000</v>
      </c>
      <c r="J236" s="6">
        <f>IF(D236="Thu",I236,0)</f>
        <v>0</v>
      </c>
      <c r="K236" s="6">
        <f>IF(D236="Chi",I236,0)</f>
        <v>2000000</v>
      </c>
      <c r="L236" s="6" t="e">
        <f>L235+J236-K236</f>
        <v>#VALUE!</v>
      </c>
      <c r="M236" s="6">
        <f ca="1">IFERROR(__xludf.DUMMYFUNCTION("SUM(FILTER(J:J, H:H=""Tiền mặt"")) - SUM(FILTER(K:K, H:H=""Tiền mặt""))
"),959000)</f>
        <v>959000</v>
      </c>
      <c r="N236" s="6">
        <f ca="1">IFERROR(__xludf.DUMMYFUNCTION("SUM(FILTER(J:J, H:H=""Chuyển khoản"")) - SUM(FILTER(K:K, H:H=""Chuyển khoản""))
"),4468984)</f>
        <v>4468984</v>
      </c>
      <c r="O236" s="5"/>
      <c r="P236" s="5"/>
      <c r="Q236" s="5"/>
      <c r="R236" s="5"/>
      <c r="S236" s="5"/>
    </row>
    <row r="237" spans="1:19" ht="15.75" customHeight="1" x14ac:dyDescent="0.2">
      <c r="A237" s="3">
        <v>46169</v>
      </c>
      <c r="B237" s="4" t="str">
        <f>IF(A237="","","PC-"&amp;TEXT(A237,"mm/yyyy")&amp;"-"&amp;TEXT(COUNTIFS($A$2:A237,"&gt;="&amp;EOMONTH(A237,-1)+1,$A$2:A237,"&lt;="&amp;EOMONTH(A237,0)),"000"))</f>
        <v>PC-05/2026-033</v>
      </c>
      <c r="C237" s="51" t="s">
        <v>1369</v>
      </c>
      <c r="D237" s="5" t="s">
        <v>29</v>
      </c>
      <c r="E237" s="5" t="s">
        <v>51</v>
      </c>
      <c r="F237" s="5"/>
      <c r="G237" s="5" t="s">
        <v>52</v>
      </c>
      <c r="H237" s="5" t="s">
        <v>27</v>
      </c>
      <c r="I237" s="6">
        <v>181753</v>
      </c>
      <c r="J237" s="6">
        <f>IF(D237="Thu",I237,0)</f>
        <v>0</v>
      </c>
      <c r="K237" s="6">
        <f>IF(D237="Chi",I237,0)</f>
        <v>181753</v>
      </c>
      <c r="L237" s="6" t="e">
        <f>L236+J237-K237</f>
        <v>#VALUE!</v>
      </c>
      <c r="M237" s="6">
        <f ca="1">IFERROR(__xludf.DUMMYFUNCTION("SUM(FILTER(J:J, H:H=""Tiền mặt"")) - SUM(FILTER(K:K, H:H=""Tiền mặt""))
"),959000)</f>
        <v>959000</v>
      </c>
      <c r="N237" s="6">
        <f ca="1">IFERROR(__xludf.DUMMYFUNCTION("SUM(FILTER(J:J, H:H=""Chuyển khoản"")) - SUM(FILTER(K:K, H:H=""Chuyển khoản""))
"),4468984)</f>
        <v>4468984</v>
      </c>
      <c r="O237" s="5"/>
      <c r="P237" s="5"/>
      <c r="Q237" s="5"/>
      <c r="R237" s="5"/>
      <c r="S237" s="5"/>
    </row>
    <row r="238" spans="1:19" ht="15.75" customHeight="1" x14ac:dyDescent="0.2">
      <c r="A238" s="3">
        <v>46169</v>
      </c>
      <c r="B238" s="4" t="str">
        <f>IF(A238="","","PC-"&amp;TEXT(A238,"mm/yyyy")&amp;"-"&amp;TEXT(COUNTIFS($A$2:A238,"&gt;="&amp;EOMONTH(A238,-1)+1,$A$2:A238,"&lt;="&amp;EOMONTH(A238,0)),"000"))</f>
        <v>PC-05/2026-034</v>
      </c>
      <c r="C238" s="5" t="s">
        <v>1370</v>
      </c>
      <c r="D238" s="5" t="s">
        <v>20</v>
      </c>
      <c r="E238" s="5" t="s">
        <v>21</v>
      </c>
      <c r="F238" s="5"/>
      <c r="G238" s="5" t="s">
        <v>22</v>
      </c>
      <c r="H238" s="5" t="s">
        <v>23</v>
      </c>
      <c r="I238" s="6">
        <v>10000000</v>
      </c>
      <c r="J238" s="6">
        <f>IF(D238="Thu",I238,0)</f>
        <v>10000000</v>
      </c>
      <c r="K238" s="6">
        <f>IF(D238="Chi",I238,0)</f>
        <v>0</v>
      </c>
      <c r="L238" s="6" t="e">
        <f>L237+J238-K238</f>
        <v>#VALUE!</v>
      </c>
      <c r="M238" s="6">
        <f ca="1">IFERROR(__xludf.DUMMYFUNCTION("SUM(FILTER(J:J, H:H=""Tiền mặt"")) - SUM(FILTER(K:K, H:H=""Tiền mặt""))
"),959000)</f>
        <v>959000</v>
      </c>
      <c r="N238" s="6">
        <f ca="1">IFERROR(__xludf.DUMMYFUNCTION("SUM(FILTER(J:J, H:H=""Chuyển khoản"")) - SUM(FILTER(K:K, H:H=""Chuyển khoản""))
"),4468984)</f>
        <v>4468984</v>
      </c>
      <c r="O238" s="5"/>
      <c r="P238" s="5"/>
      <c r="Q238" s="5"/>
      <c r="R238" s="5"/>
      <c r="S238" s="5"/>
    </row>
    <row r="239" spans="1:19" ht="15.75" customHeight="1" x14ac:dyDescent="0.2">
      <c r="A239" s="3">
        <v>46168</v>
      </c>
      <c r="B239" s="4" t="str">
        <f>IF(A239="","","PC-"&amp;TEXT(A239,"mm/yyyy")&amp;"-"&amp;TEXT(COUNTIFS($A$2:A239,"&gt;="&amp;EOMONTH(A239,-1)+1,$A$2:A239,"&lt;="&amp;EOMONTH(A239,0)),"000"))</f>
        <v>PC-05/2026-035</v>
      </c>
      <c r="C239" s="5" t="s">
        <v>1335</v>
      </c>
      <c r="D239" s="5" t="s">
        <v>20</v>
      </c>
      <c r="E239" s="5" t="s">
        <v>21</v>
      </c>
      <c r="F239" s="5"/>
      <c r="G239" s="5" t="s">
        <v>86</v>
      </c>
      <c r="H239" s="5" t="s">
        <v>27</v>
      </c>
      <c r="I239" s="6">
        <v>1000000</v>
      </c>
      <c r="J239" s="6">
        <f>IF(D239="Thu",I239,0)</f>
        <v>1000000</v>
      </c>
      <c r="K239" s="6">
        <f>IF(D239="Chi",I239,0)</f>
        <v>0</v>
      </c>
      <c r="L239" s="6" t="e">
        <f>L238+J239-K239</f>
        <v>#VALUE!</v>
      </c>
      <c r="M239" s="6">
        <f ca="1">IFERROR(__xludf.DUMMYFUNCTION("SUM(FILTER(J:J, H:H=""Tiền mặt"")) - SUM(FILTER(K:K, H:H=""Tiền mặt""))
"),959000)</f>
        <v>959000</v>
      </c>
      <c r="N239" s="6">
        <f ca="1">IFERROR(__xludf.DUMMYFUNCTION("SUM(FILTER(J:J, H:H=""Chuyển khoản"")) - SUM(FILTER(K:K, H:H=""Chuyển khoản""))
"),4468984)</f>
        <v>4468984</v>
      </c>
      <c r="O239" s="5"/>
      <c r="P239" s="5"/>
      <c r="Q239" s="5"/>
      <c r="R239" s="5"/>
      <c r="S239" s="5"/>
    </row>
    <row r="240" spans="1:19" ht="15.75" customHeight="1" x14ac:dyDescent="0.2">
      <c r="A240" s="3">
        <v>46168</v>
      </c>
      <c r="B240" s="4" t="str">
        <f>IF(A240="","","PC-"&amp;TEXT(A240,"mm/yyyy")&amp;"-"&amp;TEXT(COUNTIFS($A$2:A240,"&gt;="&amp;EOMONTH(A240,-1)+1,$A$2:A240,"&lt;="&amp;EOMONTH(A240,0)),"000"))</f>
        <v>PC-05/2026-036</v>
      </c>
      <c r="C240" s="5" t="s">
        <v>551</v>
      </c>
      <c r="D240" s="5" t="s">
        <v>29</v>
      </c>
      <c r="E240" s="5" t="s">
        <v>36</v>
      </c>
      <c r="F240" s="5"/>
      <c r="G240" s="5" t="s">
        <v>37</v>
      </c>
      <c r="H240" s="5" t="s">
        <v>23</v>
      </c>
      <c r="I240" s="6">
        <v>108000</v>
      </c>
      <c r="J240" s="6">
        <f>IF(D240="Thu",I240,0)</f>
        <v>0</v>
      </c>
      <c r="K240" s="6">
        <f>IF(D240="Chi",I240,0)</f>
        <v>108000</v>
      </c>
      <c r="L240" s="6" t="e">
        <f>L239+J240-K240</f>
        <v>#VALUE!</v>
      </c>
      <c r="M240" s="6">
        <f ca="1">IFERROR(__xludf.DUMMYFUNCTION("SUM(FILTER(J:J, H:H=""Tiền mặt"")) - SUM(FILTER(K:K, H:H=""Tiền mặt""))
"),959000)</f>
        <v>959000</v>
      </c>
      <c r="N240" s="6">
        <f ca="1">IFERROR(__xludf.DUMMYFUNCTION("SUM(FILTER(J:J, H:H=""Chuyển khoản"")) - SUM(FILTER(K:K, H:H=""Chuyển khoản""))
"),4468984)</f>
        <v>4468984</v>
      </c>
      <c r="O240" s="5"/>
      <c r="P240" s="5"/>
      <c r="Q240" s="5"/>
      <c r="R240" s="5"/>
      <c r="S240" s="5"/>
    </row>
    <row r="241" spans="1:19" ht="15.75" customHeight="1" x14ac:dyDescent="0.2">
      <c r="A241" s="3">
        <v>46168</v>
      </c>
      <c r="B241" s="4" t="str">
        <f>IF(A241="","","PC-"&amp;TEXT(A241,"mm/yyyy")&amp;"-"&amp;TEXT(COUNTIFS($A$2:A241,"&gt;="&amp;EOMONTH(A241,-1)+1,$A$2:A241,"&lt;="&amp;EOMONTH(A241,0)),"000"))</f>
        <v>PC-05/2026-037</v>
      </c>
      <c r="C241" s="5" t="s">
        <v>836</v>
      </c>
      <c r="D241" s="5" t="s">
        <v>29</v>
      </c>
      <c r="E241" s="5" t="s">
        <v>30</v>
      </c>
      <c r="F241" s="5"/>
      <c r="G241" s="5" t="s">
        <v>37</v>
      </c>
      <c r="H241" s="5" t="s">
        <v>23</v>
      </c>
      <c r="I241" s="6">
        <v>60000</v>
      </c>
      <c r="J241" s="6">
        <f>IF(D241="Thu",I241,0)</f>
        <v>0</v>
      </c>
      <c r="K241" s="6">
        <f>IF(D241="Chi",I241,0)</f>
        <v>60000</v>
      </c>
      <c r="L241" s="6" t="e">
        <f>L240+J241-K241</f>
        <v>#VALUE!</v>
      </c>
      <c r="M241" s="6">
        <f ca="1">IFERROR(__xludf.DUMMYFUNCTION("SUM(FILTER(J:J, H:H=""Tiền mặt"")) - SUM(FILTER(K:K, H:H=""Tiền mặt""))
"),959000)</f>
        <v>959000</v>
      </c>
      <c r="N241" s="6">
        <f ca="1">IFERROR(__xludf.DUMMYFUNCTION("SUM(FILTER(J:J, H:H=""Chuyển khoản"")) - SUM(FILTER(K:K, H:H=""Chuyển khoản""))
"),4468984)</f>
        <v>4468984</v>
      </c>
      <c r="O241" s="5"/>
      <c r="P241" s="5"/>
      <c r="Q241" s="5"/>
      <c r="R241" s="5"/>
      <c r="S241" s="5"/>
    </row>
    <row r="242" spans="1:19" ht="15.75" customHeight="1" x14ac:dyDescent="0.2">
      <c r="A242" s="3">
        <v>46168</v>
      </c>
      <c r="B242" s="4" t="str">
        <f>IF(A242="","","PC-"&amp;TEXT(A242,"mm/yyyy")&amp;"-"&amp;TEXT(COUNTIFS($A$2:A242,"&gt;="&amp;EOMONTH(A242,-1)+1,$A$2:A242,"&lt;="&amp;EOMONTH(A242,0)),"000"))</f>
        <v>PC-05/2026-038</v>
      </c>
      <c r="C242" s="5" t="s">
        <v>1336</v>
      </c>
      <c r="D242" s="5" t="s">
        <v>29</v>
      </c>
      <c r="E242" s="5" t="s">
        <v>41</v>
      </c>
      <c r="F242" s="5"/>
      <c r="G242" s="5" t="s">
        <v>82</v>
      </c>
      <c r="H242" s="5" t="s">
        <v>23</v>
      </c>
      <c r="I242" s="6">
        <v>100000</v>
      </c>
      <c r="J242" s="6">
        <f>IF(D242="Thu",I242,0)</f>
        <v>0</v>
      </c>
      <c r="K242" s="6">
        <f>IF(D242="Chi",I242,0)</f>
        <v>100000</v>
      </c>
      <c r="L242" s="6" t="e">
        <f>L241+J242-K242</f>
        <v>#VALUE!</v>
      </c>
      <c r="M242" s="6">
        <f ca="1">IFERROR(__xludf.DUMMYFUNCTION("SUM(FILTER(J:J, H:H=""Tiền mặt"")) - SUM(FILTER(K:K, H:H=""Tiền mặt""))
"),959000)</f>
        <v>959000</v>
      </c>
      <c r="N242" s="6">
        <f ca="1">IFERROR(__xludf.DUMMYFUNCTION("SUM(FILTER(J:J, H:H=""Chuyển khoản"")) - SUM(FILTER(K:K, H:H=""Chuyển khoản""))
"),4468984)</f>
        <v>4468984</v>
      </c>
      <c r="O242" s="5"/>
      <c r="P242" s="5"/>
      <c r="Q242" s="5"/>
      <c r="R242" s="5"/>
      <c r="S242" s="5"/>
    </row>
    <row r="243" spans="1:19" ht="15.75" customHeight="1" x14ac:dyDescent="0.2">
      <c r="A243" s="3">
        <v>46168</v>
      </c>
      <c r="B243" s="4" t="str">
        <f>IF(A243="","","PC-"&amp;TEXT(A243,"mm/yyyy")&amp;"-"&amp;TEXT(COUNTIFS($A$2:A243,"&gt;="&amp;EOMONTH(A243,-1)+1,$A$2:A243,"&lt;="&amp;EOMONTH(A243,0)),"000"))</f>
        <v>PC-05/2026-039</v>
      </c>
      <c r="C243" s="7" t="s">
        <v>1337</v>
      </c>
      <c r="D243" s="5" t="s">
        <v>29</v>
      </c>
      <c r="E243" s="5" t="s">
        <v>64</v>
      </c>
      <c r="F243" s="5"/>
      <c r="G243" s="5" t="s">
        <v>1338</v>
      </c>
      <c r="H243" s="5" t="s">
        <v>23</v>
      </c>
      <c r="I243" s="6">
        <v>3000000</v>
      </c>
      <c r="J243" s="6">
        <f>IF(D243="Thu",I243,0)</f>
        <v>0</v>
      </c>
      <c r="K243" s="6">
        <f>IF(D243="Chi",I243,0)</f>
        <v>3000000</v>
      </c>
      <c r="L243" s="6" t="e">
        <f>L242+J243-K243</f>
        <v>#VALUE!</v>
      </c>
      <c r="M243" s="6">
        <f ca="1">IFERROR(__xludf.DUMMYFUNCTION("SUM(FILTER(J:J, H:H=""Tiền mặt"")) - SUM(FILTER(K:K, H:H=""Tiền mặt""))
"),959000)</f>
        <v>959000</v>
      </c>
      <c r="N243" s="6">
        <f ca="1">IFERROR(__xludf.DUMMYFUNCTION("SUM(FILTER(J:J, H:H=""Chuyển khoản"")) - SUM(FILTER(K:K, H:H=""Chuyển khoản""))
"),4468984)</f>
        <v>4468984</v>
      </c>
      <c r="O243" s="5"/>
      <c r="P243" s="5"/>
      <c r="Q243" s="5"/>
      <c r="R243" s="5"/>
      <c r="S243" s="5"/>
    </row>
    <row r="244" spans="1:19" ht="15.75" customHeight="1" x14ac:dyDescent="0.2">
      <c r="A244" s="3">
        <v>46168</v>
      </c>
      <c r="B244" s="4" t="str">
        <f>IF(A244="","","PC-"&amp;TEXT(A244,"mm/yyyy")&amp;"-"&amp;TEXT(COUNTIFS($A$2:A244,"&gt;="&amp;EOMONTH(A244,-1)+1,$A$2:A244,"&lt;="&amp;EOMONTH(A244,0)),"000"))</f>
        <v>PC-05/2026-040</v>
      </c>
      <c r="C244" s="5" t="s">
        <v>1339</v>
      </c>
      <c r="D244" s="5" t="s">
        <v>29</v>
      </c>
      <c r="E244" s="5" t="s">
        <v>44</v>
      </c>
      <c r="F244" s="5"/>
      <c r="G244" s="5" t="s">
        <v>202</v>
      </c>
      <c r="H244" s="5" t="s">
        <v>23</v>
      </c>
      <c r="I244" s="6">
        <v>1500000</v>
      </c>
      <c r="J244" s="6">
        <f>IF(D244="Thu",I244,0)</f>
        <v>0</v>
      </c>
      <c r="K244" s="6">
        <f>IF(D244="Chi",I244,0)</f>
        <v>1500000</v>
      </c>
      <c r="L244" s="6" t="e">
        <f>L243+J244-K244</f>
        <v>#VALUE!</v>
      </c>
      <c r="M244" s="6">
        <f ca="1">IFERROR(__xludf.DUMMYFUNCTION("SUM(FILTER(J:J, H:H=""Tiền mặt"")) - SUM(FILTER(K:K, H:H=""Tiền mặt""))
"),959000)</f>
        <v>959000</v>
      </c>
      <c r="N244" s="6">
        <f ca="1">IFERROR(__xludf.DUMMYFUNCTION("SUM(FILTER(J:J, H:H=""Chuyển khoản"")) - SUM(FILTER(K:K, H:H=""Chuyển khoản""))
"),4468984)</f>
        <v>4468984</v>
      </c>
      <c r="O244" s="5"/>
      <c r="P244" s="5"/>
      <c r="Q244" s="5"/>
      <c r="R244" s="5"/>
      <c r="S244" s="5"/>
    </row>
    <row r="245" spans="1:19" ht="15.75" customHeight="1" x14ac:dyDescent="0.2">
      <c r="A245" s="3">
        <v>46168</v>
      </c>
      <c r="B245" s="4" t="str">
        <f>IF(A245="","","PC-"&amp;TEXT(A245,"mm/yyyy")&amp;"-"&amp;TEXT(COUNTIFS($A$2:A245,"&gt;="&amp;EOMONTH(A245,-1)+1,$A$2:A245,"&lt;="&amp;EOMONTH(A245,0)),"000"))</f>
        <v>PC-05/2026-041</v>
      </c>
      <c r="C245" s="5" t="s">
        <v>1340</v>
      </c>
      <c r="D245" s="5" t="s">
        <v>29</v>
      </c>
      <c r="E245" s="5" t="s">
        <v>47</v>
      </c>
      <c r="F245" s="5"/>
      <c r="G245" s="5" t="s">
        <v>48</v>
      </c>
      <c r="H245" s="5" t="s">
        <v>23</v>
      </c>
      <c r="I245" s="6">
        <v>50000</v>
      </c>
      <c r="J245" s="6">
        <f>IF(D245="Thu",I245,0)</f>
        <v>0</v>
      </c>
      <c r="K245" s="6">
        <f>IF(D245="Chi",I245,0)</f>
        <v>50000</v>
      </c>
      <c r="L245" s="6" t="e">
        <f>L244+J245-K245</f>
        <v>#VALUE!</v>
      </c>
      <c r="M245" s="6">
        <f ca="1">IFERROR(__xludf.DUMMYFUNCTION("SUM(FILTER(J:J, H:H=""Tiền mặt"")) - SUM(FILTER(K:K, H:H=""Tiền mặt""))
"),959000)</f>
        <v>959000</v>
      </c>
      <c r="N245" s="6">
        <f ca="1">IFERROR(__xludf.DUMMYFUNCTION("SUM(FILTER(J:J, H:H=""Chuyển khoản"")) - SUM(FILTER(K:K, H:H=""Chuyển khoản""))
"),4468984)</f>
        <v>4468984</v>
      </c>
      <c r="O245" s="5"/>
      <c r="P245" s="5"/>
      <c r="Q245" s="5"/>
      <c r="R245" s="5"/>
      <c r="S245" s="5"/>
    </row>
    <row r="246" spans="1:19" ht="15.75" customHeight="1" x14ac:dyDescent="0.2">
      <c r="A246" s="3">
        <v>46168</v>
      </c>
      <c r="B246" s="4" t="str">
        <f>IF(A246="","","PC-"&amp;TEXT(A246,"mm/yyyy")&amp;"-"&amp;TEXT(COUNTIFS($A$2:A246,"&gt;="&amp;EOMONTH(A246,-1)+1,$A$2:A246,"&lt;="&amp;EOMONTH(A246,0)),"000"))</f>
        <v>PC-05/2026-042</v>
      </c>
      <c r="C246" s="5" t="s">
        <v>1341</v>
      </c>
      <c r="D246" s="5" t="s">
        <v>29</v>
      </c>
      <c r="E246" s="5" t="s">
        <v>41</v>
      </c>
      <c r="F246" s="5"/>
      <c r="G246" s="5" t="s">
        <v>82</v>
      </c>
      <c r="H246" s="5" t="s">
        <v>23</v>
      </c>
      <c r="I246" s="6">
        <v>100000</v>
      </c>
      <c r="J246" s="6">
        <f>IF(D246="Thu",I246,0)</f>
        <v>0</v>
      </c>
      <c r="K246" s="6">
        <f>IF(D246="Chi",I246,0)</f>
        <v>100000</v>
      </c>
      <c r="L246" s="6" t="e">
        <f>L245+J246-K246</f>
        <v>#VALUE!</v>
      </c>
      <c r="M246" s="6">
        <f ca="1">IFERROR(__xludf.DUMMYFUNCTION("SUM(FILTER(J:J, H:H=""Tiền mặt"")) - SUM(FILTER(K:K, H:H=""Tiền mặt""))
"),959000)</f>
        <v>959000</v>
      </c>
      <c r="N246" s="6">
        <f ca="1">IFERROR(__xludf.DUMMYFUNCTION("SUM(FILTER(J:J, H:H=""Chuyển khoản"")) - SUM(FILTER(K:K, H:H=""Chuyển khoản""))
"),4468984)</f>
        <v>4468984</v>
      </c>
      <c r="O246" s="5"/>
      <c r="P246" s="5"/>
      <c r="Q246" s="5"/>
      <c r="R246" s="5"/>
      <c r="S246" s="5"/>
    </row>
    <row r="247" spans="1:19" ht="15.75" customHeight="1" x14ac:dyDescent="0.2">
      <c r="A247" s="3">
        <v>46168</v>
      </c>
      <c r="B247" s="4" t="str">
        <f>IF(A247="","","PC-"&amp;TEXT(A247,"mm/yyyy")&amp;"-"&amp;TEXT(COUNTIFS($A$2:A247,"&gt;="&amp;EOMONTH(A247,-1)+1,$A$2:A247,"&lt;="&amp;EOMONTH(A247,0)),"000"))</f>
        <v>PC-05/2026-043</v>
      </c>
      <c r="C247" s="5" t="s">
        <v>1342</v>
      </c>
      <c r="D247" s="5" t="s">
        <v>20</v>
      </c>
      <c r="E247" s="5" t="s">
        <v>21</v>
      </c>
      <c r="F247" s="5"/>
      <c r="G247" s="5" t="s">
        <v>22</v>
      </c>
      <c r="H247" s="5" t="s">
        <v>23</v>
      </c>
      <c r="I247" s="6">
        <v>10000000</v>
      </c>
      <c r="J247" s="6">
        <f>IF(D247="Thu",I247,0)</f>
        <v>10000000</v>
      </c>
      <c r="K247" s="6">
        <f>IF(D247="Chi",I247,0)</f>
        <v>0</v>
      </c>
      <c r="L247" s="6" t="e">
        <f>L246+J247-K247</f>
        <v>#VALUE!</v>
      </c>
      <c r="M247" s="6">
        <f ca="1">IFERROR(__xludf.DUMMYFUNCTION("SUM(FILTER(J:J, H:H=""Tiền mặt"")) - SUM(FILTER(K:K, H:H=""Tiền mặt""))
"),959000)</f>
        <v>959000</v>
      </c>
      <c r="N247" s="6">
        <f ca="1">IFERROR(__xludf.DUMMYFUNCTION("SUM(FILTER(J:J, H:H=""Chuyển khoản"")) - SUM(FILTER(K:K, H:H=""Chuyển khoản""))
"),4468984)</f>
        <v>4468984</v>
      </c>
      <c r="O247" s="5"/>
      <c r="P247" s="5"/>
      <c r="Q247" s="5"/>
      <c r="R247" s="5"/>
      <c r="S247" s="5"/>
    </row>
    <row r="248" spans="1:19" ht="15.75" customHeight="1" x14ac:dyDescent="0.2">
      <c r="A248" s="3">
        <v>46168</v>
      </c>
      <c r="B248" s="4" t="str">
        <f>IF(A248="","","PC-"&amp;TEXT(A248,"mm/yyyy")&amp;"-"&amp;TEXT(COUNTIFS($A$2:A248,"&gt;="&amp;EOMONTH(A248,-1)+1,$A$2:A248,"&lt;="&amp;EOMONTH(A248,0)),"000"))</f>
        <v>PC-05/2026-044</v>
      </c>
      <c r="C248" s="4" t="s">
        <v>1343</v>
      </c>
      <c r="D248" s="5" t="s">
        <v>29</v>
      </c>
      <c r="E248" s="5" t="s">
        <v>64</v>
      </c>
      <c r="F248" s="5"/>
      <c r="G248" s="5" t="s">
        <v>22</v>
      </c>
      <c r="H248" s="5" t="s">
        <v>23</v>
      </c>
      <c r="I248" s="6">
        <v>9800000</v>
      </c>
      <c r="J248" s="6">
        <f>IF(D248="Thu",I248,0)</f>
        <v>0</v>
      </c>
      <c r="K248" s="6">
        <f>IF(D248="Chi",I248,0)</f>
        <v>9800000</v>
      </c>
      <c r="L248" s="6" t="e">
        <f>L247+J248-K248</f>
        <v>#VALUE!</v>
      </c>
      <c r="M248" s="6">
        <f ca="1">IFERROR(__xludf.DUMMYFUNCTION("SUM(FILTER(J:J, H:H=""Tiền mặt"")) - SUM(FILTER(K:K, H:H=""Tiền mặt""))
"),959000)</f>
        <v>959000</v>
      </c>
      <c r="N248" s="6">
        <f ca="1">IFERROR(__xludf.DUMMYFUNCTION("SUM(FILTER(J:J, H:H=""Chuyển khoản"")) - SUM(FILTER(K:K, H:H=""Chuyển khoản""))
"),4468984)</f>
        <v>4468984</v>
      </c>
      <c r="O248" s="5"/>
      <c r="P248" s="5"/>
      <c r="Q248" s="5"/>
      <c r="R248" s="5"/>
      <c r="S248" s="5"/>
    </row>
    <row r="249" spans="1:19" ht="15.75" customHeight="1" x14ac:dyDescent="0.2">
      <c r="A249" s="3">
        <v>46168</v>
      </c>
      <c r="B249" s="4" t="str">
        <f>IF(A249="","","PC-"&amp;TEXT(A249,"mm/yyyy")&amp;"-"&amp;TEXT(COUNTIFS($A$2:A249,"&gt;="&amp;EOMONTH(A249,-1)+1,$A$2:A249,"&lt;="&amp;EOMONTH(A249,0)),"000"))</f>
        <v>PC-05/2026-045</v>
      </c>
      <c r="C249" s="5" t="s">
        <v>1344</v>
      </c>
      <c r="D249" s="5" t="s">
        <v>20</v>
      </c>
      <c r="E249" s="5" t="s">
        <v>21</v>
      </c>
      <c r="F249" s="5"/>
      <c r="G249" s="5" t="s">
        <v>22</v>
      </c>
      <c r="H249" s="5" t="s">
        <v>23</v>
      </c>
      <c r="I249" s="6">
        <v>10000000</v>
      </c>
      <c r="J249" s="6">
        <f>IF(D249="Thu",I249,0)</f>
        <v>10000000</v>
      </c>
      <c r="K249" s="6">
        <f>IF(D249="Chi",I249,0)</f>
        <v>0</v>
      </c>
      <c r="L249" s="6" t="e">
        <f>L248+J249-K249</f>
        <v>#VALUE!</v>
      </c>
      <c r="M249" s="6">
        <f ca="1">IFERROR(__xludf.DUMMYFUNCTION("SUM(FILTER(J:J, H:H=""Tiền mặt"")) - SUM(FILTER(K:K, H:H=""Tiền mặt""))
"),959000)</f>
        <v>959000</v>
      </c>
      <c r="N249" s="6">
        <f ca="1">IFERROR(__xludf.DUMMYFUNCTION("SUM(FILTER(J:J, H:H=""Chuyển khoản"")) - SUM(FILTER(K:K, H:H=""Chuyển khoản""))
"),4468984)</f>
        <v>4468984</v>
      </c>
      <c r="O249" s="5"/>
      <c r="P249" s="5"/>
      <c r="Q249" s="5"/>
      <c r="R249" s="5"/>
      <c r="S249" s="5"/>
    </row>
    <row r="250" spans="1:19" ht="15.75" customHeight="1" x14ac:dyDescent="0.2">
      <c r="A250" s="3">
        <v>46168</v>
      </c>
      <c r="B250" s="4" t="str">
        <f>IF(A250="","","PC-"&amp;TEXT(A250,"mm/yyyy")&amp;"-"&amp;TEXT(COUNTIFS($A$2:A250,"&gt;="&amp;EOMONTH(A250,-1)+1,$A$2:A250,"&lt;="&amp;EOMONTH(A250,0)),"000"))</f>
        <v>PC-05/2026-046</v>
      </c>
      <c r="C250" s="5" t="s">
        <v>1345</v>
      </c>
      <c r="D250" s="5" t="s">
        <v>29</v>
      </c>
      <c r="E250" s="5" t="s">
        <v>41</v>
      </c>
      <c r="F250" s="5"/>
      <c r="G250" s="5" t="s">
        <v>82</v>
      </c>
      <c r="H250" s="5" t="s">
        <v>23</v>
      </c>
      <c r="I250" s="6">
        <v>100000</v>
      </c>
      <c r="J250" s="6">
        <f>IF(D250="Thu",I250,0)</f>
        <v>0</v>
      </c>
      <c r="K250" s="6">
        <f>IF(D250="Chi",I250,0)</f>
        <v>100000</v>
      </c>
      <c r="L250" s="6" t="e">
        <f>L249+J250-K250</f>
        <v>#VALUE!</v>
      </c>
      <c r="M250" s="6">
        <f ca="1">IFERROR(__xludf.DUMMYFUNCTION("SUM(FILTER(J:J, H:H=""Tiền mặt"")) - SUM(FILTER(K:K, H:H=""Tiền mặt""))
"),959000)</f>
        <v>959000</v>
      </c>
      <c r="N250" s="6">
        <f ca="1">IFERROR(__xludf.DUMMYFUNCTION("SUM(FILTER(J:J, H:H=""Chuyển khoản"")) - SUM(FILTER(K:K, H:H=""Chuyển khoản""))
"),4468984)</f>
        <v>4468984</v>
      </c>
      <c r="O250" s="5"/>
      <c r="P250" s="5"/>
      <c r="Q250" s="5"/>
      <c r="R250" s="5"/>
      <c r="S250" s="5"/>
    </row>
    <row r="251" spans="1:19" ht="15.75" customHeight="1" x14ac:dyDescent="0.2">
      <c r="A251" s="3">
        <v>46168</v>
      </c>
      <c r="B251" s="4" t="str">
        <f>IF(A251="","","PC-"&amp;TEXT(A251,"mm/yyyy")&amp;"-"&amp;TEXT(COUNTIFS($A$2:A251,"&gt;="&amp;EOMONTH(A251,-1)+1,$A$2:A251,"&lt;="&amp;EOMONTH(A251,0)),"000"))</f>
        <v>PC-05/2026-047</v>
      </c>
      <c r="C251" s="5" t="s">
        <v>505</v>
      </c>
      <c r="D251" s="5" t="s">
        <v>29</v>
      </c>
      <c r="E251" s="5" t="s">
        <v>78</v>
      </c>
      <c r="F251" s="5"/>
      <c r="G251" s="5" t="s">
        <v>72</v>
      </c>
      <c r="H251" s="5" t="s">
        <v>27</v>
      </c>
      <c r="I251" s="6">
        <v>65000</v>
      </c>
      <c r="J251" s="6">
        <f>IF(D251="Thu",I251,0)</f>
        <v>0</v>
      </c>
      <c r="K251" s="6">
        <f>IF(D251="Chi",I251,0)</f>
        <v>65000</v>
      </c>
      <c r="L251" s="6" t="e">
        <f>L250+J251-K251</f>
        <v>#VALUE!</v>
      </c>
      <c r="M251" s="6">
        <f ca="1">IFERROR(__xludf.DUMMYFUNCTION("SUM(FILTER(J:J, H:H=""Tiền mặt"")) - SUM(FILTER(K:K, H:H=""Tiền mặt""))
"),959000)</f>
        <v>959000</v>
      </c>
      <c r="N251" s="6">
        <f ca="1">IFERROR(__xludf.DUMMYFUNCTION("SUM(FILTER(J:J, H:H=""Chuyển khoản"")) - SUM(FILTER(K:K, H:H=""Chuyển khoản""))
"),4468984)</f>
        <v>4468984</v>
      </c>
      <c r="O251" s="5"/>
      <c r="P251" s="5"/>
      <c r="Q251" s="5"/>
      <c r="R251" s="5"/>
      <c r="S251" s="5"/>
    </row>
    <row r="252" spans="1:19" ht="15.75" customHeight="1" x14ac:dyDescent="0.2">
      <c r="A252" s="3">
        <v>46168</v>
      </c>
      <c r="B252" s="4" t="str">
        <f>IF(A252="","","PC-"&amp;TEXT(A252,"mm/yyyy")&amp;"-"&amp;TEXT(COUNTIFS($A$2:A252,"&gt;="&amp;EOMONTH(A252,-1)+1,$A$2:A252,"&lt;="&amp;EOMONTH(A252,0)),"000"))</f>
        <v>PC-05/2026-048</v>
      </c>
      <c r="C252" s="5" t="s">
        <v>1346</v>
      </c>
      <c r="D252" s="5" t="s">
        <v>29</v>
      </c>
      <c r="E252" s="5" t="s">
        <v>44</v>
      </c>
      <c r="F252" s="5"/>
      <c r="G252" s="5" t="s">
        <v>99</v>
      </c>
      <c r="H252" s="5" t="s">
        <v>23</v>
      </c>
      <c r="I252" s="6">
        <v>2000000</v>
      </c>
      <c r="J252" s="6">
        <f>IF(D252="Thu",I252,0)</f>
        <v>0</v>
      </c>
      <c r="K252" s="6">
        <f>IF(D252="Chi",I252,0)</f>
        <v>2000000</v>
      </c>
      <c r="L252" s="6" t="e">
        <f>L251+J252-K252</f>
        <v>#VALUE!</v>
      </c>
      <c r="M252" s="6">
        <f ca="1">IFERROR(__xludf.DUMMYFUNCTION("SUM(FILTER(J:J, H:H=""Tiền mặt"")) - SUM(FILTER(K:K, H:H=""Tiền mặt""))
"),959000)</f>
        <v>959000</v>
      </c>
      <c r="N252" s="6">
        <f ca="1">IFERROR(__xludf.DUMMYFUNCTION("SUM(FILTER(J:J, H:H=""Chuyển khoản"")) - SUM(FILTER(K:K, H:H=""Chuyển khoản""))
"),4468984)</f>
        <v>4468984</v>
      </c>
      <c r="O252" s="5"/>
      <c r="P252" s="5"/>
      <c r="Q252" s="5"/>
      <c r="R252" s="5"/>
      <c r="S252" s="5"/>
    </row>
    <row r="253" spans="1:19" ht="15.75" customHeight="1" x14ac:dyDescent="0.2">
      <c r="A253" s="3">
        <v>46168</v>
      </c>
      <c r="B253" s="4" t="str">
        <f>IF(A253="","","PC-"&amp;TEXT(A253,"mm/yyyy")&amp;"-"&amp;TEXT(COUNTIFS($A$2:A253,"&gt;="&amp;EOMONTH(A253,-1)+1,$A$2:A253,"&lt;="&amp;EOMONTH(A253,0)),"000"))</f>
        <v>PC-05/2026-049</v>
      </c>
      <c r="C253" s="7" t="s">
        <v>1347</v>
      </c>
      <c r="D253" s="5" t="s">
        <v>29</v>
      </c>
      <c r="E253" s="5" t="s">
        <v>41</v>
      </c>
      <c r="F253" s="5"/>
      <c r="G253" s="5" t="s">
        <v>560</v>
      </c>
      <c r="H253" s="5" t="s">
        <v>23</v>
      </c>
      <c r="I253" s="6">
        <v>100000</v>
      </c>
      <c r="J253" s="6">
        <f>IF(D253="Thu",I253,0)</f>
        <v>0</v>
      </c>
      <c r="K253" s="6">
        <f>IF(D253="Chi",I253,0)</f>
        <v>100000</v>
      </c>
      <c r="L253" s="6" t="e">
        <f>L252+J253-K253</f>
        <v>#VALUE!</v>
      </c>
      <c r="M253" s="6">
        <f ca="1">IFERROR(__xludf.DUMMYFUNCTION("SUM(FILTER(J:J, H:H=""Tiền mặt"")) - SUM(FILTER(K:K, H:H=""Tiền mặt""))
"),959000)</f>
        <v>959000</v>
      </c>
      <c r="N253" s="6">
        <f ca="1">IFERROR(__xludf.DUMMYFUNCTION("SUM(FILTER(J:J, H:H=""Chuyển khoản"")) - SUM(FILTER(K:K, H:H=""Chuyển khoản""))
"),4468984)</f>
        <v>4468984</v>
      </c>
      <c r="O253" s="5"/>
      <c r="P253" s="5"/>
      <c r="Q253" s="5"/>
      <c r="R253" s="5"/>
      <c r="S253" s="5"/>
    </row>
    <row r="254" spans="1:19" ht="15.75" customHeight="1" x14ac:dyDescent="0.2">
      <c r="A254" s="3">
        <v>46168</v>
      </c>
      <c r="B254" s="4" t="str">
        <f>IF(A254="","","PC-"&amp;TEXT(A254,"mm/yyyy")&amp;"-"&amp;TEXT(COUNTIFS($A$2:A254,"&gt;="&amp;EOMONTH(A254,-1)+1,$A$2:A254,"&lt;="&amp;EOMONTH(A254,0)),"000"))</f>
        <v>PC-05/2026-050</v>
      </c>
      <c r="C254" s="5" t="s">
        <v>1348</v>
      </c>
      <c r="D254" s="5" t="s">
        <v>29</v>
      </c>
      <c r="E254" s="5" t="s">
        <v>71</v>
      </c>
      <c r="F254" s="5"/>
      <c r="G254" s="5" t="s">
        <v>816</v>
      </c>
      <c r="H254" s="5" t="s">
        <v>27</v>
      </c>
      <c r="I254" s="6">
        <v>53000</v>
      </c>
      <c r="J254" s="6">
        <f>IF(D254="Thu",I254,0)</f>
        <v>0</v>
      </c>
      <c r="K254" s="6">
        <f>IF(D254="Chi",I254,0)</f>
        <v>53000</v>
      </c>
      <c r="L254" s="6" t="e">
        <f>L253+J254-K254</f>
        <v>#VALUE!</v>
      </c>
      <c r="M254" s="6">
        <f ca="1">IFERROR(__xludf.DUMMYFUNCTION("SUM(FILTER(J:J, H:H=""Tiền mặt"")) - SUM(FILTER(K:K, H:H=""Tiền mặt""))
"),959000)</f>
        <v>959000</v>
      </c>
      <c r="N254" s="6">
        <f ca="1">IFERROR(__xludf.DUMMYFUNCTION("SUM(FILTER(J:J, H:H=""Chuyển khoản"")) - SUM(FILTER(K:K, H:H=""Chuyển khoản""))
"),4468984)</f>
        <v>4468984</v>
      </c>
      <c r="O254" s="5"/>
      <c r="P254" s="5"/>
      <c r="Q254" s="5"/>
      <c r="R254" s="5"/>
      <c r="S254" s="5"/>
    </row>
    <row r="255" spans="1:19" ht="15.75" customHeight="1" x14ac:dyDescent="0.2">
      <c r="A255" s="3">
        <v>46168</v>
      </c>
      <c r="B255" s="4" t="str">
        <f>IF(A255="","","PC-"&amp;TEXT(A255,"mm/yyyy")&amp;"-"&amp;TEXT(COUNTIFS($A$2:A255,"&gt;="&amp;EOMONTH(A255,-1)+1,$A$2:A255,"&lt;="&amp;EOMONTH(A255,0)),"000"))</f>
        <v>PC-05/2026-051</v>
      </c>
      <c r="C255" s="5" t="s">
        <v>1349</v>
      </c>
      <c r="D255" s="5" t="s">
        <v>29</v>
      </c>
      <c r="E255" s="5" t="s">
        <v>71</v>
      </c>
      <c r="F255" s="5"/>
      <c r="G255" s="5" t="s">
        <v>678</v>
      </c>
      <c r="H255" s="5" t="s">
        <v>27</v>
      </c>
      <c r="I255" s="6">
        <v>75000</v>
      </c>
      <c r="J255" s="6">
        <f>IF(D255="Thu",I255,0)</f>
        <v>0</v>
      </c>
      <c r="K255" s="6">
        <f>IF(D255="Chi",I255,0)</f>
        <v>75000</v>
      </c>
      <c r="L255" s="6" t="e">
        <f>L254+J255-K255</f>
        <v>#VALUE!</v>
      </c>
      <c r="M255" s="6">
        <f ca="1">IFERROR(__xludf.DUMMYFUNCTION("SUM(FILTER(J:J, H:H=""Tiền mặt"")) - SUM(FILTER(K:K, H:H=""Tiền mặt""))
"),959000)</f>
        <v>959000</v>
      </c>
      <c r="N255" s="6">
        <f ca="1">IFERROR(__xludf.DUMMYFUNCTION("SUM(FILTER(J:J, H:H=""Chuyển khoản"")) - SUM(FILTER(K:K, H:H=""Chuyển khoản""))
"),4468984)</f>
        <v>4468984</v>
      </c>
      <c r="O255" s="5"/>
      <c r="P255" s="5"/>
      <c r="Q255" s="5"/>
      <c r="R255" s="5"/>
      <c r="S255" s="5"/>
    </row>
    <row r="256" spans="1:19" ht="15.75" customHeight="1" x14ac:dyDescent="0.2">
      <c r="A256" s="3">
        <v>46168</v>
      </c>
      <c r="B256" s="4" t="str">
        <f>IF(A256="","","PC-"&amp;TEXT(A256,"mm/yyyy")&amp;"-"&amp;TEXT(COUNTIFS($A$2:A256,"&gt;="&amp;EOMONTH(A256,-1)+1,$A$2:A256,"&lt;="&amp;EOMONTH(A256,0)),"000"))</f>
        <v>PC-05/2026-052</v>
      </c>
      <c r="C256" s="7" t="s">
        <v>1350</v>
      </c>
      <c r="D256" s="5" t="s">
        <v>29</v>
      </c>
      <c r="E256" s="5" t="s">
        <v>64</v>
      </c>
      <c r="F256" s="5"/>
      <c r="G256" s="5" t="s">
        <v>482</v>
      </c>
      <c r="H256" s="5" t="s">
        <v>23</v>
      </c>
      <c r="I256" s="6">
        <v>900000</v>
      </c>
      <c r="J256" s="6">
        <f>IF(D256="Thu",I256,0)</f>
        <v>0</v>
      </c>
      <c r="K256" s="6">
        <f>IF(D256="Chi",I256,0)</f>
        <v>900000</v>
      </c>
      <c r="L256" s="6" t="e">
        <f>L255+J256-K256</f>
        <v>#VALUE!</v>
      </c>
      <c r="M256" s="6">
        <f ca="1">IFERROR(__xludf.DUMMYFUNCTION("SUM(FILTER(J:J, H:H=""Tiền mặt"")) - SUM(FILTER(K:K, H:H=""Tiền mặt""))
"),959000)</f>
        <v>959000</v>
      </c>
      <c r="N256" s="6">
        <f ca="1">IFERROR(__xludf.DUMMYFUNCTION("SUM(FILTER(J:J, H:H=""Chuyển khoản"")) - SUM(FILTER(K:K, H:H=""Chuyển khoản""))
"),4468984)</f>
        <v>4468984</v>
      </c>
      <c r="O256" s="5"/>
      <c r="P256" s="5"/>
      <c r="Q256" s="5"/>
      <c r="R256" s="5"/>
      <c r="S256" s="5"/>
    </row>
    <row r="257" spans="1:19" ht="15.75" customHeight="1" x14ac:dyDescent="0.2">
      <c r="A257" s="3">
        <v>46168</v>
      </c>
      <c r="B257" s="4" t="str">
        <f>IF(A257="","","PC-"&amp;TEXT(A257,"mm/yyyy")&amp;"-"&amp;TEXT(COUNTIFS($A$2:A257,"&gt;="&amp;EOMONTH(A257,-1)+1,$A$2:A257,"&lt;="&amp;EOMONTH(A257,0)),"000"))</f>
        <v>PC-05/2026-053</v>
      </c>
      <c r="C257" s="5" t="s">
        <v>1351</v>
      </c>
      <c r="D257" s="5" t="s">
        <v>29</v>
      </c>
      <c r="E257" s="5" t="s">
        <v>88</v>
      </c>
      <c r="F257" s="5"/>
      <c r="G257" s="5" t="s">
        <v>571</v>
      </c>
      <c r="H257" s="5" t="s">
        <v>23</v>
      </c>
      <c r="I257" s="6">
        <v>2596000</v>
      </c>
      <c r="J257" s="6">
        <f>IF(D257="Thu",I257,0)</f>
        <v>0</v>
      </c>
      <c r="K257" s="6">
        <f>IF(D257="Chi",I257,0)</f>
        <v>2596000</v>
      </c>
      <c r="L257" s="6" t="e">
        <f>L256+J257-K257</f>
        <v>#VALUE!</v>
      </c>
      <c r="M257" s="6">
        <f ca="1">IFERROR(__xludf.DUMMYFUNCTION("SUM(FILTER(J:J, H:H=""Tiền mặt"")) - SUM(FILTER(K:K, H:H=""Tiền mặt""))
"),959000)</f>
        <v>959000</v>
      </c>
      <c r="N257" s="6">
        <f ca="1">IFERROR(__xludf.DUMMYFUNCTION("SUM(FILTER(J:J, H:H=""Chuyển khoản"")) - SUM(FILTER(K:K, H:H=""Chuyển khoản""))
"),4468984)</f>
        <v>4468984</v>
      </c>
      <c r="O257" s="5"/>
      <c r="P257" s="5"/>
      <c r="Q257" s="5"/>
      <c r="R257" s="5"/>
      <c r="S257" s="5"/>
    </row>
    <row r="258" spans="1:19" ht="15.75" customHeight="1" x14ac:dyDescent="0.2">
      <c r="A258" s="3">
        <v>46168</v>
      </c>
      <c r="B258" s="4" t="str">
        <f>IF(A258="","","PC-"&amp;TEXT(A258,"mm/yyyy")&amp;"-"&amp;TEXT(COUNTIFS($A$2:A258,"&gt;="&amp;EOMONTH(A258,-1)+1,$A$2:A258,"&lt;="&amp;EOMONTH(A258,0)),"000"))</f>
        <v>PC-05/2026-054</v>
      </c>
      <c r="C258" s="5" t="s">
        <v>1352</v>
      </c>
      <c r="D258" s="5" t="s">
        <v>29</v>
      </c>
      <c r="E258" s="5" t="s">
        <v>88</v>
      </c>
      <c r="F258" s="5"/>
      <c r="G258" s="5" t="s">
        <v>571</v>
      </c>
      <c r="H258" s="5" t="s">
        <v>23</v>
      </c>
      <c r="I258" s="6">
        <v>1305000</v>
      </c>
      <c r="J258" s="6">
        <f>IF(D258="Thu",I258,0)</f>
        <v>0</v>
      </c>
      <c r="K258" s="6">
        <f>IF(D258="Chi",I258,0)</f>
        <v>1305000</v>
      </c>
      <c r="L258" s="6" t="e">
        <f>L257+J258-K258</f>
        <v>#VALUE!</v>
      </c>
      <c r="M258" s="6">
        <f ca="1">IFERROR(__xludf.DUMMYFUNCTION("SUM(FILTER(J:J, H:H=""Tiền mặt"")) - SUM(FILTER(K:K, H:H=""Tiền mặt""))
"),959000)</f>
        <v>959000</v>
      </c>
      <c r="N258" s="6">
        <f ca="1">IFERROR(__xludf.DUMMYFUNCTION("SUM(FILTER(J:J, H:H=""Chuyển khoản"")) - SUM(FILTER(K:K, H:H=""Chuyển khoản""))
"),4468984)</f>
        <v>4468984</v>
      </c>
      <c r="O258" s="5"/>
      <c r="P258" s="5"/>
      <c r="Q258" s="5"/>
      <c r="R258" s="5"/>
      <c r="S258" s="5"/>
    </row>
    <row r="259" spans="1:19" ht="15.75" customHeight="1" x14ac:dyDescent="0.2">
      <c r="A259" s="3">
        <v>46168</v>
      </c>
      <c r="B259" s="4" t="str">
        <f>IF(A259="","","PC-"&amp;TEXT(A259,"mm/yyyy")&amp;"-"&amp;TEXT(COUNTIFS($A$2:A259,"&gt;="&amp;EOMONTH(A259,-1)+1,$A$2:A259,"&lt;="&amp;EOMONTH(A259,0)),"000"))</f>
        <v>PC-05/2026-055</v>
      </c>
      <c r="C259" s="5" t="s">
        <v>1353</v>
      </c>
      <c r="D259" s="5" t="s">
        <v>20</v>
      </c>
      <c r="E259" s="5" t="s">
        <v>21</v>
      </c>
      <c r="F259" s="5"/>
      <c r="G259" s="5" t="s">
        <v>1236</v>
      </c>
      <c r="H259" s="5" t="s">
        <v>23</v>
      </c>
      <c r="I259" s="6">
        <v>200000</v>
      </c>
      <c r="J259" s="6">
        <f>IF(D259="Thu",I259,0)</f>
        <v>200000</v>
      </c>
      <c r="K259" s="6">
        <f>IF(D259="Chi",I259,0)</f>
        <v>0</v>
      </c>
      <c r="L259" s="6" t="e">
        <f>L258+J259-K259</f>
        <v>#VALUE!</v>
      </c>
      <c r="M259" s="6">
        <f ca="1">IFERROR(__xludf.DUMMYFUNCTION("SUM(FILTER(J:J, H:H=""Tiền mặt"")) - SUM(FILTER(K:K, H:H=""Tiền mặt""))
"),959000)</f>
        <v>959000</v>
      </c>
      <c r="N259" s="6">
        <f ca="1">IFERROR(__xludf.DUMMYFUNCTION("SUM(FILTER(J:J, H:H=""Chuyển khoản"")) - SUM(FILTER(K:K, H:H=""Chuyển khoản""))
"),4468984)</f>
        <v>4468984</v>
      </c>
      <c r="O259" s="5"/>
      <c r="P259" s="5"/>
      <c r="Q259" s="5"/>
      <c r="R259" s="5"/>
      <c r="S259" s="5"/>
    </row>
    <row r="260" spans="1:19" ht="15.75" customHeight="1" x14ac:dyDescent="0.2">
      <c r="A260" s="3">
        <v>46168</v>
      </c>
      <c r="B260" s="4" t="str">
        <f>IF(A260="","","PC-"&amp;TEXT(A260,"mm/yyyy")&amp;"-"&amp;TEXT(COUNTIFS($A$2:A260,"&gt;="&amp;EOMONTH(A260,-1)+1,$A$2:A260,"&lt;="&amp;EOMONTH(A260,0)),"000"))</f>
        <v>PC-05/2026-056</v>
      </c>
      <c r="C260" s="5" t="s">
        <v>1354</v>
      </c>
      <c r="D260" s="5" t="s">
        <v>29</v>
      </c>
      <c r="E260" s="5" t="s">
        <v>41</v>
      </c>
      <c r="F260" s="5"/>
      <c r="G260" s="5" t="s">
        <v>82</v>
      </c>
      <c r="H260" s="5" t="s">
        <v>23</v>
      </c>
      <c r="I260" s="6">
        <v>100000</v>
      </c>
      <c r="J260" s="6">
        <f>IF(D260="Thu",I260,0)</f>
        <v>0</v>
      </c>
      <c r="K260" s="6">
        <f>IF(D260="Chi",I260,0)</f>
        <v>100000</v>
      </c>
      <c r="L260" s="6" t="e">
        <f>L259+J260-K260</f>
        <v>#VALUE!</v>
      </c>
      <c r="M260" s="6">
        <f ca="1">IFERROR(__xludf.DUMMYFUNCTION("SUM(FILTER(J:J, H:H=""Tiền mặt"")) - SUM(FILTER(K:K, H:H=""Tiền mặt""))
"),959000)</f>
        <v>959000</v>
      </c>
      <c r="N260" s="6">
        <f ca="1">IFERROR(__xludf.DUMMYFUNCTION("SUM(FILTER(J:J, H:H=""Chuyển khoản"")) - SUM(FILTER(K:K, H:H=""Chuyển khoản""))
"),4468984)</f>
        <v>4468984</v>
      </c>
      <c r="O260" s="5"/>
      <c r="P260" s="5"/>
      <c r="Q260" s="5"/>
      <c r="R260" s="5"/>
      <c r="S260" s="5"/>
    </row>
    <row r="261" spans="1:19" ht="15.75" customHeight="1" x14ac:dyDescent="0.2">
      <c r="A261" s="3">
        <v>46168</v>
      </c>
      <c r="B261" s="4" t="str">
        <f>IF(A261="","","PC-"&amp;TEXT(A261,"mm/yyyy")&amp;"-"&amp;TEXT(COUNTIFS($A$2:A261,"&gt;="&amp;EOMONTH(A261,-1)+1,$A$2:A261,"&lt;="&amp;EOMONTH(A261,0)),"000"))</f>
        <v>PC-05/2026-057</v>
      </c>
      <c r="C261" s="5" t="s">
        <v>1355</v>
      </c>
      <c r="D261" s="5" t="s">
        <v>29</v>
      </c>
      <c r="E261" s="5" t="s">
        <v>64</v>
      </c>
      <c r="F261" s="5"/>
      <c r="G261" s="5" t="s">
        <v>1356</v>
      </c>
      <c r="H261" s="5" t="s">
        <v>23</v>
      </c>
      <c r="I261" s="6">
        <v>100000</v>
      </c>
      <c r="J261" s="6">
        <f>IF(D261="Thu",I261,0)</f>
        <v>0</v>
      </c>
      <c r="K261" s="6">
        <f>IF(D261="Chi",I261,0)</f>
        <v>100000</v>
      </c>
      <c r="L261" s="6" t="e">
        <f>L260+J261-K261</f>
        <v>#VALUE!</v>
      </c>
      <c r="M261" s="6">
        <f ca="1">IFERROR(__xludf.DUMMYFUNCTION("SUM(FILTER(J:J, H:H=""Tiền mặt"")) - SUM(FILTER(K:K, H:H=""Tiền mặt""))
"),959000)</f>
        <v>959000</v>
      </c>
      <c r="N261" s="6">
        <f ca="1">IFERROR(__xludf.DUMMYFUNCTION("SUM(FILTER(J:J, H:H=""Chuyển khoản"")) - SUM(FILTER(K:K, H:H=""Chuyển khoản""))
"),4468984)</f>
        <v>4468984</v>
      </c>
      <c r="O261" s="5"/>
      <c r="P261" s="5"/>
      <c r="Q261" s="5"/>
      <c r="R261" s="5"/>
      <c r="S261" s="5"/>
    </row>
    <row r="262" spans="1:19" ht="15.75" customHeight="1" x14ac:dyDescent="0.2">
      <c r="A262" s="3">
        <v>46168</v>
      </c>
      <c r="B262" s="4" t="str">
        <f>IF(A262="","","PC-"&amp;TEXT(A262,"mm/yyyy")&amp;"-"&amp;TEXT(COUNTIFS($A$2:A262,"&gt;="&amp;EOMONTH(A262,-1)+1,$A$2:A262,"&lt;="&amp;EOMONTH(A262,0)),"000"))</f>
        <v>PC-05/2026-058</v>
      </c>
      <c r="C262" s="5" t="s">
        <v>1357</v>
      </c>
      <c r="D262" s="5" t="s">
        <v>29</v>
      </c>
      <c r="E262" s="5" t="s">
        <v>64</v>
      </c>
      <c r="F262" s="5"/>
      <c r="G262" s="5" t="s">
        <v>338</v>
      </c>
      <c r="H262" s="5" t="s">
        <v>23</v>
      </c>
      <c r="I262" s="6">
        <v>2000000</v>
      </c>
      <c r="J262" s="6">
        <f>IF(D262="Thu",I262,0)</f>
        <v>0</v>
      </c>
      <c r="K262" s="6">
        <f>IF(D262="Chi",I262,0)</f>
        <v>2000000</v>
      </c>
      <c r="L262" s="6" t="e">
        <f>L261+J262-K262</f>
        <v>#VALUE!</v>
      </c>
      <c r="M262" s="6">
        <f ca="1">IFERROR(__xludf.DUMMYFUNCTION("SUM(FILTER(J:J, H:H=""Tiền mặt"")) - SUM(FILTER(K:K, H:H=""Tiền mặt""))
"),959000)</f>
        <v>959000</v>
      </c>
      <c r="N262" s="6">
        <f ca="1">IFERROR(__xludf.DUMMYFUNCTION("SUM(FILTER(J:J, H:H=""Chuyển khoản"")) - SUM(FILTER(K:K, H:H=""Chuyển khoản""))
"),4468984)</f>
        <v>4468984</v>
      </c>
      <c r="O262" s="5"/>
      <c r="P262" s="5"/>
      <c r="Q262" s="5"/>
      <c r="R262" s="5"/>
      <c r="S262" s="5"/>
    </row>
    <row r="263" spans="1:19" ht="15.75" customHeight="1" x14ac:dyDescent="0.2">
      <c r="A263" s="3">
        <v>46168</v>
      </c>
      <c r="B263" s="4" t="str">
        <f>IF(A263="","","PC-"&amp;TEXT(A263,"mm/yyyy")&amp;"-"&amp;TEXT(COUNTIFS($A$2:A263,"&gt;="&amp;EOMONTH(A263,-1)+1,$A$2:A263,"&lt;="&amp;EOMONTH(A263,0)),"000"))</f>
        <v>PC-05/2026-059</v>
      </c>
      <c r="C263" s="5" t="s">
        <v>1358</v>
      </c>
      <c r="D263" s="5" t="s">
        <v>29</v>
      </c>
      <c r="E263" s="5" t="s">
        <v>64</v>
      </c>
      <c r="F263" s="5"/>
      <c r="G263" s="5" t="s">
        <v>338</v>
      </c>
      <c r="H263" s="5" t="s">
        <v>23</v>
      </c>
      <c r="I263" s="6">
        <v>2000000</v>
      </c>
      <c r="J263" s="6">
        <f>IF(D263="Thu",I263,0)</f>
        <v>0</v>
      </c>
      <c r="K263" s="6">
        <f>IF(D263="Chi",I263,0)</f>
        <v>2000000</v>
      </c>
      <c r="L263" s="6" t="e">
        <f>L262+J263-K263</f>
        <v>#VALUE!</v>
      </c>
      <c r="M263" s="6">
        <f ca="1">IFERROR(__xludf.DUMMYFUNCTION("SUM(FILTER(J:J, H:H=""Tiền mặt"")) - SUM(FILTER(K:K, H:H=""Tiền mặt""))
"),959000)</f>
        <v>959000</v>
      </c>
      <c r="N263" s="6">
        <f ca="1">IFERROR(__xludf.DUMMYFUNCTION("SUM(FILTER(J:J, H:H=""Chuyển khoản"")) - SUM(FILTER(K:K, H:H=""Chuyển khoản""))
"),4468984)</f>
        <v>4468984</v>
      </c>
      <c r="O263" s="5"/>
      <c r="P263" s="5"/>
      <c r="Q263" s="5"/>
      <c r="R263" s="5"/>
      <c r="S263" s="5"/>
    </row>
    <row r="264" spans="1:19" ht="15.75" customHeight="1" x14ac:dyDescent="0.2">
      <c r="A264" s="3">
        <v>46168</v>
      </c>
      <c r="B264" s="4" t="str">
        <f>IF(A264="","","PC-"&amp;TEXT(A264,"mm/yyyy")&amp;"-"&amp;TEXT(COUNTIFS($A$2:A264,"&gt;="&amp;EOMONTH(A264,-1)+1,$A$2:A264,"&lt;="&amp;EOMONTH(A264,0)),"000"))</f>
        <v>PC-05/2026-060</v>
      </c>
      <c r="C264" s="5" t="s">
        <v>1359</v>
      </c>
      <c r="D264" s="5" t="s">
        <v>20</v>
      </c>
      <c r="E264" s="5" t="s">
        <v>21</v>
      </c>
      <c r="F264" s="5"/>
      <c r="G264" s="5" t="s">
        <v>22</v>
      </c>
      <c r="H264" s="5" t="s">
        <v>23</v>
      </c>
      <c r="I264" s="6">
        <v>2000000</v>
      </c>
      <c r="J264" s="6">
        <f>IF(D264="Thu",I264,0)</f>
        <v>2000000</v>
      </c>
      <c r="K264" s="6">
        <f>IF(D264="Chi",I264,0)</f>
        <v>0</v>
      </c>
      <c r="L264" s="6" t="e">
        <f>L263+J264-K264</f>
        <v>#VALUE!</v>
      </c>
      <c r="M264" s="6">
        <f ca="1">IFERROR(__xludf.DUMMYFUNCTION("SUM(FILTER(J:J, H:H=""Tiền mặt"")) - SUM(FILTER(K:K, H:H=""Tiền mặt""))
"),959000)</f>
        <v>959000</v>
      </c>
      <c r="N264" s="6">
        <f ca="1">IFERROR(__xludf.DUMMYFUNCTION("SUM(FILTER(J:J, H:H=""Chuyển khoản"")) - SUM(FILTER(K:K, H:H=""Chuyển khoản""))
"),4468984)</f>
        <v>4468984</v>
      </c>
      <c r="O264" s="5"/>
      <c r="P264" s="5"/>
      <c r="Q264" s="5"/>
      <c r="R264" s="5"/>
      <c r="S264" s="5"/>
    </row>
    <row r="265" spans="1:19" ht="15.75" customHeight="1" x14ac:dyDescent="0.2">
      <c r="A265" s="3">
        <v>46167</v>
      </c>
      <c r="B265" s="4" t="str">
        <f>IF(A265="","","PC-"&amp;TEXT(A265,"mm/yyyy")&amp;"-"&amp;TEXT(COUNTIFS($A$2:A265,"&gt;="&amp;EOMONTH(A265,-1)+1,$A$2:A265,"&lt;="&amp;EOMONTH(A265,0)),"000"))</f>
        <v>PC-05/2026-061</v>
      </c>
      <c r="C265" s="5" t="s">
        <v>1323</v>
      </c>
      <c r="D265" s="5" t="s">
        <v>29</v>
      </c>
      <c r="E265" s="5" t="s">
        <v>44</v>
      </c>
      <c r="F265" s="5"/>
      <c r="G265" s="5" t="s">
        <v>1324</v>
      </c>
      <c r="H265" s="5" t="s">
        <v>23</v>
      </c>
      <c r="I265" s="6">
        <v>3000000</v>
      </c>
      <c r="J265" s="6">
        <f>IF(D265="Thu",I265,0)</f>
        <v>0</v>
      </c>
      <c r="K265" s="6">
        <f>IF(D265="Chi",I265,0)</f>
        <v>3000000</v>
      </c>
      <c r="L265" s="6" t="e">
        <f>L264+J265-K265</f>
        <v>#VALUE!</v>
      </c>
      <c r="M265" s="6">
        <f ca="1">IFERROR(__xludf.DUMMYFUNCTION("SUM(FILTER(J:J, H:H=""Tiền mặt"")) - SUM(FILTER(K:K, H:H=""Tiền mặt""))
"),959000)</f>
        <v>959000</v>
      </c>
      <c r="N265" s="6">
        <f ca="1">IFERROR(__xludf.DUMMYFUNCTION("SUM(FILTER(J:J, H:H=""Chuyển khoản"")) - SUM(FILTER(K:K, H:H=""Chuyển khoản""))
"),4468984)</f>
        <v>4468984</v>
      </c>
      <c r="O265" s="5"/>
      <c r="P265" s="5"/>
      <c r="Q265" s="5"/>
      <c r="R265" s="5"/>
      <c r="S265" s="5"/>
    </row>
    <row r="266" spans="1:19" ht="15.75" customHeight="1" x14ac:dyDescent="0.2">
      <c r="A266" s="3">
        <v>46167</v>
      </c>
      <c r="B266" s="4" t="str">
        <f>IF(A266="","","PC-"&amp;TEXT(A266,"mm/yyyy")&amp;"-"&amp;TEXT(COUNTIFS($A$2:A266,"&gt;="&amp;EOMONTH(A266,-1)+1,$A$2:A266,"&lt;="&amp;EOMONTH(A266,0)),"000"))</f>
        <v>PC-05/2026-062</v>
      </c>
      <c r="C266" s="5" t="s">
        <v>1325</v>
      </c>
      <c r="D266" s="5" t="s">
        <v>29</v>
      </c>
      <c r="E266" s="5" t="s">
        <v>47</v>
      </c>
      <c r="F266" s="5"/>
      <c r="G266" s="5" t="s">
        <v>48</v>
      </c>
      <c r="H266" s="5" t="s">
        <v>23</v>
      </c>
      <c r="I266" s="6">
        <v>50000</v>
      </c>
      <c r="J266" s="6">
        <f>IF(D266="Thu",I266,0)</f>
        <v>0</v>
      </c>
      <c r="K266" s="6">
        <f>IF(D266="Chi",I266,0)</f>
        <v>50000</v>
      </c>
      <c r="L266" s="6" t="e">
        <f>L265+J266-K266</f>
        <v>#VALUE!</v>
      </c>
      <c r="M266" s="6">
        <f ca="1">IFERROR(__xludf.DUMMYFUNCTION("SUM(FILTER(J:J, H:H=""Tiền mặt"")) - SUM(FILTER(K:K, H:H=""Tiền mặt""))
"),959000)</f>
        <v>959000</v>
      </c>
      <c r="N266" s="6">
        <f ca="1">IFERROR(__xludf.DUMMYFUNCTION("SUM(FILTER(J:J, H:H=""Chuyển khoản"")) - SUM(FILTER(K:K, H:H=""Chuyển khoản""))
"),4468984)</f>
        <v>4468984</v>
      </c>
      <c r="O266" s="5"/>
      <c r="P266" s="5"/>
      <c r="Q266" s="5"/>
      <c r="R266" s="5"/>
      <c r="S266" s="5"/>
    </row>
    <row r="267" spans="1:19" ht="15.75" customHeight="1" x14ac:dyDescent="0.2">
      <c r="A267" s="3">
        <v>46167</v>
      </c>
      <c r="B267" s="4" t="str">
        <f>IF(A267="","","PC-"&amp;TEXT(A267,"mm/yyyy")&amp;"-"&amp;TEXT(COUNTIFS($A$2:A267,"&gt;="&amp;EOMONTH(A267,-1)+1,$A$2:A267,"&lt;="&amp;EOMONTH(A267,0)),"000"))</f>
        <v>PC-05/2026-063</v>
      </c>
      <c r="C267" s="5" t="s">
        <v>1108</v>
      </c>
      <c r="D267" s="5" t="s">
        <v>29</v>
      </c>
      <c r="E267" s="5" t="s">
        <v>33</v>
      </c>
      <c r="F267" s="5"/>
      <c r="G267" s="5" t="s">
        <v>37</v>
      </c>
      <c r="H267" s="5" t="s">
        <v>23</v>
      </c>
      <c r="I267" s="6">
        <v>250000</v>
      </c>
      <c r="J267" s="6">
        <f>IF(D267="Thu",I267,0)</f>
        <v>0</v>
      </c>
      <c r="K267" s="6">
        <f>IF(D267="Chi",I267,0)</f>
        <v>250000</v>
      </c>
      <c r="L267" s="6" t="e">
        <f>L266+J267-K267</f>
        <v>#VALUE!</v>
      </c>
      <c r="M267" s="6">
        <f ca="1">IFERROR(__xludf.DUMMYFUNCTION("SUM(FILTER(J:J, H:H=""Tiền mặt"")) - SUM(FILTER(K:K, H:H=""Tiền mặt""))
"),959000)</f>
        <v>959000</v>
      </c>
      <c r="N267" s="6">
        <f ca="1">IFERROR(__xludf.DUMMYFUNCTION("SUM(FILTER(J:J, H:H=""Chuyển khoản"")) - SUM(FILTER(K:K, H:H=""Chuyển khoản""))
"),4468984)</f>
        <v>4468984</v>
      </c>
      <c r="O267" s="5"/>
      <c r="P267" s="5"/>
      <c r="Q267" s="5"/>
      <c r="R267" s="5"/>
      <c r="S267" s="5"/>
    </row>
    <row r="268" spans="1:19" ht="15.75" customHeight="1" x14ac:dyDescent="0.2">
      <c r="A268" s="3">
        <v>46167</v>
      </c>
      <c r="B268" s="4" t="str">
        <f>IF(A268="","","PC-"&amp;TEXT(A268,"mm/yyyy")&amp;"-"&amp;TEXT(COUNTIFS($A$2:A268,"&gt;="&amp;EOMONTH(A268,-1)+1,$A$2:A268,"&lt;="&amp;EOMONTH(A268,0)),"000"))</f>
        <v>PC-05/2026-064</v>
      </c>
      <c r="C268" s="5" t="s">
        <v>1326</v>
      </c>
      <c r="D268" s="5" t="s">
        <v>29</v>
      </c>
      <c r="E268" s="5" t="s">
        <v>41</v>
      </c>
      <c r="F268" s="5"/>
      <c r="G268" s="5" t="s">
        <v>82</v>
      </c>
      <c r="H268" s="5" t="s">
        <v>23</v>
      </c>
      <c r="I268" s="6">
        <v>100000</v>
      </c>
      <c r="J268" s="6">
        <f>IF(D268="Thu",I268,0)</f>
        <v>0</v>
      </c>
      <c r="K268" s="6">
        <f>IF(D268="Chi",I268,0)</f>
        <v>100000</v>
      </c>
      <c r="L268" s="6" t="e">
        <f>L267+J268-K268</f>
        <v>#VALUE!</v>
      </c>
      <c r="M268" s="6">
        <f ca="1">IFERROR(__xludf.DUMMYFUNCTION("SUM(FILTER(J:J, H:H=""Tiền mặt"")) - SUM(FILTER(K:K, H:H=""Tiền mặt""))
"),959000)</f>
        <v>959000</v>
      </c>
      <c r="N268" s="6">
        <f ca="1">IFERROR(__xludf.DUMMYFUNCTION("SUM(FILTER(J:J, H:H=""Chuyển khoản"")) - SUM(FILTER(K:K, H:H=""Chuyển khoản""))
"),4468984)</f>
        <v>4468984</v>
      </c>
      <c r="O268" s="5"/>
      <c r="P268" s="5"/>
      <c r="Q268" s="5"/>
      <c r="R268" s="5"/>
      <c r="S268" s="5"/>
    </row>
    <row r="269" spans="1:19" ht="15.75" customHeight="1" x14ac:dyDescent="0.2">
      <c r="A269" s="3">
        <v>46167</v>
      </c>
      <c r="B269" s="4" t="str">
        <f>IF(A269="","","PC-"&amp;TEXT(A269,"mm/yyyy")&amp;"-"&amp;TEXT(COUNTIFS($A$2:A269,"&gt;="&amp;EOMONTH(A269,-1)+1,$A$2:A269,"&lt;="&amp;EOMONTH(A269,0)),"000"))</f>
        <v>PC-05/2026-065</v>
      </c>
      <c r="C269" s="5" t="s">
        <v>1327</v>
      </c>
      <c r="D269" s="5" t="s">
        <v>29</v>
      </c>
      <c r="E269" s="5" t="s">
        <v>41</v>
      </c>
      <c r="F269" s="5"/>
      <c r="G269" s="5" t="s">
        <v>82</v>
      </c>
      <c r="H269" s="5" t="s">
        <v>23</v>
      </c>
      <c r="I269" s="6">
        <v>100000</v>
      </c>
      <c r="J269" s="6">
        <f>IF(D269="Thu",I269,0)</f>
        <v>0</v>
      </c>
      <c r="K269" s="6">
        <f>IF(D269="Chi",I269,0)</f>
        <v>100000</v>
      </c>
      <c r="L269" s="6" t="e">
        <f>L268+J269-K269</f>
        <v>#VALUE!</v>
      </c>
      <c r="M269" s="6">
        <f ca="1">IFERROR(__xludf.DUMMYFUNCTION("SUM(FILTER(J:J, H:H=""Tiền mặt"")) - SUM(FILTER(K:K, H:H=""Tiền mặt""))
"),959000)</f>
        <v>959000</v>
      </c>
      <c r="N269" s="6">
        <f ca="1">IFERROR(__xludf.DUMMYFUNCTION("SUM(FILTER(J:J, H:H=""Chuyển khoản"")) - SUM(FILTER(K:K, H:H=""Chuyển khoản""))
"),4468984)</f>
        <v>4468984</v>
      </c>
      <c r="O269" s="5"/>
      <c r="P269" s="5"/>
      <c r="Q269" s="5"/>
      <c r="R269" s="5"/>
      <c r="S269" s="5"/>
    </row>
    <row r="270" spans="1:19" ht="15.75" customHeight="1" x14ac:dyDescent="0.2">
      <c r="A270" s="3">
        <v>46167</v>
      </c>
      <c r="B270" s="4" t="str">
        <f>IF(A270="","","PC-"&amp;TEXT(A270,"mm/yyyy")&amp;"-"&amp;TEXT(COUNTIFS($A$2:A270,"&gt;="&amp;EOMONTH(A270,-1)+1,$A$2:A270,"&lt;="&amp;EOMONTH(A270,0)),"000"))</f>
        <v>PC-05/2026-066</v>
      </c>
      <c r="C270" s="5" t="s">
        <v>1328</v>
      </c>
      <c r="D270" s="5" t="s">
        <v>29</v>
      </c>
      <c r="E270" s="5" t="s">
        <v>141</v>
      </c>
      <c r="F270" s="5"/>
      <c r="G270" s="5" t="s">
        <v>52</v>
      </c>
      <c r="H270" s="5" t="s">
        <v>27</v>
      </c>
      <c r="I270" s="6">
        <v>1897000</v>
      </c>
      <c r="J270" s="6">
        <f>IF(D270="Thu",I270,0)</f>
        <v>0</v>
      </c>
      <c r="K270" s="6">
        <f>IF(D270="Chi",I270,0)</f>
        <v>1897000</v>
      </c>
      <c r="L270" s="6" t="e">
        <f>L269+J270-K270</f>
        <v>#VALUE!</v>
      </c>
      <c r="M270" s="6">
        <f ca="1">IFERROR(__xludf.DUMMYFUNCTION("SUM(FILTER(J:J, H:H=""Tiền mặt"")) - SUM(FILTER(K:K, H:H=""Tiền mặt""))
"),959000)</f>
        <v>959000</v>
      </c>
      <c r="N270" s="6">
        <f ca="1">IFERROR(__xludf.DUMMYFUNCTION("SUM(FILTER(J:J, H:H=""Chuyển khoản"")) - SUM(FILTER(K:K, H:H=""Chuyển khoản""))
"),4468984)</f>
        <v>4468984</v>
      </c>
      <c r="O270" s="5"/>
      <c r="P270" s="5"/>
      <c r="Q270" s="5"/>
      <c r="R270" s="5"/>
      <c r="S270" s="5"/>
    </row>
    <row r="271" spans="1:19" ht="15.75" customHeight="1" x14ac:dyDescent="0.2">
      <c r="A271" s="3">
        <v>46167</v>
      </c>
      <c r="B271" s="4" t="str">
        <f>IF(A271="","","PC-"&amp;TEXT(A271,"mm/yyyy")&amp;"-"&amp;TEXT(COUNTIFS($A$2:A271,"&gt;="&amp;EOMONTH(A271,-1)+1,$A$2:A271,"&lt;="&amp;EOMONTH(A271,0)),"000"))</f>
        <v>PC-05/2026-067</v>
      </c>
      <c r="C271" s="5" t="s">
        <v>1329</v>
      </c>
      <c r="D271" s="5" t="s">
        <v>20</v>
      </c>
      <c r="E271" s="5" t="s">
        <v>21</v>
      </c>
      <c r="F271" s="5"/>
      <c r="G271" s="5" t="s">
        <v>22</v>
      </c>
      <c r="H271" s="5" t="s">
        <v>27</v>
      </c>
      <c r="I271" s="6">
        <v>10000000</v>
      </c>
      <c r="J271" s="6">
        <f>IF(D271="Thu",I271,0)</f>
        <v>10000000</v>
      </c>
      <c r="K271" s="6">
        <f>IF(D271="Chi",I271,0)</f>
        <v>0</v>
      </c>
      <c r="L271" s="6" t="e">
        <f>L270+J271-K271</f>
        <v>#VALUE!</v>
      </c>
      <c r="M271" s="6">
        <f ca="1">IFERROR(__xludf.DUMMYFUNCTION("SUM(FILTER(J:J, H:H=""Tiền mặt"")) - SUM(FILTER(K:K, H:H=""Tiền mặt""))
"),959000)</f>
        <v>959000</v>
      </c>
      <c r="N271" s="6">
        <f ca="1">IFERROR(__xludf.DUMMYFUNCTION("SUM(FILTER(J:J, H:H=""Chuyển khoản"")) - SUM(FILTER(K:K, H:H=""Chuyển khoản""))
"),4468984)</f>
        <v>4468984</v>
      </c>
      <c r="O271" s="5"/>
      <c r="P271" s="5"/>
      <c r="Q271" s="5"/>
      <c r="R271" s="5"/>
      <c r="S271" s="5"/>
    </row>
    <row r="272" spans="1:19" ht="15.75" customHeight="1" x14ac:dyDescent="0.2">
      <c r="A272" s="3">
        <v>46167</v>
      </c>
      <c r="B272" s="4" t="str">
        <f>IF(A272="","","PC-"&amp;TEXT(A272,"mm/yyyy")&amp;"-"&amp;TEXT(COUNTIFS($A$2:A272,"&gt;="&amp;EOMONTH(A272,-1)+1,$A$2:A272,"&lt;="&amp;EOMONTH(A272,0)),"000"))</f>
        <v>PC-05/2026-068</v>
      </c>
      <c r="C272" s="5" t="s">
        <v>1330</v>
      </c>
      <c r="D272" s="5" t="s">
        <v>29</v>
      </c>
      <c r="E272" s="5" t="s">
        <v>71</v>
      </c>
      <c r="F272" s="5"/>
      <c r="G272" s="5" t="s">
        <v>1331</v>
      </c>
      <c r="H272" s="5" t="s">
        <v>27</v>
      </c>
      <c r="I272" s="6">
        <v>30000</v>
      </c>
      <c r="J272" s="6">
        <f>IF(D272="Thu",I272,0)</f>
        <v>0</v>
      </c>
      <c r="K272" s="6">
        <f>IF(D272="Chi",I272,0)</f>
        <v>30000</v>
      </c>
      <c r="L272" s="6" t="e">
        <f>L271+J272-K272</f>
        <v>#VALUE!</v>
      </c>
      <c r="M272" s="6">
        <f ca="1">IFERROR(__xludf.DUMMYFUNCTION("SUM(FILTER(J:J, H:H=""Tiền mặt"")) - SUM(FILTER(K:K, H:H=""Tiền mặt""))
"),959000)</f>
        <v>959000</v>
      </c>
      <c r="N272" s="6">
        <f ca="1">IFERROR(__xludf.DUMMYFUNCTION("SUM(FILTER(J:J, H:H=""Chuyển khoản"")) - SUM(FILTER(K:K, H:H=""Chuyển khoản""))
"),4468984)</f>
        <v>4468984</v>
      </c>
      <c r="O272" s="5"/>
      <c r="P272" s="5"/>
      <c r="Q272" s="5"/>
      <c r="R272" s="5"/>
      <c r="S272" s="5"/>
    </row>
    <row r="273" spans="1:19" ht="15.75" customHeight="1" x14ac:dyDescent="0.2">
      <c r="A273" s="3">
        <v>46167</v>
      </c>
      <c r="B273" s="4" t="str">
        <f>IF(A273="","","PC-"&amp;TEXT(A273,"mm/yyyy")&amp;"-"&amp;TEXT(COUNTIFS($A$2:A273,"&gt;="&amp;EOMONTH(A273,-1)+1,$A$2:A273,"&lt;="&amp;EOMONTH(A273,0)),"000"))</f>
        <v>PC-05/2026-069</v>
      </c>
      <c r="C273" s="5" t="s">
        <v>1332</v>
      </c>
      <c r="D273" s="5" t="s">
        <v>29</v>
      </c>
      <c r="E273" s="5" t="s">
        <v>51</v>
      </c>
      <c r="F273" s="5"/>
      <c r="G273" s="5" t="s">
        <v>52</v>
      </c>
      <c r="H273" s="5" t="s">
        <v>27</v>
      </c>
      <c r="I273" s="6">
        <v>86900</v>
      </c>
      <c r="J273" s="6">
        <f>IF(D273="Thu",I273,0)</f>
        <v>0</v>
      </c>
      <c r="K273" s="6">
        <f>IF(D273="Chi",I273,0)</f>
        <v>86900</v>
      </c>
      <c r="L273" s="6" t="e">
        <f>L272+J273-K273</f>
        <v>#VALUE!</v>
      </c>
      <c r="M273" s="6">
        <f ca="1">IFERROR(__xludf.DUMMYFUNCTION("SUM(FILTER(J:J, H:H=""Tiền mặt"")) - SUM(FILTER(K:K, H:H=""Tiền mặt""))
"),959000)</f>
        <v>959000</v>
      </c>
      <c r="N273" s="6">
        <f ca="1">IFERROR(__xludf.DUMMYFUNCTION("SUM(FILTER(J:J, H:H=""Chuyển khoản"")) - SUM(FILTER(K:K, H:H=""Chuyển khoản""))
"),4468984)</f>
        <v>4468984</v>
      </c>
      <c r="O273" s="5"/>
      <c r="P273" s="5"/>
      <c r="Q273" s="5"/>
      <c r="R273" s="5"/>
      <c r="S273" s="5"/>
    </row>
    <row r="274" spans="1:19" ht="15.75" customHeight="1" x14ac:dyDescent="0.2">
      <c r="A274" s="3">
        <v>46167</v>
      </c>
      <c r="B274" s="4" t="str">
        <f>IF(A274="","","PC-"&amp;TEXT(A274,"mm/yyyy")&amp;"-"&amp;TEXT(COUNTIFS($A$2:A274,"&gt;="&amp;EOMONTH(A274,-1)+1,$A$2:A274,"&lt;="&amp;EOMONTH(A274,0)),"000"))</f>
        <v>PC-05/2026-070</v>
      </c>
      <c r="C274" s="5" t="s">
        <v>1333</v>
      </c>
      <c r="D274" s="5" t="s">
        <v>29</v>
      </c>
      <c r="E274" s="5" t="s">
        <v>51</v>
      </c>
      <c r="F274" s="5"/>
      <c r="G274" s="5" t="s">
        <v>52</v>
      </c>
      <c r="H274" s="5" t="s">
        <v>27</v>
      </c>
      <c r="I274" s="6">
        <v>354435</v>
      </c>
      <c r="J274" s="6">
        <f>IF(D274="Thu",I274,0)</f>
        <v>0</v>
      </c>
      <c r="K274" s="6">
        <f>IF(D274="Chi",I274,0)</f>
        <v>354435</v>
      </c>
      <c r="L274" s="6" t="e">
        <f>L273+J274-K274</f>
        <v>#VALUE!</v>
      </c>
      <c r="M274" s="6">
        <f ca="1">IFERROR(__xludf.DUMMYFUNCTION("SUM(FILTER(J:J, H:H=""Tiền mặt"")) - SUM(FILTER(K:K, H:H=""Tiền mặt""))
"),959000)</f>
        <v>959000</v>
      </c>
      <c r="N274" s="6">
        <f ca="1">IFERROR(__xludf.DUMMYFUNCTION("SUM(FILTER(J:J, H:H=""Chuyển khoản"")) - SUM(FILTER(K:K, H:H=""Chuyển khoản""))
"),4468984)</f>
        <v>4468984</v>
      </c>
      <c r="O274" s="5"/>
      <c r="P274" s="5"/>
      <c r="Q274" s="5"/>
      <c r="R274" s="5"/>
      <c r="S274" s="5"/>
    </row>
    <row r="275" spans="1:19" ht="15.75" customHeight="1" x14ac:dyDescent="0.2">
      <c r="A275" s="3">
        <v>46167</v>
      </c>
      <c r="B275" s="4" t="str">
        <f>IF(A275="","","PC-"&amp;TEXT(A275,"mm/yyyy")&amp;"-"&amp;TEXT(COUNTIFS($A$2:A275,"&gt;="&amp;EOMONTH(A275,-1)+1,$A$2:A275,"&lt;="&amp;EOMONTH(A275,0)),"000"))</f>
        <v>PC-05/2026-071</v>
      </c>
      <c r="C275" s="5" t="s">
        <v>1334</v>
      </c>
      <c r="D275" s="5" t="s">
        <v>29</v>
      </c>
      <c r="E275" s="5" t="s">
        <v>51</v>
      </c>
      <c r="F275" s="5"/>
      <c r="G275" s="5" t="s">
        <v>52</v>
      </c>
      <c r="H275" s="5" t="s">
        <v>27</v>
      </c>
      <c r="I275" s="6">
        <v>116859</v>
      </c>
      <c r="J275" s="6">
        <f>IF(D275="Thu",I275,0)</f>
        <v>0</v>
      </c>
      <c r="K275" s="6">
        <f>IF(D275="Chi",I275,0)</f>
        <v>116859</v>
      </c>
      <c r="L275" s="6" t="e">
        <f>L274+J275-K275</f>
        <v>#VALUE!</v>
      </c>
      <c r="M275" s="6">
        <f ca="1">IFERROR(__xludf.DUMMYFUNCTION("SUM(FILTER(J:J, H:H=""Tiền mặt"")) - SUM(FILTER(K:K, H:H=""Tiền mặt""))
"),959000)</f>
        <v>959000</v>
      </c>
      <c r="N275" s="6">
        <f ca="1">IFERROR(__xludf.DUMMYFUNCTION("SUM(FILTER(J:J, H:H=""Chuyển khoản"")) - SUM(FILTER(K:K, H:H=""Chuyển khoản""))
"),4468984)</f>
        <v>4468984</v>
      </c>
      <c r="O275" s="5"/>
      <c r="P275" s="5"/>
      <c r="Q275" s="5"/>
      <c r="R275" s="5"/>
      <c r="S275" s="5"/>
    </row>
    <row r="276" spans="1:19" ht="15.75" customHeight="1" x14ac:dyDescent="0.2">
      <c r="A276" s="3">
        <v>46165</v>
      </c>
      <c r="B276" s="4" t="str">
        <f>IF(A276="","","PC-"&amp;TEXT(A276,"mm/yyyy")&amp;"-"&amp;TEXT(COUNTIFS($A$2:A276,"&gt;="&amp;EOMONTH(A276,-1)+1,$A$2:A276,"&lt;="&amp;EOMONTH(A276,0)),"000"))</f>
        <v>PC-05/2026-072</v>
      </c>
      <c r="C276" s="5" t="s">
        <v>1315</v>
      </c>
      <c r="D276" s="5" t="s">
        <v>29</v>
      </c>
      <c r="E276" s="5" t="s">
        <v>44</v>
      </c>
      <c r="F276" s="5"/>
      <c r="G276" s="5" t="s">
        <v>103</v>
      </c>
      <c r="H276" s="5" t="s">
        <v>23</v>
      </c>
      <c r="I276" s="6">
        <v>2000000</v>
      </c>
      <c r="J276" s="6">
        <f>IF(D276="Thu",I276,0)</f>
        <v>0</v>
      </c>
      <c r="K276" s="6">
        <f>IF(D276="Chi",I276,0)</f>
        <v>2000000</v>
      </c>
      <c r="L276" s="6" t="e">
        <f>L275+J276-K276</f>
        <v>#VALUE!</v>
      </c>
      <c r="M276" s="6">
        <f ca="1">IFERROR(__xludf.DUMMYFUNCTION("SUM(FILTER(J:J, H:H=""Tiền mặt"")) - SUM(FILTER(K:K, H:H=""Tiền mặt""))
"),959000)</f>
        <v>959000</v>
      </c>
      <c r="N276" s="6">
        <f ca="1">IFERROR(__xludf.DUMMYFUNCTION("SUM(FILTER(J:J, H:H=""Chuyển khoản"")) - SUM(FILTER(K:K, H:H=""Chuyển khoản""))
"),4468984)</f>
        <v>4468984</v>
      </c>
      <c r="O276" s="5"/>
      <c r="P276" s="5"/>
      <c r="Q276" s="5"/>
      <c r="R276" s="5"/>
      <c r="S276" s="5"/>
    </row>
    <row r="277" spans="1:19" ht="15.75" customHeight="1" x14ac:dyDescent="0.2">
      <c r="A277" s="3">
        <v>46165</v>
      </c>
      <c r="B277" s="4" t="str">
        <f>IF(A277="","","PC-"&amp;TEXT(A277,"mm/yyyy")&amp;"-"&amp;TEXT(COUNTIFS($A$2:A277,"&gt;="&amp;EOMONTH(A277,-1)+1,$A$2:A277,"&lt;="&amp;EOMONTH(A277,0)),"000"))</f>
        <v>PC-05/2026-073</v>
      </c>
      <c r="C277" s="5" t="s">
        <v>453</v>
      </c>
      <c r="D277" s="5" t="s">
        <v>29</v>
      </c>
      <c r="E277" s="5" t="s">
        <v>47</v>
      </c>
      <c r="F277" s="5"/>
      <c r="G277" s="5" t="s">
        <v>48</v>
      </c>
      <c r="H277" s="5" t="s">
        <v>23</v>
      </c>
      <c r="I277" s="6">
        <v>50000</v>
      </c>
      <c r="J277" s="6">
        <f>IF(D277="Thu",I277,0)</f>
        <v>0</v>
      </c>
      <c r="K277" s="6">
        <f>IF(D277="Chi",I277,0)</f>
        <v>50000</v>
      </c>
      <c r="L277" s="6" t="e">
        <f>L276+J277-K277</f>
        <v>#VALUE!</v>
      </c>
      <c r="M277" s="6">
        <f ca="1">IFERROR(__xludf.DUMMYFUNCTION("SUM(FILTER(J:J, H:H=""Tiền mặt"")) - SUM(FILTER(K:K, H:H=""Tiền mặt""))
"),959000)</f>
        <v>959000</v>
      </c>
      <c r="N277" s="6">
        <f ca="1">IFERROR(__xludf.DUMMYFUNCTION("SUM(FILTER(J:J, H:H=""Chuyển khoản"")) - SUM(FILTER(K:K, H:H=""Chuyển khoản""))
"),4468984)</f>
        <v>4468984</v>
      </c>
      <c r="O277" s="5"/>
      <c r="P277" s="5"/>
      <c r="Q277" s="5"/>
      <c r="R277" s="5"/>
      <c r="S277" s="5"/>
    </row>
    <row r="278" spans="1:19" ht="15.75" customHeight="1" x14ac:dyDescent="0.2">
      <c r="A278" s="3">
        <v>46165</v>
      </c>
      <c r="B278" s="4" t="str">
        <f>IF(A278="","","PC-"&amp;TEXT(A278,"mm/yyyy")&amp;"-"&amp;TEXT(COUNTIFS($A$2:A278,"&gt;="&amp;EOMONTH(A278,-1)+1,$A$2:A278,"&lt;="&amp;EOMONTH(A278,0)),"000"))</f>
        <v>PC-05/2026-074</v>
      </c>
      <c r="C278" s="5" t="s">
        <v>1316</v>
      </c>
      <c r="D278" s="5" t="s">
        <v>29</v>
      </c>
      <c r="E278" s="5" t="s">
        <v>51</v>
      </c>
      <c r="F278" s="5"/>
      <c r="G278" s="5" t="s">
        <v>52</v>
      </c>
      <c r="H278" s="5" t="s">
        <v>27</v>
      </c>
      <c r="I278" s="6">
        <v>112126</v>
      </c>
      <c r="J278" s="6">
        <f>IF(D278="Thu",I278,0)</f>
        <v>0</v>
      </c>
      <c r="K278" s="6">
        <f>IF(D278="Chi",I278,0)</f>
        <v>112126</v>
      </c>
      <c r="L278" s="6" t="e">
        <f>L277+J278-K278</f>
        <v>#VALUE!</v>
      </c>
      <c r="M278" s="6">
        <f ca="1">IFERROR(__xludf.DUMMYFUNCTION("SUM(FILTER(J:J, H:H=""Tiền mặt"")) - SUM(FILTER(K:K, H:H=""Tiền mặt""))
"),959000)</f>
        <v>959000</v>
      </c>
      <c r="N278" s="6">
        <f ca="1">IFERROR(__xludf.DUMMYFUNCTION("SUM(FILTER(J:J, H:H=""Chuyển khoản"")) - SUM(FILTER(K:K, H:H=""Chuyển khoản""))
"),4468984)</f>
        <v>4468984</v>
      </c>
      <c r="O278" s="5"/>
      <c r="P278" s="5"/>
      <c r="Q278" s="5"/>
      <c r="R278" s="5"/>
      <c r="S278" s="5"/>
    </row>
    <row r="279" spans="1:19" ht="15.75" customHeight="1" x14ac:dyDescent="0.2">
      <c r="A279" s="3">
        <v>46165</v>
      </c>
      <c r="B279" s="4" t="str">
        <f>IF(A279="","","PC-"&amp;TEXT(A279,"mm/yyyy")&amp;"-"&amp;TEXT(COUNTIFS($A$2:A279,"&gt;="&amp;EOMONTH(A279,-1)+1,$A$2:A279,"&lt;="&amp;EOMONTH(A279,0)),"000"))</f>
        <v>PC-05/2026-075</v>
      </c>
      <c r="C279" s="5" t="s">
        <v>1317</v>
      </c>
      <c r="D279" s="5" t="s">
        <v>29</v>
      </c>
      <c r="E279" s="5" t="s">
        <v>51</v>
      </c>
      <c r="F279" s="5"/>
      <c r="G279" s="5" t="s">
        <v>52</v>
      </c>
      <c r="H279" s="5" t="s">
        <v>27</v>
      </c>
      <c r="I279" s="6">
        <v>107800</v>
      </c>
      <c r="J279" s="6">
        <f>IF(D279="Thu",I279,0)</f>
        <v>0</v>
      </c>
      <c r="K279" s="6">
        <f>IF(D279="Chi",I279,0)</f>
        <v>107800</v>
      </c>
      <c r="L279" s="6" t="e">
        <f>L278+J279-K279</f>
        <v>#VALUE!</v>
      </c>
      <c r="M279" s="6">
        <f ca="1">IFERROR(__xludf.DUMMYFUNCTION("SUM(FILTER(J:J, H:H=""Tiền mặt"")) - SUM(FILTER(K:K, H:H=""Tiền mặt""))
"),959000)</f>
        <v>959000</v>
      </c>
      <c r="N279" s="6">
        <f ca="1">IFERROR(__xludf.DUMMYFUNCTION("SUM(FILTER(J:J, H:H=""Chuyển khoản"")) - SUM(FILTER(K:K, H:H=""Chuyển khoản""))
"),4468984)</f>
        <v>4468984</v>
      </c>
      <c r="O279" s="5"/>
      <c r="P279" s="5"/>
      <c r="Q279" s="5"/>
      <c r="R279" s="5"/>
      <c r="S279" s="5"/>
    </row>
    <row r="280" spans="1:19" ht="15.75" customHeight="1" x14ac:dyDescent="0.2">
      <c r="A280" s="3">
        <v>46165</v>
      </c>
      <c r="B280" s="4" t="str">
        <f>IF(A280="","","PC-"&amp;TEXT(A280,"mm/yyyy")&amp;"-"&amp;TEXT(COUNTIFS($A$2:A280,"&gt;="&amp;EOMONTH(A280,-1)+1,$A$2:A280,"&lt;="&amp;EOMONTH(A280,0)),"000"))</f>
        <v>PC-05/2026-076</v>
      </c>
      <c r="C280" s="5" t="s">
        <v>1318</v>
      </c>
      <c r="D280" s="5" t="s">
        <v>29</v>
      </c>
      <c r="E280" s="5" t="s">
        <v>51</v>
      </c>
      <c r="F280" s="5"/>
      <c r="G280" s="5" t="s">
        <v>52</v>
      </c>
      <c r="H280" s="5" t="s">
        <v>27</v>
      </c>
      <c r="I280" s="6">
        <v>50600</v>
      </c>
      <c r="J280" s="6">
        <f>IF(D280="Thu",I280,0)</f>
        <v>0</v>
      </c>
      <c r="K280" s="6">
        <f>IF(D280="Chi",I280,0)</f>
        <v>50600</v>
      </c>
      <c r="L280" s="6" t="e">
        <f>L279+J280-K280</f>
        <v>#VALUE!</v>
      </c>
      <c r="M280" s="6">
        <f ca="1">IFERROR(__xludf.DUMMYFUNCTION("SUM(FILTER(J:J, H:H=""Tiền mặt"")) - SUM(FILTER(K:K, H:H=""Tiền mặt""))
"),959000)</f>
        <v>959000</v>
      </c>
      <c r="N280" s="6">
        <f ca="1">IFERROR(__xludf.DUMMYFUNCTION("SUM(FILTER(J:J, H:H=""Chuyển khoản"")) - SUM(FILTER(K:K, H:H=""Chuyển khoản""))
"),4468984)</f>
        <v>4468984</v>
      </c>
      <c r="O280" s="5"/>
      <c r="P280" s="5"/>
      <c r="Q280" s="5"/>
      <c r="R280" s="5"/>
      <c r="S280" s="5"/>
    </row>
    <row r="281" spans="1:19" ht="15.75" customHeight="1" x14ac:dyDescent="0.2">
      <c r="A281" s="3">
        <v>46165</v>
      </c>
      <c r="B281" s="4" t="str">
        <f>IF(A281="","","PC-"&amp;TEXT(A281,"mm/yyyy")&amp;"-"&amp;TEXT(COUNTIFS($A$2:A281,"&gt;="&amp;EOMONTH(A281,-1)+1,$A$2:A281,"&lt;="&amp;EOMONTH(A281,0)),"000"))</f>
        <v>PC-05/2026-077</v>
      </c>
      <c r="C281" s="5" t="s">
        <v>1319</v>
      </c>
      <c r="D281" s="5" t="s">
        <v>29</v>
      </c>
      <c r="E281" s="5" t="s">
        <v>41</v>
      </c>
      <c r="F281" s="5"/>
      <c r="G281" s="5" t="s">
        <v>82</v>
      </c>
      <c r="H281" s="5" t="s">
        <v>23</v>
      </c>
      <c r="I281" s="6">
        <v>100000</v>
      </c>
      <c r="J281" s="6">
        <f>IF(D281="Thu",I281,0)</f>
        <v>0</v>
      </c>
      <c r="K281" s="6">
        <f>IF(D281="Chi",I281,0)</f>
        <v>100000</v>
      </c>
      <c r="L281" s="6" t="e">
        <f>L280+J281-K281</f>
        <v>#VALUE!</v>
      </c>
      <c r="M281" s="6">
        <f ca="1">IFERROR(__xludf.DUMMYFUNCTION("SUM(FILTER(J:J, H:H=""Tiền mặt"")) - SUM(FILTER(K:K, H:H=""Tiền mặt""))
"),959000)</f>
        <v>959000</v>
      </c>
      <c r="N281" s="6">
        <f ca="1">IFERROR(__xludf.DUMMYFUNCTION("SUM(FILTER(J:J, H:H=""Chuyển khoản"")) - SUM(FILTER(K:K, H:H=""Chuyển khoản""))
"),4468984)</f>
        <v>4468984</v>
      </c>
      <c r="O281" s="5"/>
      <c r="P281" s="5"/>
      <c r="Q281" s="5"/>
      <c r="R281" s="5"/>
      <c r="S281" s="5"/>
    </row>
    <row r="282" spans="1:19" ht="15.75" customHeight="1" x14ac:dyDescent="0.2">
      <c r="A282" s="3">
        <v>46165</v>
      </c>
      <c r="B282" s="4" t="str">
        <f>IF(A282="","","PC-"&amp;TEXT(A282,"mm/yyyy")&amp;"-"&amp;TEXT(COUNTIFS($A$2:A282,"&gt;="&amp;EOMONTH(A282,-1)+1,$A$2:A282,"&lt;="&amp;EOMONTH(A282,0)),"000"))</f>
        <v>PC-05/2026-078</v>
      </c>
      <c r="C282" s="7" t="s">
        <v>1320</v>
      </c>
      <c r="D282" s="5" t="s">
        <v>29</v>
      </c>
      <c r="E282" s="5" t="s">
        <v>71</v>
      </c>
      <c r="F282" s="5"/>
      <c r="G282" s="5" t="s">
        <v>219</v>
      </c>
      <c r="H282" s="5" t="s">
        <v>27</v>
      </c>
      <c r="I282" s="6">
        <v>81000</v>
      </c>
      <c r="J282" s="6">
        <f>IF(D282="Thu",I282,0)</f>
        <v>0</v>
      </c>
      <c r="K282" s="6">
        <f>IF(D282="Chi",I282,0)</f>
        <v>81000</v>
      </c>
      <c r="L282" s="6" t="e">
        <f>L281+J282-K282</f>
        <v>#VALUE!</v>
      </c>
      <c r="M282" s="6">
        <f ca="1">IFERROR(__xludf.DUMMYFUNCTION("SUM(FILTER(J:J, H:H=""Tiền mặt"")) - SUM(FILTER(K:K, H:H=""Tiền mặt""))
"),959000)</f>
        <v>959000</v>
      </c>
      <c r="N282" s="6">
        <f ca="1">IFERROR(__xludf.DUMMYFUNCTION("SUM(FILTER(J:J, H:H=""Chuyển khoản"")) - SUM(FILTER(K:K, H:H=""Chuyển khoản""))
"),4468984)</f>
        <v>4468984</v>
      </c>
      <c r="O282" s="5"/>
      <c r="P282" s="5"/>
      <c r="Q282" s="5"/>
      <c r="R282" s="5"/>
      <c r="S282" s="5"/>
    </row>
    <row r="283" spans="1:19" ht="15.75" customHeight="1" x14ac:dyDescent="0.2">
      <c r="A283" s="3">
        <v>46165</v>
      </c>
      <c r="B283" s="4" t="str">
        <f>IF(A283="","","PC-"&amp;TEXT(A283,"mm/yyyy")&amp;"-"&amp;TEXT(COUNTIFS($A$2:A283,"&gt;="&amp;EOMONTH(A283,-1)+1,$A$2:A283,"&lt;="&amp;EOMONTH(A283,0)),"000"))</f>
        <v>PC-05/2026-079</v>
      </c>
      <c r="C283" s="5" t="s">
        <v>1321</v>
      </c>
      <c r="D283" s="5" t="s">
        <v>20</v>
      </c>
      <c r="E283" s="5" t="s">
        <v>21</v>
      </c>
      <c r="F283" s="5"/>
      <c r="G283" s="5" t="s">
        <v>22</v>
      </c>
      <c r="H283" s="5" t="s">
        <v>23</v>
      </c>
      <c r="I283" s="6">
        <v>10000000</v>
      </c>
      <c r="J283" s="6">
        <f>IF(D283="Thu",I283,0)</f>
        <v>10000000</v>
      </c>
      <c r="K283" s="6">
        <f>IF(D283="Chi",I283,0)</f>
        <v>0</v>
      </c>
      <c r="L283" s="6" t="e">
        <f>L282+J283-K283</f>
        <v>#VALUE!</v>
      </c>
      <c r="M283" s="6">
        <f ca="1">IFERROR(__xludf.DUMMYFUNCTION("SUM(FILTER(J:J, H:H=""Tiền mặt"")) - SUM(FILTER(K:K, H:H=""Tiền mặt""))
"),959000)</f>
        <v>959000</v>
      </c>
      <c r="N283" s="6">
        <f ca="1">IFERROR(__xludf.DUMMYFUNCTION("SUM(FILTER(J:J, H:H=""Chuyển khoản"")) - SUM(FILTER(K:K, H:H=""Chuyển khoản""))
"),4468984)</f>
        <v>4468984</v>
      </c>
      <c r="O283" s="5"/>
      <c r="P283" s="5"/>
      <c r="Q283" s="5"/>
      <c r="R283" s="5"/>
      <c r="S283" s="5"/>
    </row>
    <row r="284" spans="1:19" ht="15.75" customHeight="1" x14ac:dyDescent="0.2">
      <c r="A284" s="3">
        <v>46165</v>
      </c>
      <c r="B284" s="4" t="str">
        <f>IF(A284="","","PC-"&amp;TEXT(A284,"mm/yyyy")&amp;"-"&amp;TEXT(COUNTIFS($A$2:A284,"&gt;="&amp;EOMONTH(A284,-1)+1,$A$2:A284,"&lt;="&amp;EOMONTH(A284,0)),"000"))</f>
        <v>PC-05/2026-080</v>
      </c>
      <c r="C284" s="5" t="s">
        <v>1207</v>
      </c>
      <c r="D284" s="5" t="s">
        <v>29</v>
      </c>
      <c r="E284" s="5" t="s">
        <v>153</v>
      </c>
      <c r="F284" s="5"/>
      <c r="G284" s="5" t="s">
        <v>72</v>
      </c>
      <c r="H284" s="5" t="s">
        <v>27</v>
      </c>
      <c r="I284" s="6">
        <v>398850</v>
      </c>
      <c r="J284" s="6">
        <f>IF(D284="Thu",I284,0)</f>
        <v>0</v>
      </c>
      <c r="K284" s="6">
        <f>IF(D284="Chi",I284,0)</f>
        <v>398850</v>
      </c>
      <c r="L284" s="6" t="e">
        <f>L283+J284-K284</f>
        <v>#VALUE!</v>
      </c>
      <c r="M284" s="6">
        <f ca="1">IFERROR(__xludf.DUMMYFUNCTION("SUM(FILTER(J:J, H:H=""Tiền mặt"")) - SUM(FILTER(K:K, H:H=""Tiền mặt""))
"),959000)</f>
        <v>959000</v>
      </c>
      <c r="N284" s="6">
        <f ca="1">IFERROR(__xludf.DUMMYFUNCTION("SUM(FILTER(J:J, H:H=""Chuyển khoản"")) - SUM(FILTER(K:K, H:H=""Chuyển khoản""))
"),4468984)</f>
        <v>4468984</v>
      </c>
      <c r="O284" s="5"/>
      <c r="P284" s="5"/>
      <c r="Q284" s="5"/>
      <c r="R284" s="5"/>
      <c r="S284" s="5"/>
    </row>
    <row r="285" spans="1:19" ht="15.75" customHeight="1" x14ac:dyDescent="0.2">
      <c r="A285" s="3">
        <v>46165</v>
      </c>
      <c r="B285" s="4" t="str">
        <f>IF(A285="","","PC-"&amp;TEXT(A285,"mm/yyyy")&amp;"-"&amp;TEXT(COUNTIFS($A$2:A285,"&gt;="&amp;EOMONTH(A285,-1)+1,$A$2:A285,"&lt;="&amp;EOMONTH(A285,0)),"000"))</f>
        <v>PC-05/2026-081</v>
      </c>
      <c r="C285" s="5" t="s">
        <v>1322</v>
      </c>
      <c r="D285" s="5" t="s">
        <v>29</v>
      </c>
      <c r="E285" s="5" t="s">
        <v>71</v>
      </c>
      <c r="F285" s="5"/>
      <c r="G285" s="5" t="s">
        <v>462</v>
      </c>
      <c r="H285" s="5" t="s">
        <v>27</v>
      </c>
      <c r="I285" s="6">
        <v>80000</v>
      </c>
      <c r="J285" s="6">
        <f>IF(D285="Thu",I285,0)</f>
        <v>0</v>
      </c>
      <c r="K285" s="6">
        <f>IF(D285="Chi",I285,0)</f>
        <v>80000</v>
      </c>
      <c r="L285" s="6" t="e">
        <f>L284+J285-K285</f>
        <v>#VALUE!</v>
      </c>
      <c r="M285" s="6">
        <f ca="1">IFERROR(__xludf.DUMMYFUNCTION("SUM(FILTER(J:J, H:H=""Tiền mặt"")) - SUM(FILTER(K:K, H:H=""Tiền mặt""))
"),959000)</f>
        <v>959000</v>
      </c>
      <c r="N285" s="6">
        <f ca="1">IFERROR(__xludf.DUMMYFUNCTION("SUM(FILTER(J:J, H:H=""Chuyển khoản"")) - SUM(FILTER(K:K, H:H=""Chuyển khoản""))
"),4468984)</f>
        <v>4468984</v>
      </c>
      <c r="O285" s="5"/>
      <c r="P285" s="5"/>
      <c r="Q285" s="5"/>
      <c r="R285" s="5"/>
      <c r="S285" s="5"/>
    </row>
    <row r="286" spans="1:19" ht="15.75" customHeight="1" x14ac:dyDescent="0.2">
      <c r="A286" s="3">
        <v>46164</v>
      </c>
      <c r="B286" s="4" t="str">
        <f>IF(A286="","","PC-"&amp;TEXT(A286,"mm/yyyy")&amp;"-"&amp;TEXT(COUNTIFS($A$2:A286,"&gt;="&amp;EOMONTH(A286,-1)+1,$A$2:A286,"&lt;="&amp;EOMONTH(A286,0)),"000"))</f>
        <v>PC-05/2026-082</v>
      </c>
      <c r="C286" s="5" t="s">
        <v>528</v>
      </c>
      <c r="D286" s="5" t="s">
        <v>29</v>
      </c>
      <c r="E286" s="5" t="s">
        <v>36</v>
      </c>
      <c r="F286" s="5"/>
      <c r="G286" s="5" t="s">
        <v>37</v>
      </c>
      <c r="H286" s="5" t="s">
        <v>23</v>
      </c>
      <c r="I286" s="6">
        <v>270000</v>
      </c>
      <c r="J286" s="6">
        <f>IF(D286="Thu",I286,0)</f>
        <v>0</v>
      </c>
      <c r="K286" s="6">
        <f>IF(D286="Chi",I286,0)</f>
        <v>270000</v>
      </c>
      <c r="L286" s="6" t="e">
        <f>L285+J286-K286</f>
        <v>#VALUE!</v>
      </c>
      <c r="M286" s="6">
        <f ca="1">IFERROR(__xludf.DUMMYFUNCTION("SUM(FILTER(J:J, H:H=""Tiền mặt"")) - SUM(FILTER(K:K, H:H=""Tiền mặt""))
"),959000)</f>
        <v>959000</v>
      </c>
      <c r="N286" s="6">
        <f ca="1">IFERROR(__xludf.DUMMYFUNCTION("SUM(FILTER(J:J, H:H=""Chuyển khoản"")) - SUM(FILTER(K:K, H:H=""Chuyển khoản""))
"),4468984)</f>
        <v>4468984</v>
      </c>
      <c r="O286" s="5"/>
      <c r="P286" s="5"/>
      <c r="Q286" s="5"/>
      <c r="R286" s="5"/>
      <c r="S286" s="5"/>
    </row>
    <row r="287" spans="1:19" ht="15.75" customHeight="1" x14ac:dyDescent="0.2">
      <c r="A287" s="3">
        <v>46164</v>
      </c>
      <c r="B287" s="4" t="str">
        <f>IF(A287="","","PC-"&amp;TEXT(A287,"mm/yyyy")&amp;"-"&amp;TEXT(COUNTIFS($A$2:A287,"&gt;="&amp;EOMONTH(A287,-1)+1,$A$2:A287,"&lt;="&amp;EOMONTH(A287,0)),"000"))</f>
        <v>PC-05/2026-083</v>
      </c>
      <c r="C287" s="7" t="s">
        <v>1308</v>
      </c>
      <c r="D287" s="5" t="s">
        <v>29</v>
      </c>
      <c r="E287" s="5" t="s">
        <v>64</v>
      </c>
      <c r="F287" s="5"/>
      <c r="G287" s="5" t="s">
        <v>338</v>
      </c>
      <c r="H287" s="5" t="s">
        <v>23</v>
      </c>
      <c r="I287" s="6">
        <v>2000000</v>
      </c>
      <c r="J287" s="6">
        <f>IF(D287="Thu",I287,0)</f>
        <v>0</v>
      </c>
      <c r="K287" s="6">
        <f>IF(D287="Chi",I287,0)</f>
        <v>2000000</v>
      </c>
      <c r="L287" s="6" t="e">
        <f>L286+J287-K287</f>
        <v>#VALUE!</v>
      </c>
      <c r="M287" s="6">
        <f ca="1">IFERROR(__xludf.DUMMYFUNCTION("SUM(FILTER(J:J, H:H=""Tiền mặt"")) - SUM(FILTER(K:K, H:H=""Tiền mặt""))
"),959000)</f>
        <v>959000</v>
      </c>
      <c r="N287" s="6">
        <f ca="1">IFERROR(__xludf.DUMMYFUNCTION("SUM(FILTER(J:J, H:H=""Chuyển khoản"")) - SUM(FILTER(K:K, H:H=""Chuyển khoản""))
"),4468984)</f>
        <v>4468984</v>
      </c>
      <c r="O287" s="5"/>
      <c r="P287" s="5"/>
      <c r="Q287" s="5"/>
      <c r="R287" s="5"/>
      <c r="S287" s="5"/>
    </row>
    <row r="288" spans="1:19" ht="15.75" customHeight="1" x14ac:dyDescent="0.2">
      <c r="A288" s="3">
        <v>46164</v>
      </c>
      <c r="B288" s="4" t="str">
        <f>IF(A288="","","PC-"&amp;TEXT(A288,"mm/yyyy")&amp;"-"&amp;TEXT(COUNTIFS($A$2:A288,"&gt;="&amp;EOMONTH(A288,-1)+1,$A$2:A288,"&lt;="&amp;EOMONTH(A288,0)),"000"))</f>
        <v>PC-05/2026-084</v>
      </c>
      <c r="C288" s="5" t="s">
        <v>1309</v>
      </c>
      <c r="D288" s="5" t="s">
        <v>29</v>
      </c>
      <c r="E288" s="5" t="s">
        <v>64</v>
      </c>
      <c r="F288" s="5"/>
      <c r="G288" s="5" t="s">
        <v>338</v>
      </c>
      <c r="H288" s="5" t="s">
        <v>23</v>
      </c>
      <c r="I288" s="6">
        <v>2000000</v>
      </c>
      <c r="J288" s="6">
        <f>IF(D288="Thu",I288,0)</f>
        <v>0</v>
      </c>
      <c r="K288" s="6">
        <f>IF(D288="Chi",I288,0)</f>
        <v>2000000</v>
      </c>
      <c r="L288" s="6" t="e">
        <f>L287+J288-K288</f>
        <v>#VALUE!</v>
      </c>
      <c r="M288" s="6">
        <f ca="1">IFERROR(__xludf.DUMMYFUNCTION("SUM(FILTER(J:J, H:H=""Tiền mặt"")) - SUM(FILTER(K:K, H:H=""Tiền mặt""))
"),959000)</f>
        <v>959000</v>
      </c>
      <c r="N288" s="6">
        <f ca="1">IFERROR(__xludf.DUMMYFUNCTION("SUM(FILTER(J:J, H:H=""Chuyển khoản"")) - SUM(FILTER(K:K, H:H=""Chuyển khoản""))
"),4468984)</f>
        <v>4468984</v>
      </c>
      <c r="O288" s="5"/>
      <c r="P288" s="5"/>
      <c r="Q288" s="5"/>
      <c r="R288" s="5"/>
      <c r="S288" s="5"/>
    </row>
    <row r="289" spans="1:19" ht="15.75" customHeight="1" x14ac:dyDescent="0.2">
      <c r="A289" s="3">
        <v>46164</v>
      </c>
      <c r="B289" s="4" t="str">
        <f>IF(A289="","","PC-"&amp;TEXT(A289,"mm/yyyy")&amp;"-"&amp;TEXT(COUNTIFS($A$2:A289,"&gt;="&amp;EOMONTH(A289,-1)+1,$A$2:A289,"&lt;="&amp;EOMONTH(A289,0)),"000"))</f>
        <v>PC-05/2026-085</v>
      </c>
      <c r="C289" s="5" t="s">
        <v>1310</v>
      </c>
      <c r="D289" s="5" t="s">
        <v>29</v>
      </c>
      <c r="E289" s="5" t="s">
        <v>41</v>
      </c>
      <c r="F289" s="5"/>
      <c r="G289" s="5" t="s">
        <v>82</v>
      </c>
      <c r="H289" s="5" t="s">
        <v>23</v>
      </c>
      <c r="I289" s="6">
        <v>100000</v>
      </c>
      <c r="J289" s="6">
        <f>IF(D289="Thu",I289,0)</f>
        <v>0</v>
      </c>
      <c r="K289" s="6">
        <f>IF(D289="Chi",I289,0)</f>
        <v>100000</v>
      </c>
      <c r="L289" s="6" t="e">
        <f>L288+J289-K289</f>
        <v>#VALUE!</v>
      </c>
      <c r="M289" s="6">
        <f ca="1">IFERROR(__xludf.DUMMYFUNCTION("SUM(FILTER(J:J, H:H=""Tiền mặt"")) - SUM(FILTER(K:K, H:H=""Tiền mặt""))
"),959000)</f>
        <v>959000</v>
      </c>
      <c r="N289" s="6">
        <f ca="1">IFERROR(__xludf.DUMMYFUNCTION("SUM(FILTER(J:J, H:H=""Chuyển khoản"")) - SUM(FILTER(K:K, H:H=""Chuyển khoản""))
"),4468984)</f>
        <v>4468984</v>
      </c>
      <c r="O289" s="5"/>
      <c r="P289" s="5"/>
      <c r="Q289" s="5"/>
      <c r="R289" s="5"/>
      <c r="S289" s="5"/>
    </row>
    <row r="290" spans="1:19" ht="15.75" customHeight="1" x14ac:dyDescent="0.2">
      <c r="A290" s="3">
        <v>46164</v>
      </c>
      <c r="B290" s="4" t="str">
        <f>IF(A290="","","PC-"&amp;TEXT(A290,"mm/yyyy")&amp;"-"&amp;TEXT(COUNTIFS($A$2:A290,"&gt;="&amp;EOMONTH(A290,-1)+1,$A$2:A290,"&lt;="&amp;EOMONTH(A290,0)),"000"))</f>
        <v>PC-05/2026-086</v>
      </c>
      <c r="C290" s="7" t="s">
        <v>1311</v>
      </c>
      <c r="D290" s="5" t="s">
        <v>29</v>
      </c>
      <c r="E290" s="5" t="s">
        <v>41</v>
      </c>
      <c r="F290" s="5"/>
      <c r="G290" s="5" t="s">
        <v>82</v>
      </c>
      <c r="H290" s="5" t="s">
        <v>23</v>
      </c>
      <c r="I290" s="6">
        <v>100000</v>
      </c>
      <c r="J290" s="6">
        <f>IF(D290="Thu",I290,0)</f>
        <v>0</v>
      </c>
      <c r="K290" s="6">
        <f>IF(D290="Chi",I290,0)</f>
        <v>100000</v>
      </c>
      <c r="L290" s="6" t="e">
        <f>L289+J290-K290</f>
        <v>#VALUE!</v>
      </c>
      <c r="M290" s="6">
        <f ca="1">IFERROR(__xludf.DUMMYFUNCTION("SUM(FILTER(J:J, H:H=""Tiền mặt"")) - SUM(FILTER(K:K, H:H=""Tiền mặt""))
"),959000)</f>
        <v>959000</v>
      </c>
      <c r="N290" s="6">
        <f ca="1">IFERROR(__xludf.DUMMYFUNCTION("SUM(FILTER(J:J, H:H=""Chuyển khoản"")) - SUM(FILTER(K:K, H:H=""Chuyển khoản""))
"),4468984)</f>
        <v>4468984</v>
      </c>
      <c r="O290" s="5"/>
      <c r="P290" s="5"/>
      <c r="Q290" s="5"/>
      <c r="R290" s="5"/>
      <c r="S290" s="5"/>
    </row>
    <row r="291" spans="1:19" ht="15.75" customHeight="1" x14ac:dyDescent="0.2">
      <c r="A291" s="3">
        <v>46164</v>
      </c>
      <c r="B291" s="4" t="str">
        <f>IF(A291="","","PC-"&amp;TEXT(A291,"mm/yyyy")&amp;"-"&amp;TEXT(COUNTIFS($A$2:A291,"&gt;="&amp;EOMONTH(A291,-1)+1,$A$2:A291,"&lt;="&amp;EOMONTH(A291,0)),"000"))</f>
        <v>PC-05/2026-087</v>
      </c>
      <c r="C291" s="5" t="s">
        <v>1312</v>
      </c>
      <c r="D291" s="5" t="s">
        <v>29</v>
      </c>
      <c r="E291" s="5" t="s">
        <v>346</v>
      </c>
      <c r="F291" s="5"/>
      <c r="G291" s="5" t="s">
        <v>86</v>
      </c>
      <c r="H291" s="5" t="s">
        <v>27</v>
      </c>
      <c r="I291" s="6">
        <v>1000000</v>
      </c>
      <c r="J291" s="6">
        <f>IF(D291="Thu",I291,0)</f>
        <v>0</v>
      </c>
      <c r="K291" s="6">
        <f>IF(D291="Chi",I291,0)</f>
        <v>1000000</v>
      </c>
      <c r="L291" s="6" t="e">
        <f>L290+J291-K291</f>
        <v>#VALUE!</v>
      </c>
      <c r="M291" s="6">
        <f ca="1">IFERROR(__xludf.DUMMYFUNCTION("SUM(FILTER(J:J, H:H=""Tiền mặt"")) - SUM(FILTER(K:K, H:H=""Tiền mặt""))
"),959000)</f>
        <v>959000</v>
      </c>
      <c r="N291" s="6">
        <f ca="1">IFERROR(__xludf.DUMMYFUNCTION("SUM(FILTER(J:J, H:H=""Chuyển khoản"")) - SUM(FILTER(K:K, H:H=""Chuyển khoản""))
"),4468984)</f>
        <v>4468984</v>
      </c>
      <c r="O291" s="5"/>
      <c r="P291" s="5"/>
      <c r="Q291" s="5"/>
      <c r="R291" s="5"/>
      <c r="S291" s="5"/>
    </row>
    <row r="292" spans="1:19" ht="15.75" customHeight="1" x14ac:dyDescent="0.2">
      <c r="A292" s="3">
        <v>46164</v>
      </c>
      <c r="B292" s="4" t="str">
        <f>IF(A292="","","PC-"&amp;TEXT(A292,"mm/yyyy")&amp;"-"&amp;TEXT(COUNTIFS($A$2:A292,"&gt;="&amp;EOMONTH(A292,-1)+1,$A$2:A292,"&lt;="&amp;EOMONTH(A292,0)),"000"))</f>
        <v>PC-05/2026-088</v>
      </c>
      <c r="C292" s="5" t="s">
        <v>1313</v>
      </c>
      <c r="D292" s="5" t="s">
        <v>29</v>
      </c>
      <c r="E292" s="5" t="s">
        <v>41</v>
      </c>
      <c r="F292" s="5"/>
      <c r="G292" s="5" t="s">
        <v>82</v>
      </c>
      <c r="H292" s="5" t="s">
        <v>23</v>
      </c>
      <c r="I292" s="6">
        <v>100000</v>
      </c>
      <c r="J292" s="6">
        <f>IF(D292="Thu",I292,0)</f>
        <v>0</v>
      </c>
      <c r="K292" s="6">
        <f>IF(D292="Chi",I292,0)</f>
        <v>100000</v>
      </c>
      <c r="L292" s="6" t="e">
        <f>L291+J292-K292</f>
        <v>#VALUE!</v>
      </c>
      <c r="M292" s="6">
        <f ca="1">IFERROR(__xludf.DUMMYFUNCTION("SUM(FILTER(J:J, H:H=""Tiền mặt"")) - SUM(FILTER(K:K, H:H=""Tiền mặt""))
"),959000)</f>
        <v>959000</v>
      </c>
      <c r="N292" s="6">
        <f ca="1">IFERROR(__xludf.DUMMYFUNCTION("SUM(FILTER(J:J, H:H=""Chuyển khoản"")) - SUM(FILTER(K:K, H:H=""Chuyển khoản""))
"),4468984)</f>
        <v>4468984</v>
      </c>
      <c r="O292" s="5"/>
      <c r="P292" s="5"/>
      <c r="Q292" s="5"/>
      <c r="R292" s="5"/>
      <c r="S292" s="5"/>
    </row>
    <row r="293" spans="1:19" ht="15.75" customHeight="1" x14ac:dyDescent="0.2">
      <c r="A293" s="3">
        <v>46164</v>
      </c>
      <c r="B293" s="4" t="str">
        <f>IF(A293="","","PC-"&amp;TEXT(A293,"mm/yyyy")&amp;"-"&amp;TEXT(COUNTIFS($A$2:A293,"&gt;="&amp;EOMONTH(A293,-1)+1,$A$2:A293,"&lt;="&amp;EOMONTH(A293,0)),"000"))</f>
        <v>PC-05/2026-089</v>
      </c>
      <c r="C293" s="5" t="s">
        <v>1314</v>
      </c>
      <c r="D293" s="5" t="s">
        <v>29</v>
      </c>
      <c r="E293" s="5" t="s">
        <v>71</v>
      </c>
      <c r="F293" s="5"/>
      <c r="G293" s="5" t="s">
        <v>219</v>
      </c>
      <c r="H293" s="5" t="s">
        <v>27</v>
      </c>
      <c r="I293" s="6">
        <v>18000</v>
      </c>
      <c r="J293" s="6">
        <f>IF(D293="Thu",I293,0)</f>
        <v>0</v>
      </c>
      <c r="K293" s="6">
        <f>IF(D293="Chi",I293,0)</f>
        <v>18000</v>
      </c>
      <c r="L293" s="6" t="e">
        <f>L292+J293-K293</f>
        <v>#VALUE!</v>
      </c>
      <c r="M293" s="6">
        <f ca="1">IFERROR(__xludf.DUMMYFUNCTION("SUM(FILTER(J:J, H:H=""Tiền mặt"")) - SUM(FILTER(K:K, H:H=""Tiền mặt""))
"),959000)</f>
        <v>959000</v>
      </c>
      <c r="N293" s="6">
        <f ca="1">IFERROR(__xludf.DUMMYFUNCTION("SUM(FILTER(J:J, H:H=""Chuyển khoản"")) - SUM(FILTER(K:K, H:H=""Chuyển khoản""))
"),4468984)</f>
        <v>4468984</v>
      </c>
      <c r="O293" s="5"/>
      <c r="P293" s="5"/>
      <c r="Q293" s="5"/>
      <c r="R293" s="5"/>
      <c r="S293" s="5"/>
    </row>
    <row r="294" spans="1:19" ht="15.75" customHeight="1" x14ac:dyDescent="0.2">
      <c r="A294" s="3">
        <v>46163</v>
      </c>
      <c r="B294" s="4" t="str">
        <f>IF(A294="","","PC-"&amp;TEXT(A294,"mm/yyyy")&amp;"-"&amp;TEXT(COUNTIFS($A$2:A294,"&gt;="&amp;EOMONTH(A294,-1)+1,$A$2:A294,"&lt;="&amp;EOMONTH(A294,0)),"000"))</f>
        <v>PC-05/2026-090</v>
      </c>
      <c r="C294" s="5" t="s">
        <v>1301</v>
      </c>
      <c r="D294" s="5" t="s">
        <v>29</v>
      </c>
      <c r="E294" s="5" t="s">
        <v>41</v>
      </c>
      <c r="F294" s="5"/>
      <c r="G294" s="5" t="s">
        <v>82</v>
      </c>
      <c r="H294" s="5" t="s">
        <v>23</v>
      </c>
      <c r="I294" s="6">
        <v>100000</v>
      </c>
      <c r="J294" s="6">
        <f>IF(D294="Thu",I294,0)</f>
        <v>0</v>
      </c>
      <c r="K294" s="6">
        <f>IF(D294="Chi",I294,0)</f>
        <v>100000</v>
      </c>
      <c r="L294" s="6" t="e">
        <f>L293+J294-K294</f>
        <v>#VALUE!</v>
      </c>
      <c r="M294" s="6">
        <f ca="1">IFERROR(__xludf.DUMMYFUNCTION("SUM(FILTER(J:J, H:H=""Tiền mặt"")) - SUM(FILTER(K:K, H:H=""Tiền mặt""))
"),959000)</f>
        <v>959000</v>
      </c>
      <c r="N294" s="6">
        <f ca="1">IFERROR(__xludf.DUMMYFUNCTION("SUM(FILTER(J:J, H:H=""Chuyển khoản"")) - SUM(FILTER(K:K, H:H=""Chuyển khoản""))
"),4468984)</f>
        <v>4468984</v>
      </c>
      <c r="O294" s="5"/>
      <c r="P294" s="5"/>
      <c r="Q294" s="5"/>
      <c r="R294" s="5"/>
      <c r="S294" s="5"/>
    </row>
    <row r="295" spans="1:19" ht="15.75" customHeight="1" x14ac:dyDescent="0.2">
      <c r="A295" s="3">
        <v>46163</v>
      </c>
      <c r="B295" s="4" t="str">
        <f>IF(A295="","","PC-"&amp;TEXT(A295,"mm/yyyy")&amp;"-"&amp;TEXT(COUNTIFS($A$2:A295,"&gt;="&amp;EOMONTH(A295,-1)+1,$A$2:A295,"&lt;="&amp;EOMONTH(A295,0)),"000"))</f>
        <v>PC-05/2026-091</v>
      </c>
      <c r="C295" s="5" t="s">
        <v>1302</v>
      </c>
      <c r="D295" s="5" t="s">
        <v>29</v>
      </c>
      <c r="E295" s="5" t="s">
        <v>141</v>
      </c>
      <c r="F295" s="5"/>
      <c r="G295" s="5" t="s">
        <v>52</v>
      </c>
      <c r="H295" s="5" t="s">
        <v>27</v>
      </c>
      <c r="I295" s="6">
        <v>1625000</v>
      </c>
      <c r="J295" s="6">
        <f>IF(D295="Thu",I295,0)</f>
        <v>0</v>
      </c>
      <c r="K295" s="6">
        <f>IF(D295="Chi",I295,0)</f>
        <v>1625000</v>
      </c>
      <c r="L295" s="6" t="e">
        <f>L294+J295-K295</f>
        <v>#VALUE!</v>
      </c>
      <c r="M295" s="6">
        <f ca="1">IFERROR(__xludf.DUMMYFUNCTION("SUM(FILTER(J:J, H:H=""Tiền mặt"")) - SUM(FILTER(K:K, H:H=""Tiền mặt""))
"),959000)</f>
        <v>959000</v>
      </c>
      <c r="N295" s="6">
        <f ca="1">IFERROR(__xludf.DUMMYFUNCTION("SUM(FILTER(J:J, H:H=""Chuyển khoản"")) - SUM(FILTER(K:K, H:H=""Chuyển khoản""))
"),4468984)</f>
        <v>4468984</v>
      </c>
      <c r="O295" s="5"/>
      <c r="P295" s="5"/>
      <c r="Q295" s="5"/>
      <c r="R295" s="5"/>
      <c r="S295" s="5"/>
    </row>
    <row r="296" spans="1:19" ht="15.75" customHeight="1" x14ac:dyDescent="0.2">
      <c r="A296" s="3">
        <v>46163</v>
      </c>
      <c r="B296" s="4" t="str">
        <f>IF(A296="","","PC-"&amp;TEXT(A296,"mm/yyyy")&amp;"-"&amp;TEXT(COUNTIFS($A$2:A296,"&gt;="&amp;EOMONTH(A296,-1)+1,$A$2:A296,"&lt;="&amp;EOMONTH(A296,0)),"000"))</f>
        <v>PC-05/2026-092</v>
      </c>
      <c r="C296" s="5" t="s">
        <v>1303</v>
      </c>
      <c r="D296" s="5" t="s">
        <v>29</v>
      </c>
      <c r="E296" s="5" t="s">
        <v>71</v>
      </c>
      <c r="F296" s="5"/>
      <c r="G296" s="5" t="s">
        <v>816</v>
      </c>
      <c r="H296" s="5" t="s">
        <v>27</v>
      </c>
      <c r="I296" s="6">
        <v>45000</v>
      </c>
      <c r="J296" s="6">
        <f>IF(D296="Thu",I296,0)</f>
        <v>0</v>
      </c>
      <c r="K296" s="6">
        <f>IF(D296="Chi",I296,0)</f>
        <v>45000</v>
      </c>
      <c r="L296" s="6" t="e">
        <f>L295+J296-K296</f>
        <v>#VALUE!</v>
      </c>
      <c r="M296" s="6">
        <f ca="1">IFERROR(__xludf.DUMMYFUNCTION("SUM(FILTER(J:J, H:H=""Tiền mặt"")) - SUM(FILTER(K:K, H:H=""Tiền mặt""))
"),959000)</f>
        <v>959000</v>
      </c>
      <c r="N296" s="6">
        <f ca="1">IFERROR(__xludf.DUMMYFUNCTION("SUM(FILTER(J:J, H:H=""Chuyển khoản"")) - SUM(FILTER(K:K, H:H=""Chuyển khoản""))
"),4468984)</f>
        <v>4468984</v>
      </c>
      <c r="O296" s="5"/>
      <c r="P296" s="5"/>
      <c r="Q296" s="5"/>
      <c r="R296" s="5"/>
      <c r="S296" s="5"/>
    </row>
    <row r="297" spans="1:19" ht="15.75" customHeight="1" x14ac:dyDescent="0.2">
      <c r="A297" s="3">
        <v>46163</v>
      </c>
      <c r="B297" s="4" t="str">
        <f>IF(A297="","","PC-"&amp;TEXT(A297,"mm/yyyy")&amp;"-"&amp;TEXT(COUNTIFS($A$2:A297,"&gt;="&amp;EOMONTH(A297,-1)+1,$A$2:A297,"&lt;="&amp;EOMONTH(A297,0)),"000"))</f>
        <v>PC-05/2026-093</v>
      </c>
      <c r="C297" s="5" t="s">
        <v>1304</v>
      </c>
      <c r="D297" s="5" t="s">
        <v>29</v>
      </c>
      <c r="E297" s="5" t="s">
        <v>71</v>
      </c>
      <c r="F297" s="5"/>
      <c r="G297" s="5" t="s">
        <v>678</v>
      </c>
      <c r="H297" s="5" t="s">
        <v>27</v>
      </c>
      <c r="I297" s="6">
        <v>63000</v>
      </c>
      <c r="J297" s="6">
        <f>IF(D297="Thu",I297,0)</f>
        <v>0</v>
      </c>
      <c r="K297" s="6">
        <f>IF(D297="Chi",I297,0)</f>
        <v>63000</v>
      </c>
      <c r="L297" s="6" t="e">
        <f>L296+J297-K297</f>
        <v>#VALUE!</v>
      </c>
      <c r="M297" s="6">
        <f ca="1">IFERROR(__xludf.DUMMYFUNCTION("SUM(FILTER(J:J, H:H=""Tiền mặt"")) - SUM(FILTER(K:K, H:H=""Tiền mặt""))
"),959000)</f>
        <v>959000</v>
      </c>
      <c r="N297" s="6">
        <f ca="1">IFERROR(__xludf.DUMMYFUNCTION("SUM(FILTER(J:J, H:H=""Chuyển khoản"")) - SUM(FILTER(K:K, H:H=""Chuyển khoản""))
"),4468984)</f>
        <v>4468984</v>
      </c>
      <c r="O297" s="5"/>
      <c r="P297" s="5"/>
      <c r="Q297" s="5"/>
      <c r="R297" s="5"/>
      <c r="S297" s="5"/>
    </row>
    <row r="298" spans="1:19" ht="15.75" customHeight="1" x14ac:dyDescent="0.2">
      <c r="A298" s="3">
        <v>46163</v>
      </c>
      <c r="B298" s="4" t="str">
        <f>IF(A298="","","PC-"&amp;TEXT(A298,"mm/yyyy")&amp;"-"&amp;TEXT(COUNTIFS($A$2:A298,"&gt;="&amp;EOMONTH(A298,-1)+1,$A$2:A298,"&lt;="&amp;EOMONTH(A298,0)),"000"))</f>
        <v>PC-05/2026-094</v>
      </c>
      <c r="C298" s="5" t="s">
        <v>1305</v>
      </c>
      <c r="D298" s="5" t="s">
        <v>29</v>
      </c>
      <c r="E298" s="5" t="s">
        <v>41</v>
      </c>
      <c r="F298" s="5"/>
      <c r="G298" s="5" t="s">
        <v>22</v>
      </c>
      <c r="H298" s="5" t="s">
        <v>23</v>
      </c>
      <c r="I298" s="6">
        <v>200000</v>
      </c>
      <c r="J298" s="6">
        <f>IF(D298="Thu",I298,0)</f>
        <v>0</v>
      </c>
      <c r="K298" s="6">
        <f>IF(D298="Chi",I298,0)</f>
        <v>200000</v>
      </c>
      <c r="L298" s="6" t="e">
        <f>L297+J298-K298</f>
        <v>#VALUE!</v>
      </c>
      <c r="M298" s="6">
        <f ca="1">IFERROR(__xludf.DUMMYFUNCTION("SUM(FILTER(J:J, H:H=""Tiền mặt"")) - SUM(FILTER(K:K, H:H=""Tiền mặt""))
"),959000)</f>
        <v>959000</v>
      </c>
      <c r="N298" s="6">
        <f ca="1">IFERROR(__xludf.DUMMYFUNCTION("SUM(FILTER(J:J, H:H=""Chuyển khoản"")) - SUM(FILTER(K:K, H:H=""Chuyển khoản""))
"),4468984)</f>
        <v>4468984</v>
      </c>
      <c r="O298" s="5"/>
      <c r="P298" s="5"/>
      <c r="Q298" s="5"/>
      <c r="R298" s="5"/>
      <c r="S298" s="5"/>
    </row>
    <row r="299" spans="1:19" ht="15.75" customHeight="1" x14ac:dyDescent="0.2">
      <c r="A299" s="3">
        <v>46163</v>
      </c>
      <c r="B299" s="4" t="str">
        <f>IF(A299="","","PC-"&amp;TEXT(A299,"mm/yyyy")&amp;"-"&amp;TEXT(COUNTIFS($A$2:A299,"&gt;="&amp;EOMONTH(A299,-1)+1,$A$2:A299,"&lt;="&amp;EOMONTH(A299,0)),"000"))</f>
        <v>PC-05/2026-095</v>
      </c>
      <c r="C299" s="7" t="s">
        <v>1306</v>
      </c>
      <c r="D299" s="5" t="s">
        <v>29</v>
      </c>
      <c r="E299" s="5" t="s">
        <v>41</v>
      </c>
      <c r="F299" s="5"/>
      <c r="G299" s="5" t="s">
        <v>82</v>
      </c>
      <c r="H299" s="5" t="s">
        <v>23</v>
      </c>
      <c r="I299" s="6">
        <v>200000</v>
      </c>
      <c r="J299" s="6">
        <f>IF(D299="Thu",I299,0)</f>
        <v>0</v>
      </c>
      <c r="K299" s="6">
        <f>IF(D299="Chi",I299,0)</f>
        <v>200000</v>
      </c>
      <c r="L299" s="6" t="e">
        <f>L298+J299-K299</f>
        <v>#VALUE!</v>
      </c>
      <c r="M299" s="6">
        <f ca="1">IFERROR(__xludf.DUMMYFUNCTION("SUM(FILTER(J:J, H:H=""Tiền mặt"")) - SUM(FILTER(K:K, H:H=""Tiền mặt""))
"),959000)</f>
        <v>959000</v>
      </c>
      <c r="N299" s="6">
        <f ca="1">IFERROR(__xludf.DUMMYFUNCTION("SUM(FILTER(J:J, H:H=""Chuyển khoản"")) - SUM(FILTER(K:K, H:H=""Chuyển khoản""))
"),4468984)</f>
        <v>4468984</v>
      </c>
      <c r="O299" s="5"/>
      <c r="P299" s="5"/>
      <c r="Q299" s="5"/>
      <c r="R299" s="5"/>
      <c r="S299" s="5"/>
    </row>
    <row r="300" spans="1:19" ht="15.75" customHeight="1" x14ac:dyDescent="0.2">
      <c r="A300" s="3">
        <v>46163</v>
      </c>
      <c r="B300" s="4" t="str">
        <f>IF(A300="","","PC-"&amp;TEXT(A300,"mm/yyyy")&amp;"-"&amp;TEXT(COUNTIFS($A$2:A300,"&gt;="&amp;EOMONTH(A300,-1)+1,$A$2:A300,"&lt;="&amp;EOMONTH(A300,0)),"000"))</f>
        <v>PC-05/2026-096</v>
      </c>
      <c r="C300" s="5" t="s">
        <v>1307</v>
      </c>
      <c r="D300" s="5" t="s">
        <v>29</v>
      </c>
      <c r="E300" s="5" t="s">
        <v>41</v>
      </c>
      <c r="F300" s="5"/>
      <c r="G300" s="5" t="s">
        <v>82</v>
      </c>
      <c r="H300" s="5" t="s">
        <v>23</v>
      </c>
      <c r="I300" s="6">
        <v>100000</v>
      </c>
      <c r="J300" s="6">
        <f>IF(D300="Thu",I300,0)</f>
        <v>0</v>
      </c>
      <c r="K300" s="6">
        <f>IF(D300="Chi",I300,0)</f>
        <v>100000</v>
      </c>
      <c r="L300" s="6" t="e">
        <f>L299+J300-K300</f>
        <v>#VALUE!</v>
      </c>
      <c r="M300" s="6">
        <f ca="1">IFERROR(__xludf.DUMMYFUNCTION("SUM(FILTER(J:J, H:H=""Tiền mặt"")) - SUM(FILTER(K:K, H:H=""Tiền mặt""))
"),959000)</f>
        <v>959000</v>
      </c>
      <c r="N300" s="6">
        <f ca="1">IFERROR(__xludf.DUMMYFUNCTION("SUM(FILTER(J:J, H:H=""Chuyển khoản"")) - SUM(FILTER(K:K, H:H=""Chuyển khoản""))
"),4468984)</f>
        <v>4468984</v>
      </c>
      <c r="O300" s="5"/>
      <c r="P300" s="5"/>
      <c r="Q300" s="5"/>
      <c r="R300" s="5"/>
      <c r="S300" s="5"/>
    </row>
    <row r="301" spans="1:19" ht="15.75" customHeight="1" x14ac:dyDescent="0.2">
      <c r="A301" s="3">
        <v>46162</v>
      </c>
      <c r="B301" s="4" t="str">
        <f>IF(A301="","","PC-"&amp;TEXT(A301,"mm/yyyy")&amp;"-"&amp;TEXT(COUNTIFS($A$2:A301,"&gt;="&amp;EOMONTH(A301,-1)+1,$A$2:A301,"&lt;="&amp;EOMONTH(A301,0)),"000"))</f>
        <v>PC-05/2026-097</v>
      </c>
      <c r="C301" s="5" t="s">
        <v>1291</v>
      </c>
      <c r="D301" s="5" t="s">
        <v>20</v>
      </c>
      <c r="E301" s="5" t="s">
        <v>21</v>
      </c>
      <c r="F301" s="5"/>
      <c r="G301" s="5" t="s">
        <v>22</v>
      </c>
      <c r="H301" s="5" t="s">
        <v>23</v>
      </c>
      <c r="I301" s="6">
        <v>10000000</v>
      </c>
      <c r="J301" s="6">
        <f>IF(D301="Thu",I301,0)</f>
        <v>10000000</v>
      </c>
      <c r="K301" s="6">
        <f>IF(D301="Chi",I301,0)</f>
        <v>0</v>
      </c>
      <c r="L301" s="6" t="e">
        <f>L300+J301-K301</f>
        <v>#VALUE!</v>
      </c>
      <c r="M301" s="6">
        <f ca="1">IFERROR(__xludf.DUMMYFUNCTION("SUM(FILTER(J:J, H:H=""Tiền mặt"")) - SUM(FILTER(K:K, H:H=""Tiền mặt""))
"),959000)</f>
        <v>959000</v>
      </c>
      <c r="N301" s="6">
        <f ca="1">IFERROR(__xludf.DUMMYFUNCTION("SUM(FILTER(J:J, H:H=""Chuyển khoản"")) - SUM(FILTER(K:K, H:H=""Chuyển khoản""))
"),4468984)</f>
        <v>4468984</v>
      </c>
      <c r="O301" s="5"/>
      <c r="P301" s="5"/>
      <c r="Q301" s="5"/>
      <c r="R301" s="5"/>
      <c r="S301" s="5"/>
    </row>
    <row r="302" spans="1:19" ht="15.75" customHeight="1" x14ac:dyDescent="0.2">
      <c r="A302" s="3">
        <v>46162</v>
      </c>
      <c r="B302" s="4" t="str">
        <f>IF(A302="","","PC-"&amp;TEXT(A302,"mm/yyyy")&amp;"-"&amp;TEXT(COUNTIFS($A$2:A302,"&gt;="&amp;EOMONTH(A302,-1)+1,$A$2:A302,"&lt;="&amp;EOMONTH(A302,0)),"000"))</f>
        <v>PC-05/2026-098</v>
      </c>
      <c r="C302" s="5" t="s">
        <v>1292</v>
      </c>
      <c r="D302" s="5" t="s">
        <v>29</v>
      </c>
      <c r="E302" s="5" t="s">
        <v>44</v>
      </c>
      <c r="F302" s="5"/>
      <c r="G302" s="5" t="s">
        <v>202</v>
      </c>
      <c r="H302" s="5" t="s">
        <v>23</v>
      </c>
      <c r="I302" s="6">
        <v>1500000</v>
      </c>
      <c r="J302" s="6">
        <f>IF(D302="Thu",I302,0)</f>
        <v>0</v>
      </c>
      <c r="K302" s="6">
        <f>IF(D302="Chi",I302,0)</f>
        <v>1500000</v>
      </c>
      <c r="L302" s="6" t="e">
        <f>L301+J302-K302</f>
        <v>#VALUE!</v>
      </c>
      <c r="M302" s="6">
        <f ca="1">IFERROR(__xludf.DUMMYFUNCTION("SUM(FILTER(J:J, H:H=""Tiền mặt"")) - SUM(FILTER(K:K, H:H=""Tiền mặt""))
"),959000)</f>
        <v>959000</v>
      </c>
      <c r="N302" s="6">
        <f ca="1">IFERROR(__xludf.DUMMYFUNCTION("SUM(FILTER(J:J, H:H=""Chuyển khoản"")) - SUM(FILTER(K:K, H:H=""Chuyển khoản""))
"),4468984)</f>
        <v>4468984</v>
      </c>
      <c r="O302" s="5"/>
      <c r="P302" s="5"/>
      <c r="Q302" s="5"/>
      <c r="R302" s="5"/>
      <c r="S302" s="5"/>
    </row>
    <row r="303" spans="1:19" ht="15.75" customHeight="1" x14ac:dyDescent="0.2">
      <c r="A303" s="3">
        <v>46162</v>
      </c>
      <c r="B303" s="4" t="str">
        <f>IF(A303="","","PC-"&amp;TEXT(A303,"mm/yyyy")&amp;"-"&amp;TEXT(COUNTIFS($A$2:A303,"&gt;="&amp;EOMONTH(A303,-1)+1,$A$2:A303,"&lt;="&amp;EOMONTH(A303,0)),"000"))</f>
        <v>PC-05/2026-099</v>
      </c>
      <c r="C303" s="7" t="s">
        <v>1293</v>
      </c>
      <c r="D303" s="5" t="s">
        <v>29</v>
      </c>
      <c r="E303" s="5" t="s">
        <v>47</v>
      </c>
      <c r="F303" s="5"/>
      <c r="G303" s="5" t="s">
        <v>48</v>
      </c>
      <c r="H303" s="5" t="s">
        <v>23</v>
      </c>
      <c r="I303" s="6">
        <v>50000</v>
      </c>
      <c r="J303" s="6">
        <f>IF(D303="Thu",I303,0)</f>
        <v>0</v>
      </c>
      <c r="K303" s="6">
        <f>IF(D303="Chi",I303,0)</f>
        <v>50000</v>
      </c>
      <c r="L303" s="6" t="e">
        <f>L302+J303-K303</f>
        <v>#VALUE!</v>
      </c>
      <c r="M303" s="6">
        <f ca="1">IFERROR(__xludf.DUMMYFUNCTION("SUM(FILTER(J:J, H:H=""Tiền mặt"")) - SUM(FILTER(K:K, H:H=""Tiền mặt""))
"),959000)</f>
        <v>959000</v>
      </c>
      <c r="N303" s="6">
        <f ca="1">IFERROR(__xludf.DUMMYFUNCTION("SUM(FILTER(J:J, H:H=""Chuyển khoản"")) - SUM(FILTER(K:K, H:H=""Chuyển khoản""))
"),4468984)</f>
        <v>4468984</v>
      </c>
      <c r="O303" s="5"/>
      <c r="P303" s="5"/>
      <c r="Q303" s="5"/>
      <c r="R303" s="5"/>
      <c r="S303" s="5"/>
    </row>
    <row r="304" spans="1:19" ht="15.75" customHeight="1" x14ac:dyDescent="0.2">
      <c r="A304" s="3">
        <v>46162</v>
      </c>
      <c r="B304" s="4" t="str">
        <f>IF(A304="","","PC-"&amp;TEXT(A304,"mm/yyyy")&amp;"-"&amp;TEXT(COUNTIFS($A$2:A304,"&gt;="&amp;EOMONTH(A304,-1)+1,$A$2:A304,"&lt;="&amp;EOMONTH(A304,0)),"000"))</f>
        <v>PC-05/2026-100</v>
      </c>
      <c r="C304" s="5" t="s">
        <v>1294</v>
      </c>
      <c r="D304" s="5" t="s">
        <v>29</v>
      </c>
      <c r="E304" s="5" t="s">
        <v>64</v>
      </c>
      <c r="F304" s="5"/>
      <c r="G304" s="5" t="s">
        <v>482</v>
      </c>
      <c r="H304" s="5" t="s">
        <v>23</v>
      </c>
      <c r="I304" s="6">
        <v>300000</v>
      </c>
      <c r="J304" s="6">
        <f>IF(D304="Thu",I304,0)</f>
        <v>0</v>
      </c>
      <c r="K304" s="6">
        <f>IF(D304="Chi",I304,0)</f>
        <v>300000</v>
      </c>
      <c r="L304" s="6" t="e">
        <f>L303+J304-K304</f>
        <v>#VALUE!</v>
      </c>
      <c r="M304" s="6">
        <f ca="1">IFERROR(__xludf.DUMMYFUNCTION("SUM(FILTER(J:J, H:H=""Tiền mặt"")) - SUM(FILTER(K:K, H:H=""Tiền mặt""))
"),959000)</f>
        <v>959000</v>
      </c>
      <c r="N304" s="6">
        <f ca="1">IFERROR(__xludf.DUMMYFUNCTION("SUM(FILTER(J:J, H:H=""Chuyển khoản"")) - SUM(FILTER(K:K, H:H=""Chuyển khoản""))
"),4468984)</f>
        <v>4468984</v>
      </c>
      <c r="O304" s="5"/>
      <c r="P304" s="5"/>
      <c r="Q304" s="5"/>
      <c r="R304" s="5"/>
      <c r="S304" s="5"/>
    </row>
    <row r="305" spans="1:19" ht="15.75" customHeight="1" x14ac:dyDescent="0.2">
      <c r="A305" s="3">
        <v>46162</v>
      </c>
      <c r="B305" s="4" t="str">
        <f>IF(A305="","","PC-"&amp;TEXT(A305,"mm/yyyy")&amp;"-"&amp;TEXT(COUNTIFS($A$2:A305,"&gt;="&amp;EOMONTH(A305,-1)+1,$A$2:A305,"&lt;="&amp;EOMONTH(A305,0)),"000"))</f>
        <v>PC-05/2026-101</v>
      </c>
      <c r="C305" s="5" t="s">
        <v>1295</v>
      </c>
      <c r="D305" s="5" t="s">
        <v>29</v>
      </c>
      <c r="E305" s="5" t="s">
        <v>88</v>
      </c>
      <c r="F305" s="5"/>
      <c r="G305" s="5" t="s">
        <v>571</v>
      </c>
      <c r="H305" s="5" t="s">
        <v>23</v>
      </c>
      <c r="I305" s="6">
        <v>249000</v>
      </c>
      <c r="J305" s="6">
        <f>IF(D305="Thu",I305,0)</f>
        <v>0</v>
      </c>
      <c r="K305" s="6">
        <f>IF(D305="Chi",I305,0)</f>
        <v>249000</v>
      </c>
      <c r="L305" s="6" t="e">
        <f>L304+J305-K305</f>
        <v>#VALUE!</v>
      </c>
      <c r="M305" s="6">
        <f ca="1">IFERROR(__xludf.DUMMYFUNCTION("SUM(FILTER(J:J, H:H=""Tiền mặt"")) - SUM(FILTER(K:K, H:H=""Tiền mặt""))
"),959000)</f>
        <v>959000</v>
      </c>
      <c r="N305" s="6">
        <f ca="1">IFERROR(__xludf.DUMMYFUNCTION("SUM(FILTER(J:J, H:H=""Chuyển khoản"")) - SUM(FILTER(K:K, H:H=""Chuyển khoản""))
"),4468984)</f>
        <v>4468984</v>
      </c>
      <c r="O305" s="5"/>
      <c r="P305" s="5"/>
      <c r="Q305" s="5"/>
      <c r="R305" s="5"/>
      <c r="S305" s="5"/>
    </row>
    <row r="306" spans="1:19" ht="15.75" customHeight="1" x14ac:dyDescent="0.2">
      <c r="A306" s="3">
        <v>46162</v>
      </c>
      <c r="B306" s="4" t="str">
        <f>IF(A306="","","PC-"&amp;TEXT(A306,"mm/yyyy")&amp;"-"&amp;TEXT(COUNTIFS($A$2:A306,"&gt;="&amp;EOMONTH(A306,-1)+1,$A$2:A306,"&lt;="&amp;EOMONTH(A306,0)),"000"))</f>
        <v>PC-05/2026-102</v>
      </c>
      <c r="C306" s="5" t="s">
        <v>1296</v>
      </c>
      <c r="D306" s="5" t="s">
        <v>29</v>
      </c>
      <c r="E306" s="5" t="s">
        <v>71</v>
      </c>
      <c r="F306" s="5"/>
      <c r="G306" s="5" t="s">
        <v>462</v>
      </c>
      <c r="H306" s="5" t="s">
        <v>27</v>
      </c>
      <c r="I306" s="6">
        <v>74000</v>
      </c>
      <c r="J306" s="6">
        <f>IF(D306="Thu",I306,0)</f>
        <v>0</v>
      </c>
      <c r="K306" s="6">
        <f>IF(D306="Chi",I306,0)</f>
        <v>74000</v>
      </c>
      <c r="L306" s="6" t="e">
        <f>L305+J306-K306</f>
        <v>#VALUE!</v>
      </c>
      <c r="M306" s="6">
        <f ca="1">IFERROR(__xludf.DUMMYFUNCTION("SUM(FILTER(J:J, H:H=""Tiền mặt"")) - SUM(FILTER(K:K, H:H=""Tiền mặt""))
"),959000)</f>
        <v>959000</v>
      </c>
      <c r="N306" s="6">
        <f ca="1">IFERROR(__xludf.DUMMYFUNCTION("SUM(FILTER(J:J, H:H=""Chuyển khoản"")) - SUM(FILTER(K:K, H:H=""Chuyển khoản""))
"),4468984)</f>
        <v>4468984</v>
      </c>
      <c r="O306" s="5"/>
      <c r="P306" s="5"/>
      <c r="Q306" s="5"/>
      <c r="R306" s="5"/>
      <c r="S306" s="5"/>
    </row>
    <row r="307" spans="1:19" ht="15.75" customHeight="1" x14ac:dyDescent="0.2">
      <c r="A307" s="3">
        <v>46162</v>
      </c>
      <c r="B307" s="4" t="str">
        <f>IF(A307="","","PC-"&amp;TEXT(A307,"mm/yyyy")&amp;"-"&amp;TEXT(COUNTIFS($A$2:A307,"&gt;="&amp;EOMONTH(A307,-1)+1,$A$2:A307,"&lt;="&amp;EOMONTH(A307,0)),"000"))</f>
        <v>PC-05/2026-103</v>
      </c>
      <c r="C307" s="5" t="s">
        <v>1297</v>
      </c>
      <c r="D307" s="5" t="s">
        <v>29</v>
      </c>
      <c r="E307" s="5" t="s">
        <v>41</v>
      </c>
      <c r="F307" s="5"/>
      <c r="G307" s="5" t="s">
        <v>82</v>
      </c>
      <c r="H307" s="5" t="s">
        <v>23</v>
      </c>
      <c r="I307" s="6">
        <v>100000</v>
      </c>
      <c r="J307" s="6">
        <f>IF(D307="Thu",I307,0)</f>
        <v>0</v>
      </c>
      <c r="K307" s="6">
        <f>IF(D307="Chi",I307,0)</f>
        <v>100000</v>
      </c>
      <c r="L307" s="6" t="e">
        <f>L306+J307-K307</f>
        <v>#VALUE!</v>
      </c>
      <c r="M307" s="6">
        <f ca="1">IFERROR(__xludf.DUMMYFUNCTION("SUM(FILTER(J:J, H:H=""Tiền mặt"")) - SUM(FILTER(K:K, H:H=""Tiền mặt""))
"),959000)</f>
        <v>959000</v>
      </c>
      <c r="N307" s="6">
        <f ca="1">IFERROR(__xludf.DUMMYFUNCTION("SUM(FILTER(J:J, H:H=""Chuyển khoản"")) - SUM(FILTER(K:K, H:H=""Chuyển khoản""))
"),4468984)</f>
        <v>4468984</v>
      </c>
      <c r="O307" s="5"/>
      <c r="P307" s="5"/>
      <c r="Q307" s="5"/>
      <c r="R307" s="5"/>
      <c r="S307" s="5"/>
    </row>
    <row r="308" spans="1:19" ht="15.75" customHeight="1" x14ac:dyDescent="0.2">
      <c r="A308" s="3">
        <v>46162</v>
      </c>
      <c r="B308" s="4" t="str">
        <f>IF(A308="","","PC-"&amp;TEXT(A308,"mm/yyyy")&amp;"-"&amp;TEXT(COUNTIFS($A$2:A308,"&gt;="&amp;EOMONTH(A308,-1)+1,$A$2:A308,"&lt;="&amp;EOMONTH(A308,0)),"000"))</f>
        <v>PC-05/2026-104</v>
      </c>
      <c r="C308" s="5" t="s">
        <v>1298</v>
      </c>
      <c r="D308" s="5" t="s">
        <v>29</v>
      </c>
      <c r="E308" s="5" t="s">
        <v>41</v>
      </c>
      <c r="F308" s="5"/>
      <c r="G308" s="5" t="s">
        <v>82</v>
      </c>
      <c r="H308" s="5" t="s">
        <v>23</v>
      </c>
      <c r="I308" s="6">
        <v>200000</v>
      </c>
      <c r="J308" s="6">
        <f>IF(D308="Thu",I308,0)</f>
        <v>0</v>
      </c>
      <c r="K308" s="6">
        <f>IF(D308="Chi",I308,0)</f>
        <v>200000</v>
      </c>
      <c r="L308" s="6" t="e">
        <f>L307+J308-K308</f>
        <v>#VALUE!</v>
      </c>
      <c r="M308" s="6">
        <f ca="1">IFERROR(__xludf.DUMMYFUNCTION("SUM(FILTER(J:J, H:H=""Tiền mặt"")) - SUM(FILTER(K:K, H:H=""Tiền mặt""))
"),959000)</f>
        <v>959000</v>
      </c>
      <c r="N308" s="6">
        <f ca="1">IFERROR(__xludf.DUMMYFUNCTION("SUM(FILTER(J:J, H:H=""Chuyển khoản"")) - SUM(FILTER(K:K, H:H=""Chuyển khoản""))
"),4468984)</f>
        <v>4468984</v>
      </c>
      <c r="O308" s="5"/>
      <c r="P308" s="5"/>
      <c r="Q308" s="5"/>
      <c r="R308" s="5"/>
      <c r="S308" s="5"/>
    </row>
    <row r="309" spans="1:19" ht="15.75" customHeight="1" x14ac:dyDescent="0.2">
      <c r="A309" s="3">
        <v>46162</v>
      </c>
      <c r="B309" s="4" t="str">
        <f>IF(A309="","","PC-"&amp;TEXT(A309,"mm/yyyy")&amp;"-"&amp;TEXT(COUNTIFS($A$2:A309,"&gt;="&amp;EOMONTH(A309,-1)+1,$A$2:A309,"&lt;="&amp;EOMONTH(A309,0)),"000"))</f>
        <v>PC-05/2026-105</v>
      </c>
      <c r="C309" s="5" t="s">
        <v>1299</v>
      </c>
      <c r="D309" s="5" t="s">
        <v>29</v>
      </c>
      <c r="E309" s="5" t="s">
        <v>41</v>
      </c>
      <c r="F309" s="5"/>
      <c r="G309" s="5" t="s">
        <v>82</v>
      </c>
      <c r="H309" s="5" t="s">
        <v>23</v>
      </c>
      <c r="I309" s="6">
        <v>100000</v>
      </c>
      <c r="J309" s="6">
        <f>IF(D309="Thu",I309,0)</f>
        <v>0</v>
      </c>
      <c r="K309" s="6">
        <f>IF(D309="Chi",I309,0)</f>
        <v>100000</v>
      </c>
      <c r="L309" s="6" t="e">
        <f>L308+J309-K309</f>
        <v>#VALUE!</v>
      </c>
      <c r="M309" s="6">
        <f ca="1">IFERROR(__xludf.DUMMYFUNCTION("SUM(FILTER(J:J, H:H=""Tiền mặt"")) - SUM(FILTER(K:K, H:H=""Tiền mặt""))
"),959000)</f>
        <v>959000</v>
      </c>
      <c r="N309" s="6">
        <f ca="1">IFERROR(__xludf.DUMMYFUNCTION("SUM(FILTER(J:J, H:H=""Chuyển khoản"")) - SUM(FILTER(K:K, H:H=""Chuyển khoản""))
"),4468984)</f>
        <v>4468984</v>
      </c>
      <c r="O309" s="5"/>
      <c r="P309" s="5"/>
      <c r="Q309" s="5"/>
      <c r="R309" s="5"/>
      <c r="S309" s="5"/>
    </row>
    <row r="310" spans="1:19" ht="15.75" customHeight="1" x14ac:dyDescent="0.2">
      <c r="A310" s="3">
        <v>46162</v>
      </c>
      <c r="B310" s="4" t="str">
        <f>IF(A310="","","PC-"&amp;TEXT(A310,"mm/yyyy")&amp;"-"&amp;TEXT(COUNTIFS($A$2:A310,"&gt;="&amp;EOMONTH(A310,-1)+1,$A$2:A310,"&lt;="&amp;EOMONTH(A310,0)),"000"))</f>
        <v>PC-05/2026-106</v>
      </c>
      <c r="C310" s="5" t="s">
        <v>1300</v>
      </c>
      <c r="D310" s="5" t="s">
        <v>29</v>
      </c>
      <c r="E310" s="5" t="s">
        <v>41</v>
      </c>
      <c r="F310" s="5"/>
      <c r="G310" s="5" t="s">
        <v>82</v>
      </c>
      <c r="H310" s="5" t="s">
        <v>23</v>
      </c>
      <c r="I310" s="6">
        <v>100000</v>
      </c>
      <c r="J310" s="6">
        <f>IF(D310="Thu",I310,0)</f>
        <v>0</v>
      </c>
      <c r="K310" s="6">
        <f>IF(D310="Chi",I310,0)</f>
        <v>100000</v>
      </c>
      <c r="L310" s="6" t="e">
        <f>L309+J310-K310</f>
        <v>#VALUE!</v>
      </c>
      <c r="M310" s="6">
        <f ca="1">IFERROR(__xludf.DUMMYFUNCTION("SUM(FILTER(J:J, H:H=""Tiền mặt"")) - SUM(FILTER(K:K, H:H=""Tiền mặt""))
"),959000)</f>
        <v>959000</v>
      </c>
      <c r="N310" s="6">
        <f ca="1">IFERROR(__xludf.DUMMYFUNCTION("SUM(FILTER(J:J, H:H=""Chuyển khoản"")) - SUM(FILTER(K:K, H:H=""Chuyển khoản""))
"),4468984)</f>
        <v>4468984</v>
      </c>
      <c r="O310" s="5"/>
      <c r="P310" s="5"/>
      <c r="Q310" s="5"/>
      <c r="R310" s="5"/>
      <c r="S310" s="5"/>
    </row>
    <row r="311" spans="1:19" ht="15.75" customHeight="1" x14ac:dyDescent="0.2">
      <c r="A311" s="3">
        <v>46161</v>
      </c>
      <c r="B311" s="4" t="str">
        <f>IF(A311="","","PC-"&amp;TEXT(A311,"mm/yyyy")&amp;"-"&amp;TEXT(COUNTIFS($A$2:A311,"&gt;="&amp;EOMONTH(A311,-1)+1,$A$2:A311,"&lt;="&amp;EOMONTH(A311,0)),"000"))</f>
        <v>PC-05/2026-107</v>
      </c>
      <c r="C311" s="5" t="s">
        <v>528</v>
      </c>
      <c r="D311" s="5" t="s">
        <v>29</v>
      </c>
      <c r="E311" s="5" t="s">
        <v>36</v>
      </c>
      <c r="F311" s="5"/>
      <c r="G311" s="5" t="s">
        <v>37</v>
      </c>
      <c r="H311" s="5" t="s">
        <v>23</v>
      </c>
      <c r="I311" s="6">
        <v>63000</v>
      </c>
      <c r="J311" s="6">
        <f>IF(D311="Thu",I311,0)</f>
        <v>0</v>
      </c>
      <c r="K311" s="6">
        <f>IF(D311="Chi",I311,0)</f>
        <v>63000</v>
      </c>
      <c r="L311" s="6" t="e">
        <f>L310+J311-K311</f>
        <v>#VALUE!</v>
      </c>
      <c r="M311" s="6">
        <f ca="1">IFERROR(__xludf.DUMMYFUNCTION("SUM(FILTER(J:J, H:H=""Tiền mặt"")) - SUM(FILTER(K:K, H:H=""Tiền mặt""))
"),959000)</f>
        <v>959000</v>
      </c>
      <c r="N311" s="6">
        <f ca="1">IFERROR(__xludf.DUMMYFUNCTION("SUM(FILTER(J:J, H:H=""Chuyển khoản"")) - SUM(FILTER(K:K, H:H=""Chuyển khoản""))
"),4468984)</f>
        <v>4468984</v>
      </c>
      <c r="O311" s="5"/>
      <c r="P311" s="5"/>
      <c r="Q311" s="5"/>
      <c r="R311" s="5"/>
      <c r="S311" s="5"/>
    </row>
    <row r="312" spans="1:19" ht="15.75" customHeight="1" x14ac:dyDescent="0.2">
      <c r="A312" s="3">
        <v>46161</v>
      </c>
      <c r="B312" s="4" t="str">
        <f>IF(A312="","","PC-"&amp;TEXT(A312,"mm/yyyy")&amp;"-"&amp;TEXT(COUNTIFS($A$2:A312,"&gt;="&amp;EOMONTH(A312,-1)+1,$A$2:A312,"&lt;="&amp;EOMONTH(A312,0)),"000"))</f>
        <v>PC-05/2026-108</v>
      </c>
      <c r="C312" s="5" t="s">
        <v>1277</v>
      </c>
      <c r="D312" s="5" t="s">
        <v>29</v>
      </c>
      <c r="E312" s="5" t="s">
        <v>41</v>
      </c>
      <c r="F312" s="5"/>
      <c r="G312" s="5" t="s">
        <v>82</v>
      </c>
      <c r="H312" s="5" t="s">
        <v>23</v>
      </c>
      <c r="I312" s="6">
        <v>100000</v>
      </c>
      <c r="J312" s="6">
        <f>IF(D312="Thu",I312,0)</f>
        <v>0</v>
      </c>
      <c r="K312" s="6">
        <f>IF(D312="Chi",I312,0)</f>
        <v>100000</v>
      </c>
      <c r="L312" s="6" t="e">
        <f>L311+J312-K312</f>
        <v>#VALUE!</v>
      </c>
      <c r="M312" s="6">
        <f ca="1">IFERROR(__xludf.DUMMYFUNCTION("SUM(FILTER(J:J, H:H=""Tiền mặt"")) - SUM(FILTER(K:K, H:H=""Tiền mặt""))
"),959000)</f>
        <v>959000</v>
      </c>
      <c r="N312" s="6">
        <f ca="1">IFERROR(__xludf.DUMMYFUNCTION("SUM(FILTER(J:J, H:H=""Chuyển khoản"")) - SUM(FILTER(K:K, H:H=""Chuyển khoản""))
"),4468984)</f>
        <v>4468984</v>
      </c>
      <c r="O312" s="5"/>
      <c r="P312" s="5"/>
      <c r="Q312" s="5"/>
      <c r="R312" s="5"/>
      <c r="S312" s="5"/>
    </row>
    <row r="313" spans="1:19" ht="15.75" customHeight="1" x14ac:dyDescent="0.2">
      <c r="A313" s="3">
        <v>46161</v>
      </c>
      <c r="B313" s="4" t="str">
        <f>IF(A313="","","PC-"&amp;TEXT(A313,"mm/yyyy")&amp;"-"&amp;TEXT(COUNTIFS($A$2:A313,"&gt;="&amp;EOMONTH(A313,-1)+1,$A$2:A313,"&lt;="&amp;EOMONTH(A313,0)),"000"))</f>
        <v>PC-05/2026-109</v>
      </c>
      <c r="C313" s="5" t="s">
        <v>1278</v>
      </c>
      <c r="D313" s="5" t="s">
        <v>29</v>
      </c>
      <c r="E313" s="5" t="s">
        <v>51</v>
      </c>
      <c r="F313" s="5"/>
      <c r="G313" s="5" t="s">
        <v>52</v>
      </c>
      <c r="H313" s="5" t="s">
        <v>27</v>
      </c>
      <c r="I313" s="6">
        <v>72600</v>
      </c>
      <c r="J313" s="6">
        <f>IF(D313="Thu",I313,0)</f>
        <v>0</v>
      </c>
      <c r="K313" s="6">
        <f>IF(D313="Chi",I313,0)</f>
        <v>72600</v>
      </c>
      <c r="L313" s="6" t="e">
        <f>L312+J313-K313</f>
        <v>#VALUE!</v>
      </c>
      <c r="M313" s="6">
        <f ca="1">IFERROR(__xludf.DUMMYFUNCTION("SUM(FILTER(J:J, H:H=""Tiền mặt"")) - SUM(FILTER(K:K, H:H=""Tiền mặt""))
"),959000)</f>
        <v>959000</v>
      </c>
      <c r="N313" s="6">
        <f ca="1">IFERROR(__xludf.DUMMYFUNCTION("SUM(FILTER(J:J, H:H=""Chuyển khoản"")) - SUM(FILTER(K:K, H:H=""Chuyển khoản""))
"),4468984)</f>
        <v>4468984</v>
      </c>
      <c r="O313" s="5"/>
      <c r="P313" s="5"/>
      <c r="Q313" s="5"/>
      <c r="R313" s="5"/>
      <c r="S313" s="5"/>
    </row>
    <row r="314" spans="1:19" ht="15.75" customHeight="1" x14ac:dyDescent="0.2">
      <c r="A314" s="3">
        <v>46161</v>
      </c>
      <c r="B314" s="4" t="str">
        <f>IF(A314="","","PC-"&amp;TEXT(A314,"mm/yyyy")&amp;"-"&amp;TEXT(COUNTIFS($A$2:A314,"&gt;="&amp;EOMONTH(A314,-1)+1,$A$2:A314,"&lt;="&amp;EOMONTH(A314,0)),"000"))</f>
        <v>PC-05/2026-110</v>
      </c>
      <c r="C314" s="5" t="s">
        <v>1279</v>
      </c>
      <c r="D314" s="5" t="s">
        <v>29</v>
      </c>
      <c r="E314" s="5" t="s">
        <v>51</v>
      </c>
      <c r="F314" s="5"/>
      <c r="G314" s="5" t="s">
        <v>52</v>
      </c>
      <c r="H314" s="5" t="s">
        <v>27</v>
      </c>
      <c r="I314" s="6">
        <v>60500</v>
      </c>
      <c r="J314" s="6">
        <f>IF(D314="Thu",I314,0)</f>
        <v>0</v>
      </c>
      <c r="K314" s="6">
        <f>IF(D314="Chi",I314,0)</f>
        <v>60500</v>
      </c>
      <c r="L314" s="6" t="e">
        <f>L313+J314-K314</f>
        <v>#VALUE!</v>
      </c>
      <c r="M314" s="6">
        <f ca="1">IFERROR(__xludf.DUMMYFUNCTION("SUM(FILTER(J:J, H:H=""Tiền mặt"")) - SUM(FILTER(K:K, H:H=""Tiền mặt""))
"),959000)</f>
        <v>959000</v>
      </c>
      <c r="N314" s="6">
        <f ca="1">IFERROR(__xludf.DUMMYFUNCTION("SUM(FILTER(J:J, H:H=""Chuyển khoản"")) - SUM(FILTER(K:K, H:H=""Chuyển khoản""))
"),4468984)</f>
        <v>4468984</v>
      </c>
      <c r="O314" s="5"/>
      <c r="P314" s="5"/>
      <c r="Q314" s="5"/>
      <c r="R314" s="5"/>
      <c r="S314" s="5"/>
    </row>
    <row r="315" spans="1:19" ht="15.75" customHeight="1" x14ac:dyDescent="0.2">
      <c r="A315" s="3">
        <v>46161</v>
      </c>
      <c r="B315" s="4" t="str">
        <f>IF(A315="","","PC-"&amp;TEXT(A315,"mm/yyyy")&amp;"-"&amp;TEXT(COUNTIFS($A$2:A315,"&gt;="&amp;EOMONTH(A315,-1)+1,$A$2:A315,"&lt;="&amp;EOMONTH(A315,0)),"000"))</f>
        <v>PC-05/2026-111</v>
      </c>
      <c r="C315" s="5" t="s">
        <v>1280</v>
      </c>
      <c r="D315" s="5" t="s">
        <v>29</v>
      </c>
      <c r="E315" s="5" t="s">
        <v>41</v>
      </c>
      <c r="F315" s="5"/>
      <c r="G315" s="5" t="s">
        <v>82</v>
      </c>
      <c r="H315" s="5" t="s">
        <v>23</v>
      </c>
      <c r="I315" s="6">
        <v>100000</v>
      </c>
      <c r="J315" s="6">
        <f>IF(D315="Thu",I315,0)</f>
        <v>0</v>
      </c>
      <c r="K315" s="6">
        <f>IF(D315="Chi",I315,0)</f>
        <v>100000</v>
      </c>
      <c r="L315" s="6" t="e">
        <f>L314+J315-K315</f>
        <v>#VALUE!</v>
      </c>
      <c r="M315" s="6">
        <f ca="1">IFERROR(__xludf.DUMMYFUNCTION("SUM(FILTER(J:J, H:H=""Tiền mặt"")) - SUM(FILTER(K:K, H:H=""Tiền mặt""))
"),959000)</f>
        <v>959000</v>
      </c>
      <c r="N315" s="6">
        <f ca="1">IFERROR(__xludf.DUMMYFUNCTION("SUM(FILTER(J:J, H:H=""Chuyển khoản"")) - SUM(FILTER(K:K, H:H=""Chuyển khoản""))
"),4468984)</f>
        <v>4468984</v>
      </c>
      <c r="O315" s="5"/>
      <c r="P315" s="5"/>
      <c r="Q315" s="5"/>
      <c r="R315" s="5"/>
      <c r="S315" s="5"/>
    </row>
    <row r="316" spans="1:19" ht="15.75" customHeight="1" x14ac:dyDescent="0.2">
      <c r="A316" s="3">
        <v>46161</v>
      </c>
      <c r="B316" s="4" t="str">
        <f>IF(A316="","","PC-"&amp;TEXT(A316,"mm/yyyy")&amp;"-"&amp;TEXT(COUNTIFS($A$2:A316,"&gt;="&amp;EOMONTH(A316,-1)+1,$A$2:A316,"&lt;="&amp;EOMONTH(A316,0)),"000"))</f>
        <v>PC-05/2026-112</v>
      </c>
      <c r="C316" s="5" t="s">
        <v>830</v>
      </c>
      <c r="D316" s="5" t="s">
        <v>29</v>
      </c>
      <c r="E316" s="5" t="s">
        <v>71</v>
      </c>
      <c r="F316" s="5"/>
      <c r="G316" s="5" t="s">
        <v>816</v>
      </c>
      <c r="H316" s="5" t="s">
        <v>27</v>
      </c>
      <c r="I316" s="6">
        <v>40000</v>
      </c>
      <c r="J316" s="6">
        <f>IF(D316="Thu",I316,0)</f>
        <v>0</v>
      </c>
      <c r="K316" s="6">
        <f>IF(D316="Chi",I316,0)</f>
        <v>40000</v>
      </c>
      <c r="L316" s="6" t="e">
        <f>L315+J316-K316</f>
        <v>#VALUE!</v>
      </c>
      <c r="M316" s="6">
        <f ca="1">IFERROR(__xludf.DUMMYFUNCTION("SUM(FILTER(J:J, H:H=""Tiền mặt"")) - SUM(FILTER(K:K, H:H=""Tiền mặt""))
"),959000)</f>
        <v>959000</v>
      </c>
      <c r="N316" s="6">
        <f ca="1">IFERROR(__xludf.DUMMYFUNCTION("SUM(FILTER(J:J, H:H=""Chuyển khoản"")) - SUM(FILTER(K:K, H:H=""Chuyển khoản""))
"),4468984)</f>
        <v>4468984</v>
      </c>
      <c r="O316" s="5"/>
      <c r="P316" s="5"/>
      <c r="Q316" s="5"/>
      <c r="R316" s="5"/>
      <c r="S316" s="5"/>
    </row>
    <row r="317" spans="1:19" ht="15.75" customHeight="1" x14ac:dyDescent="0.2">
      <c r="A317" s="3">
        <v>46161</v>
      </c>
      <c r="B317" s="4" t="str">
        <f>IF(A317="","","PC-"&amp;TEXT(A317,"mm/yyyy")&amp;"-"&amp;TEXT(COUNTIFS($A$2:A317,"&gt;="&amp;EOMONTH(A317,-1)+1,$A$2:A317,"&lt;="&amp;EOMONTH(A317,0)),"000"))</f>
        <v>PC-05/2026-113</v>
      </c>
      <c r="C317" s="5" t="s">
        <v>1281</v>
      </c>
      <c r="D317" s="5" t="s">
        <v>29</v>
      </c>
      <c r="E317" s="5" t="s">
        <v>44</v>
      </c>
      <c r="F317" s="5"/>
      <c r="G317" s="5" t="s">
        <v>45</v>
      </c>
      <c r="H317" s="5" t="s">
        <v>23</v>
      </c>
      <c r="I317" s="6">
        <v>2000000</v>
      </c>
      <c r="J317" s="6">
        <f>IF(D317="Thu",I317,0)</f>
        <v>0</v>
      </c>
      <c r="K317" s="6">
        <f>IF(D317="Chi",I317,0)</f>
        <v>2000000</v>
      </c>
      <c r="L317" s="6" t="e">
        <f>L316+J317-K317</f>
        <v>#VALUE!</v>
      </c>
      <c r="M317" s="6">
        <f ca="1">IFERROR(__xludf.DUMMYFUNCTION("SUM(FILTER(J:J, H:H=""Tiền mặt"")) - SUM(FILTER(K:K, H:H=""Tiền mặt""))
"),959000)</f>
        <v>959000</v>
      </c>
      <c r="N317" s="6">
        <f ca="1">IFERROR(__xludf.DUMMYFUNCTION("SUM(FILTER(J:J, H:H=""Chuyển khoản"")) - SUM(FILTER(K:K, H:H=""Chuyển khoản""))
"),4468984)</f>
        <v>4468984</v>
      </c>
      <c r="O317" s="5"/>
      <c r="P317" s="5"/>
      <c r="Q317" s="5"/>
      <c r="R317" s="5"/>
      <c r="S317" s="5"/>
    </row>
    <row r="318" spans="1:19" ht="15.75" customHeight="1" x14ac:dyDescent="0.2">
      <c r="A318" s="3">
        <v>46161</v>
      </c>
      <c r="B318" s="4" t="str">
        <f>IF(A318="","","PC-"&amp;TEXT(A318,"mm/yyyy")&amp;"-"&amp;TEXT(COUNTIFS($A$2:A318,"&gt;="&amp;EOMONTH(A318,-1)+1,$A$2:A318,"&lt;="&amp;EOMONTH(A318,0)),"000"))</f>
        <v>PC-05/2026-114</v>
      </c>
      <c r="C318" s="5" t="s">
        <v>1282</v>
      </c>
      <c r="D318" s="5" t="s">
        <v>29</v>
      </c>
      <c r="E318" s="5" t="s">
        <v>47</v>
      </c>
      <c r="F318" s="5"/>
      <c r="G318" s="5" t="s">
        <v>48</v>
      </c>
      <c r="H318" s="5" t="s">
        <v>23</v>
      </c>
      <c r="I318" s="6">
        <v>50000</v>
      </c>
      <c r="J318" s="6">
        <f>IF(D318="Thu",I318,0)</f>
        <v>0</v>
      </c>
      <c r="K318" s="6">
        <f>IF(D318="Chi",I318,0)</f>
        <v>50000</v>
      </c>
      <c r="L318" s="6" t="e">
        <f>L317+J318-K318</f>
        <v>#VALUE!</v>
      </c>
      <c r="M318" s="6">
        <f ca="1">IFERROR(__xludf.DUMMYFUNCTION("SUM(FILTER(J:J, H:H=""Tiền mặt"")) - SUM(FILTER(K:K, H:H=""Tiền mặt""))
"),959000)</f>
        <v>959000</v>
      </c>
      <c r="N318" s="6">
        <f ca="1">IFERROR(__xludf.DUMMYFUNCTION("SUM(FILTER(J:J, H:H=""Chuyển khoản"")) - SUM(FILTER(K:K, H:H=""Chuyển khoản""))
"),4468984)</f>
        <v>4468984</v>
      </c>
      <c r="O318" s="5"/>
      <c r="P318" s="5"/>
      <c r="Q318" s="5"/>
      <c r="R318" s="5"/>
      <c r="S318" s="5"/>
    </row>
    <row r="319" spans="1:19" ht="15.75" customHeight="1" x14ac:dyDescent="0.2">
      <c r="A319" s="3">
        <v>46161</v>
      </c>
      <c r="B319" s="4" t="str">
        <f>IF(A319="","","PC-"&amp;TEXT(A319,"mm/yyyy")&amp;"-"&amp;TEXT(COUNTIFS($A$2:A319,"&gt;="&amp;EOMONTH(A319,-1)+1,$A$2:A319,"&lt;="&amp;EOMONTH(A319,0)),"000"))</f>
        <v>PC-05/2026-115</v>
      </c>
      <c r="C319" s="5" t="s">
        <v>1283</v>
      </c>
      <c r="D319" s="5" t="s">
        <v>29</v>
      </c>
      <c r="E319" s="5" t="s">
        <v>1284</v>
      </c>
      <c r="F319" s="5"/>
      <c r="G319" s="5" t="s">
        <v>37</v>
      </c>
      <c r="H319" s="5" t="s">
        <v>23</v>
      </c>
      <c r="I319" s="6">
        <v>200000</v>
      </c>
      <c r="J319" s="6">
        <f>IF(D319="Thu",I319,0)</f>
        <v>0</v>
      </c>
      <c r="K319" s="6">
        <f>IF(D319="Chi",I319,0)</f>
        <v>200000</v>
      </c>
      <c r="L319" s="6" t="e">
        <f>L318+J319-K319</f>
        <v>#VALUE!</v>
      </c>
      <c r="M319" s="6">
        <f ca="1">IFERROR(__xludf.DUMMYFUNCTION("SUM(FILTER(J:J, H:H=""Tiền mặt"")) - SUM(FILTER(K:K, H:H=""Tiền mặt""))
"),959000)</f>
        <v>959000</v>
      </c>
      <c r="N319" s="6">
        <f ca="1">IFERROR(__xludf.DUMMYFUNCTION("SUM(FILTER(J:J, H:H=""Chuyển khoản"")) - SUM(FILTER(K:K, H:H=""Chuyển khoản""))
"),4468984)</f>
        <v>4468984</v>
      </c>
      <c r="O319" s="5"/>
      <c r="P319" s="5"/>
      <c r="Q319" s="5"/>
      <c r="R319" s="5"/>
      <c r="S319" s="5"/>
    </row>
    <row r="320" spans="1:19" ht="15.75" customHeight="1" x14ac:dyDescent="0.2">
      <c r="A320" s="3">
        <v>46161</v>
      </c>
      <c r="B320" s="4" t="str">
        <f>IF(A320="","","PC-"&amp;TEXT(A320,"mm/yyyy")&amp;"-"&amp;TEXT(COUNTIFS($A$2:A320,"&gt;="&amp;EOMONTH(A320,-1)+1,$A$2:A320,"&lt;="&amp;EOMONTH(A320,0)),"000"))</f>
        <v>PC-05/2026-116</v>
      </c>
      <c r="C320" s="5" t="s">
        <v>1285</v>
      </c>
      <c r="D320" s="5" t="s">
        <v>29</v>
      </c>
      <c r="E320" s="5" t="s">
        <v>41</v>
      </c>
      <c r="F320" s="5"/>
      <c r="G320" s="5" t="s">
        <v>82</v>
      </c>
      <c r="H320" s="5" t="s">
        <v>23</v>
      </c>
      <c r="I320" s="6">
        <v>100000</v>
      </c>
      <c r="J320" s="6">
        <f>IF(D320="Thu",I320,0)</f>
        <v>0</v>
      </c>
      <c r="K320" s="6">
        <f>IF(D320="Chi",I320,0)</f>
        <v>100000</v>
      </c>
      <c r="L320" s="6" t="e">
        <f>L319+J320-K320</f>
        <v>#VALUE!</v>
      </c>
      <c r="M320" s="6">
        <f ca="1">IFERROR(__xludf.DUMMYFUNCTION("SUM(FILTER(J:J, H:H=""Tiền mặt"")) - SUM(FILTER(K:K, H:H=""Tiền mặt""))
"),959000)</f>
        <v>959000</v>
      </c>
      <c r="N320" s="6">
        <f ca="1">IFERROR(__xludf.DUMMYFUNCTION("SUM(FILTER(J:J, H:H=""Chuyển khoản"")) - SUM(FILTER(K:K, H:H=""Chuyển khoản""))
"),4468984)</f>
        <v>4468984</v>
      </c>
      <c r="O320" s="5"/>
      <c r="P320" s="5"/>
      <c r="Q320" s="5"/>
      <c r="R320" s="5"/>
      <c r="S320" s="5"/>
    </row>
    <row r="321" spans="1:19" ht="15.75" customHeight="1" x14ac:dyDescent="0.2">
      <c r="A321" s="3">
        <v>46161</v>
      </c>
      <c r="B321" s="4" t="str">
        <f>IF(A321="","","PC-"&amp;TEXT(A321,"mm/yyyy")&amp;"-"&amp;TEXT(COUNTIFS($A$2:A321,"&gt;="&amp;EOMONTH(A321,-1)+1,$A$2:A321,"&lt;="&amp;EOMONTH(A321,0)),"000"))</f>
        <v>PC-05/2026-117</v>
      </c>
      <c r="C321" s="5" t="s">
        <v>1286</v>
      </c>
      <c r="D321" s="5" t="s">
        <v>29</v>
      </c>
      <c r="E321" s="5" t="s">
        <v>41</v>
      </c>
      <c r="F321" s="5"/>
      <c r="G321" s="5" t="s">
        <v>82</v>
      </c>
      <c r="H321" s="5" t="s">
        <v>23</v>
      </c>
      <c r="I321" s="6">
        <v>100000</v>
      </c>
      <c r="J321" s="6">
        <f>IF(D321="Thu",I321,0)</f>
        <v>0</v>
      </c>
      <c r="K321" s="6">
        <f>IF(D321="Chi",I321,0)</f>
        <v>100000</v>
      </c>
      <c r="L321" s="6" t="e">
        <f>L320+J321-K321</f>
        <v>#VALUE!</v>
      </c>
      <c r="M321" s="6">
        <f ca="1">IFERROR(__xludf.DUMMYFUNCTION("SUM(FILTER(J:J, H:H=""Tiền mặt"")) - SUM(FILTER(K:K, H:H=""Tiền mặt""))
"),959000)</f>
        <v>959000</v>
      </c>
      <c r="N321" s="6">
        <f ca="1">IFERROR(__xludf.DUMMYFUNCTION("SUM(FILTER(J:J, H:H=""Chuyển khoản"")) - SUM(FILTER(K:K, H:H=""Chuyển khoản""))
"),4468984)</f>
        <v>4468984</v>
      </c>
      <c r="O321" s="5"/>
      <c r="P321" s="5"/>
      <c r="Q321" s="5"/>
      <c r="R321" s="5"/>
      <c r="S321" s="5"/>
    </row>
    <row r="322" spans="1:19" ht="15.75" customHeight="1" x14ac:dyDescent="0.2">
      <c r="A322" s="3">
        <v>46161</v>
      </c>
      <c r="B322" s="4" t="str">
        <f>IF(A322="","","PC-"&amp;TEXT(A322,"mm/yyyy")&amp;"-"&amp;TEXT(COUNTIFS($A$2:A322,"&gt;="&amp;EOMONTH(A322,-1)+1,$A$2:A322,"&lt;="&amp;EOMONTH(A322,0)),"000"))</f>
        <v>PC-05/2026-118</v>
      </c>
      <c r="C322" s="5" t="s">
        <v>1287</v>
      </c>
      <c r="D322" s="5" t="s">
        <v>29</v>
      </c>
      <c r="E322" s="5" t="s">
        <v>141</v>
      </c>
      <c r="F322" s="5"/>
      <c r="G322" s="5" t="s">
        <v>52</v>
      </c>
      <c r="H322" s="5" t="s">
        <v>27</v>
      </c>
      <c r="I322" s="6">
        <v>3206000</v>
      </c>
      <c r="J322" s="6">
        <f>IF(D322="Thu",I322,0)</f>
        <v>0</v>
      </c>
      <c r="K322" s="6">
        <f>IF(D322="Chi",I322,0)</f>
        <v>3206000</v>
      </c>
      <c r="L322" s="6" t="e">
        <f>L321+J322-K322</f>
        <v>#VALUE!</v>
      </c>
      <c r="M322" s="6">
        <f ca="1">IFERROR(__xludf.DUMMYFUNCTION("SUM(FILTER(J:J, H:H=""Tiền mặt"")) - SUM(FILTER(K:K, H:H=""Tiền mặt""))
"),959000)</f>
        <v>959000</v>
      </c>
      <c r="N322" s="6">
        <f ca="1">IFERROR(__xludf.DUMMYFUNCTION("SUM(FILTER(J:J, H:H=""Chuyển khoản"")) - SUM(FILTER(K:K, H:H=""Chuyển khoản""))
"),4468984)</f>
        <v>4468984</v>
      </c>
      <c r="O322" s="5"/>
      <c r="P322" s="5"/>
      <c r="Q322" s="5"/>
      <c r="R322" s="5"/>
      <c r="S322" s="5"/>
    </row>
    <row r="323" spans="1:19" ht="15.75" customHeight="1" x14ac:dyDescent="0.2">
      <c r="A323" s="3">
        <v>46161</v>
      </c>
      <c r="B323" s="4" t="str">
        <f>IF(A323="","","PC-"&amp;TEXT(A323,"mm/yyyy")&amp;"-"&amp;TEXT(COUNTIFS($A$2:A323,"&gt;="&amp;EOMONTH(A323,-1)+1,$A$2:A323,"&lt;="&amp;EOMONTH(A323,0)),"000"))</f>
        <v>PC-05/2026-119</v>
      </c>
      <c r="C323" s="7" t="s">
        <v>1288</v>
      </c>
      <c r="D323" s="5" t="s">
        <v>29</v>
      </c>
      <c r="E323" s="5" t="s">
        <v>64</v>
      </c>
      <c r="F323" s="5"/>
      <c r="G323" s="5" t="s">
        <v>482</v>
      </c>
      <c r="H323" s="5" t="s">
        <v>23</v>
      </c>
      <c r="I323" s="6">
        <v>600000</v>
      </c>
      <c r="J323" s="6">
        <f>IF(D323="Thu",I323,0)</f>
        <v>0</v>
      </c>
      <c r="K323" s="6">
        <f>IF(D323="Chi",I323,0)</f>
        <v>600000</v>
      </c>
      <c r="L323" s="6" t="e">
        <f>L322+J323-K323</f>
        <v>#VALUE!</v>
      </c>
      <c r="M323" s="6">
        <f ca="1">IFERROR(__xludf.DUMMYFUNCTION("SUM(FILTER(J:J, H:H=""Tiền mặt"")) - SUM(FILTER(K:K, H:H=""Tiền mặt""))
"),959000)</f>
        <v>959000</v>
      </c>
      <c r="N323" s="6">
        <f ca="1">IFERROR(__xludf.DUMMYFUNCTION("SUM(FILTER(J:J, H:H=""Chuyển khoản"")) - SUM(FILTER(K:K, H:H=""Chuyển khoản""))
"),4468984)</f>
        <v>4468984</v>
      </c>
      <c r="O323" s="5"/>
      <c r="P323" s="5"/>
      <c r="Q323" s="5"/>
      <c r="R323" s="5"/>
      <c r="S323" s="5"/>
    </row>
    <row r="324" spans="1:19" ht="15.75" customHeight="1" x14ac:dyDescent="0.2">
      <c r="A324" s="3">
        <v>46161</v>
      </c>
      <c r="B324" s="4" t="str">
        <f>IF(A324="","","PC-"&amp;TEXT(A324,"mm/yyyy")&amp;"-"&amp;TEXT(COUNTIFS($A$2:A324,"&gt;="&amp;EOMONTH(A324,-1)+1,$A$2:A324,"&lt;="&amp;EOMONTH(A324,0)),"000"))</f>
        <v>PC-05/2026-120</v>
      </c>
      <c r="C324" s="5" t="s">
        <v>1289</v>
      </c>
      <c r="D324" s="5" t="s">
        <v>29</v>
      </c>
      <c r="E324" s="5" t="s">
        <v>88</v>
      </c>
      <c r="F324" s="5"/>
      <c r="G324" s="5" t="s">
        <v>571</v>
      </c>
      <c r="H324" s="5" t="s">
        <v>23</v>
      </c>
      <c r="I324" s="6">
        <v>155000</v>
      </c>
      <c r="J324" s="6">
        <f>IF(D324="Thu",I324,0)</f>
        <v>0</v>
      </c>
      <c r="K324" s="6">
        <f>IF(D324="Chi",I324,0)</f>
        <v>155000</v>
      </c>
      <c r="L324" s="6" t="e">
        <f>L323+J324-K324</f>
        <v>#VALUE!</v>
      </c>
      <c r="M324" s="6">
        <f ca="1">IFERROR(__xludf.DUMMYFUNCTION("SUM(FILTER(J:J, H:H=""Tiền mặt"")) - SUM(FILTER(K:K, H:H=""Tiền mặt""))
"),959000)</f>
        <v>959000</v>
      </c>
      <c r="N324" s="6">
        <f ca="1">IFERROR(__xludf.DUMMYFUNCTION("SUM(FILTER(J:J, H:H=""Chuyển khoản"")) - SUM(FILTER(K:K, H:H=""Chuyển khoản""))
"),4468984)</f>
        <v>4468984</v>
      </c>
      <c r="O324" s="5"/>
      <c r="P324" s="5"/>
      <c r="Q324" s="5"/>
      <c r="R324" s="5"/>
      <c r="S324" s="5"/>
    </row>
    <row r="325" spans="1:19" ht="15.75" customHeight="1" x14ac:dyDescent="0.2">
      <c r="A325" s="3">
        <v>46161</v>
      </c>
      <c r="B325" s="4" t="str">
        <f>IF(A325="","","PC-"&amp;TEXT(A325,"mm/yyyy")&amp;"-"&amp;TEXT(COUNTIFS($A$2:A325,"&gt;="&amp;EOMONTH(A325,-1)+1,$A$2:A325,"&lt;="&amp;EOMONTH(A325,0)),"000"))</f>
        <v>PC-05/2026-121</v>
      </c>
      <c r="C325" s="5" t="s">
        <v>1290</v>
      </c>
      <c r="D325" s="5" t="s">
        <v>29</v>
      </c>
      <c r="E325" s="5" t="s">
        <v>88</v>
      </c>
      <c r="F325" s="5"/>
      <c r="G325" s="5" t="s">
        <v>571</v>
      </c>
      <c r="H325" s="5" t="s">
        <v>23</v>
      </c>
      <c r="I325" s="6">
        <v>222000</v>
      </c>
      <c r="J325" s="6">
        <f>IF(D325="Thu",I325,0)</f>
        <v>0</v>
      </c>
      <c r="K325" s="6">
        <f>IF(D325="Chi",I325,0)</f>
        <v>222000</v>
      </c>
      <c r="L325" s="6" t="e">
        <f>L324+J325-K325</f>
        <v>#VALUE!</v>
      </c>
      <c r="M325" s="6">
        <f ca="1">IFERROR(__xludf.DUMMYFUNCTION("SUM(FILTER(J:J, H:H=""Tiền mặt"")) - SUM(FILTER(K:K, H:H=""Tiền mặt""))
"),959000)</f>
        <v>959000</v>
      </c>
      <c r="N325" s="6">
        <f ca="1">IFERROR(__xludf.DUMMYFUNCTION("SUM(FILTER(J:J, H:H=""Chuyển khoản"")) - SUM(FILTER(K:K, H:H=""Chuyển khoản""))
"),4468984)</f>
        <v>4468984</v>
      </c>
      <c r="O325" s="5"/>
      <c r="P325" s="5"/>
      <c r="Q325" s="5"/>
      <c r="R325" s="5"/>
      <c r="S325" s="5"/>
    </row>
    <row r="326" spans="1:19" ht="15.75" customHeight="1" x14ac:dyDescent="0.2">
      <c r="A326" s="3">
        <v>46160</v>
      </c>
      <c r="B326" s="4" t="str">
        <f>IF(A326="","","PC-"&amp;TEXT(A326,"mm/yyyy")&amp;"-"&amp;TEXT(COUNTIFS($A$2:A326,"&gt;="&amp;EOMONTH(A326,-1)+1,$A$2:A326,"&lt;="&amp;EOMONTH(A326,0)),"000"))</f>
        <v>PC-05/2026-122</v>
      </c>
      <c r="C326" s="5" t="s">
        <v>1272</v>
      </c>
      <c r="D326" s="5" t="s">
        <v>29</v>
      </c>
      <c r="E326" s="5" t="s">
        <v>36</v>
      </c>
      <c r="F326" s="5"/>
      <c r="G326" s="5" t="s">
        <v>37</v>
      </c>
      <c r="H326" s="5" t="s">
        <v>23</v>
      </c>
      <c r="I326" s="6">
        <v>165000</v>
      </c>
      <c r="J326" s="6">
        <f>IF(D326="Thu",I326,0)</f>
        <v>0</v>
      </c>
      <c r="K326" s="6">
        <f>IF(D326="Chi",I326,0)</f>
        <v>165000</v>
      </c>
      <c r="L326" s="6" t="e">
        <f>L325+J326-K326</f>
        <v>#VALUE!</v>
      </c>
      <c r="M326" s="6">
        <f ca="1">IFERROR(__xludf.DUMMYFUNCTION("SUM(FILTER(J:J, H:H=""Tiền mặt"")) - SUM(FILTER(K:K, H:H=""Tiền mặt""))
"),959000)</f>
        <v>959000</v>
      </c>
      <c r="N326" s="6">
        <f ca="1">IFERROR(__xludf.DUMMYFUNCTION("SUM(FILTER(J:J, H:H=""Chuyển khoản"")) - SUM(FILTER(K:K, H:H=""Chuyển khoản""))
"),4468984)</f>
        <v>4468984</v>
      </c>
      <c r="O326" s="5"/>
      <c r="P326" s="5"/>
      <c r="Q326" s="5"/>
      <c r="R326" s="5"/>
      <c r="S326" s="5"/>
    </row>
    <row r="327" spans="1:19" ht="15.75" customHeight="1" x14ac:dyDescent="0.2">
      <c r="A327" s="3">
        <v>46160</v>
      </c>
      <c r="B327" s="4" t="str">
        <f>IF(A327="","","PC-"&amp;TEXT(A327,"mm/yyyy")&amp;"-"&amp;TEXT(COUNTIFS($A$2:A327,"&gt;="&amp;EOMONTH(A327,-1)+1,$A$2:A327,"&lt;="&amp;EOMONTH(A327,0)),"000"))</f>
        <v>PC-05/2026-123</v>
      </c>
      <c r="C327" s="5" t="s">
        <v>1273</v>
      </c>
      <c r="D327" s="5" t="s">
        <v>20</v>
      </c>
      <c r="E327" s="5" t="s">
        <v>21</v>
      </c>
      <c r="F327" s="5"/>
      <c r="G327" s="5" t="s">
        <v>22</v>
      </c>
      <c r="H327" s="5" t="s">
        <v>27</v>
      </c>
      <c r="I327" s="6">
        <v>10000000</v>
      </c>
      <c r="J327" s="6">
        <f>IF(D327="Thu",I327,0)</f>
        <v>10000000</v>
      </c>
      <c r="K327" s="6">
        <f>IF(D327="Chi",I327,0)</f>
        <v>0</v>
      </c>
      <c r="L327" s="6" t="e">
        <f>L326+J327-K327</f>
        <v>#VALUE!</v>
      </c>
      <c r="M327" s="6">
        <f ca="1">IFERROR(__xludf.DUMMYFUNCTION("SUM(FILTER(J:J, H:H=""Tiền mặt"")) - SUM(FILTER(K:K, H:H=""Tiền mặt""))
"),959000)</f>
        <v>959000</v>
      </c>
      <c r="N327" s="6">
        <f ca="1">IFERROR(__xludf.DUMMYFUNCTION("SUM(FILTER(J:J, H:H=""Chuyển khoản"")) - SUM(FILTER(K:K, H:H=""Chuyển khoản""))
"),4468984)</f>
        <v>4468984</v>
      </c>
      <c r="O327" s="5"/>
      <c r="P327" s="5"/>
      <c r="Q327" s="5"/>
      <c r="R327" s="5"/>
      <c r="S327" s="5"/>
    </row>
    <row r="328" spans="1:19" ht="15.75" customHeight="1" x14ac:dyDescent="0.2">
      <c r="A328" s="3">
        <v>46160</v>
      </c>
      <c r="B328" s="4" t="str">
        <f>IF(A328="","","PC-"&amp;TEXT(A328,"mm/yyyy")&amp;"-"&amp;TEXT(COUNTIFS($A$2:A328,"&gt;="&amp;EOMONTH(A328,-1)+1,$A$2:A328,"&lt;="&amp;EOMONTH(A328,0)),"000"))</f>
        <v>PC-05/2026-124</v>
      </c>
      <c r="C328" s="5" t="s">
        <v>1274</v>
      </c>
      <c r="D328" s="5" t="s">
        <v>29</v>
      </c>
      <c r="E328" s="5" t="s">
        <v>41</v>
      </c>
      <c r="F328" s="5"/>
      <c r="G328" s="5" t="s">
        <v>82</v>
      </c>
      <c r="H328" s="5" t="s">
        <v>23</v>
      </c>
      <c r="I328" s="6">
        <v>100000</v>
      </c>
      <c r="J328" s="6">
        <f>IF(D328="Thu",I328,0)</f>
        <v>0</v>
      </c>
      <c r="K328" s="6">
        <f>IF(D328="Chi",I328,0)</f>
        <v>100000</v>
      </c>
      <c r="L328" s="6" t="e">
        <f>L327+J328-K328</f>
        <v>#VALUE!</v>
      </c>
      <c r="M328" s="6">
        <f ca="1">IFERROR(__xludf.DUMMYFUNCTION("SUM(FILTER(J:J, H:H=""Tiền mặt"")) - SUM(FILTER(K:K, H:H=""Tiền mặt""))
"),959000)</f>
        <v>959000</v>
      </c>
      <c r="N328" s="6">
        <f ca="1">IFERROR(__xludf.DUMMYFUNCTION("SUM(FILTER(J:J, H:H=""Chuyển khoản"")) - SUM(FILTER(K:K, H:H=""Chuyển khoản""))
"),4468984)</f>
        <v>4468984</v>
      </c>
      <c r="O328" s="5"/>
      <c r="P328" s="5"/>
      <c r="Q328" s="5"/>
      <c r="R328" s="5"/>
      <c r="S328" s="5"/>
    </row>
    <row r="329" spans="1:19" ht="15.75" customHeight="1" x14ac:dyDescent="0.2">
      <c r="A329" s="3">
        <v>46160</v>
      </c>
      <c r="B329" s="4" t="str">
        <f>IF(A329="","","PC-"&amp;TEXT(A329,"mm/yyyy")&amp;"-"&amp;TEXT(COUNTIFS($A$2:A329,"&gt;="&amp;EOMONTH(A329,-1)+1,$A$2:A329,"&lt;="&amp;EOMONTH(A329,0)),"000"))</f>
        <v>PC-05/2026-125</v>
      </c>
      <c r="C329" s="5" t="s">
        <v>1275</v>
      </c>
      <c r="D329" s="5" t="s">
        <v>29</v>
      </c>
      <c r="E329" s="5" t="s">
        <v>141</v>
      </c>
      <c r="F329" s="5"/>
      <c r="G329" s="5" t="s">
        <v>52</v>
      </c>
      <c r="H329" s="5" t="s">
        <v>27</v>
      </c>
      <c r="I329" s="6">
        <v>1682000</v>
      </c>
      <c r="J329" s="6">
        <f>IF(D329="Thu",I329,0)</f>
        <v>0</v>
      </c>
      <c r="K329" s="6">
        <f>IF(D329="Chi",I329,0)</f>
        <v>1682000</v>
      </c>
      <c r="L329" s="6" t="e">
        <f>L328+J329-K329</f>
        <v>#VALUE!</v>
      </c>
      <c r="M329" s="6">
        <f ca="1">IFERROR(__xludf.DUMMYFUNCTION("SUM(FILTER(J:J, H:H=""Tiền mặt"")) - SUM(FILTER(K:K, H:H=""Tiền mặt""))
"),959000)</f>
        <v>959000</v>
      </c>
      <c r="N329" s="6">
        <f ca="1">IFERROR(__xludf.DUMMYFUNCTION("SUM(FILTER(J:J, H:H=""Chuyển khoản"")) - SUM(FILTER(K:K, H:H=""Chuyển khoản""))
"),4468984)</f>
        <v>4468984</v>
      </c>
      <c r="O329" s="5"/>
      <c r="P329" s="5"/>
      <c r="Q329" s="5"/>
      <c r="R329" s="5"/>
      <c r="S329" s="5"/>
    </row>
    <row r="330" spans="1:19" ht="15.75" customHeight="1" x14ac:dyDescent="0.2">
      <c r="A330" s="3">
        <v>46160</v>
      </c>
      <c r="B330" s="4" t="str">
        <f>IF(A330="","","PC-"&amp;TEXT(A330,"mm/yyyy")&amp;"-"&amp;TEXT(COUNTIFS($A$2:A330,"&gt;="&amp;EOMONTH(A330,-1)+1,$A$2:A330,"&lt;="&amp;EOMONTH(A330,0)),"000"))</f>
        <v>PC-05/2026-126</v>
      </c>
      <c r="C330" s="5" t="s">
        <v>1276</v>
      </c>
      <c r="D330" s="5" t="s">
        <v>29</v>
      </c>
      <c r="E330" s="5" t="s">
        <v>41</v>
      </c>
      <c r="F330" s="5"/>
      <c r="G330" s="5" t="s">
        <v>82</v>
      </c>
      <c r="H330" s="5" t="s">
        <v>23</v>
      </c>
      <c r="I330" s="6">
        <v>100000</v>
      </c>
      <c r="J330" s="6">
        <f>IF(D330="Thu",I330,0)</f>
        <v>0</v>
      </c>
      <c r="K330" s="6">
        <f>IF(D330="Chi",I330,0)</f>
        <v>100000</v>
      </c>
      <c r="L330" s="6" t="e">
        <f>L329+J330-K330</f>
        <v>#VALUE!</v>
      </c>
      <c r="M330" s="6">
        <f ca="1">IFERROR(__xludf.DUMMYFUNCTION("SUM(FILTER(J:J, H:H=""Tiền mặt"")) - SUM(FILTER(K:K, H:H=""Tiền mặt""))
"),959000)</f>
        <v>959000</v>
      </c>
      <c r="N330" s="6">
        <f ca="1">IFERROR(__xludf.DUMMYFUNCTION("SUM(FILTER(J:J, H:H=""Chuyển khoản"")) - SUM(FILTER(K:K, H:H=""Chuyển khoản""))
"),4468984)</f>
        <v>4468984</v>
      </c>
      <c r="O330" s="5"/>
      <c r="P330" s="5"/>
      <c r="Q330" s="5"/>
      <c r="R330" s="5"/>
      <c r="S330" s="5"/>
    </row>
    <row r="331" spans="1:19" ht="15.75" customHeight="1" x14ac:dyDescent="0.2">
      <c r="A331" s="3">
        <v>46159</v>
      </c>
      <c r="B331" s="4" t="str">
        <f>IF(A331="","","PC-"&amp;TEXT(A331,"mm/yyyy")&amp;"-"&amp;TEXT(COUNTIFS($A$2:A331,"&gt;="&amp;EOMONTH(A331,-1)+1,$A$2:A331,"&lt;="&amp;EOMONTH(A331,0)),"000"))</f>
        <v>PC-05/2026-127</v>
      </c>
      <c r="C331" s="5" t="s">
        <v>1271</v>
      </c>
      <c r="D331" s="5" t="s">
        <v>29</v>
      </c>
      <c r="E331" s="5" t="s">
        <v>346</v>
      </c>
      <c r="F331" s="5"/>
      <c r="G331" s="5" t="s">
        <v>86</v>
      </c>
      <c r="H331" s="5" t="s">
        <v>27</v>
      </c>
      <c r="I331" s="6">
        <v>1000000</v>
      </c>
      <c r="J331" s="6">
        <f>IF(D331="Thu",I331,0)</f>
        <v>0</v>
      </c>
      <c r="K331" s="6">
        <f>IF(D331="Chi",I331,0)</f>
        <v>1000000</v>
      </c>
      <c r="L331" s="6" t="e">
        <f>L330+J331-K331</f>
        <v>#VALUE!</v>
      </c>
      <c r="M331" s="6">
        <f ca="1">IFERROR(__xludf.DUMMYFUNCTION("SUM(FILTER(J:J, H:H=""Tiền mặt"")) - SUM(FILTER(K:K, H:H=""Tiền mặt""))
"),959000)</f>
        <v>959000</v>
      </c>
      <c r="N331" s="6">
        <f ca="1">IFERROR(__xludf.DUMMYFUNCTION("SUM(FILTER(J:J, H:H=""Chuyển khoản"")) - SUM(FILTER(K:K, H:H=""Chuyển khoản""))
"),4468984)</f>
        <v>4468984</v>
      </c>
      <c r="O331" s="5"/>
      <c r="P331" s="5"/>
      <c r="Q331" s="5"/>
      <c r="R331" s="5"/>
      <c r="S331" s="5"/>
    </row>
    <row r="332" spans="1:19" ht="15.75" customHeight="1" x14ac:dyDescent="0.2">
      <c r="A332" s="3">
        <v>46158</v>
      </c>
      <c r="B332" s="4" t="str">
        <f>IF(A332="","","PC-"&amp;TEXT(A332,"mm/yyyy")&amp;"-"&amp;TEXT(COUNTIFS($A$2:A332,"&gt;="&amp;EOMONTH(A332,-1)+1,$A$2:A332,"&lt;="&amp;EOMONTH(A332,0)),"000"))</f>
        <v>PC-05/2026-128</v>
      </c>
      <c r="C332" s="5" t="s">
        <v>1269</v>
      </c>
      <c r="D332" s="5" t="s">
        <v>29</v>
      </c>
      <c r="E332" s="5" t="s">
        <v>71</v>
      </c>
      <c r="F332" s="5"/>
      <c r="G332" s="5" t="s">
        <v>1024</v>
      </c>
      <c r="H332" s="5" t="s">
        <v>27</v>
      </c>
      <c r="I332" s="6">
        <v>77000</v>
      </c>
      <c r="J332" s="6">
        <f>IF(D332="Thu",I332,0)</f>
        <v>0</v>
      </c>
      <c r="K332" s="6">
        <f>IF(D332="Chi",I332,0)</f>
        <v>77000</v>
      </c>
      <c r="L332" s="6" t="e">
        <f>L331+J332-K332</f>
        <v>#VALUE!</v>
      </c>
      <c r="M332" s="6">
        <f ca="1">IFERROR(__xludf.DUMMYFUNCTION("SUM(FILTER(J:J, H:H=""Tiền mặt"")) - SUM(FILTER(K:K, H:H=""Tiền mặt""))
"),959000)</f>
        <v>959000</v>
      </c>
      <c r="N332" s="6">
        <f ca="1">IFERROR(__xludf.DUMMYFUNCTION("SUM(FILTER(J:J, H:H=""Chuyển khoản"")) - SUM(FILTER(K:K, H:H=""Chuyển khoản""))
"),4468984)</f>
        <v>4468984</v>
      </c>
      <c r="O332" s="5"/>
      <c r="P332" s="5"/>
      <c r="Q332" s="5"/>
      <c r="R332" s="5"/>
      <c r="S332" s="5"/>
    </row>
    <row r="333" spans="1:19" ht="15.75" customHeight="1" x14ac:dyDescent="0.2">
      <c r="A333" s="3">
        <v>46158</v>
      </c>
      <c r="B333" s="4" t="str">
        <f>IF(A333="","","PC-"&amp;TEXT(A333,"mm/yyyy")&amp;"-"&amp;TEXT(COUNTIFS($A$2:A333,"&gt;="&amp;EOMONTH(A333,-1)+1,$A$2:A333,"&lt;="&amp;EOMONTH(A333,0)),"000"))</f>
        <v>PC-05/2026-129</v>
      </c>
      <c r="C333" s="5" t="s">
        <v>854</v>
      </c>
      <c r="D333" s="5" t="s">
        <v>29</v>
      </c>
      <c r="E333" s="5" t="s">
        <v>30</v>
      </c>
      <c r="F333" s="5"/>
      <c r="G333" s="5" t="s">
        <v>72</v>
      </c>
      <c r="H333" s="5" t="s">
        <v>27</v>
      </c>
      <c r="I333" s="6">
        <v>495000</v>
      </c>
      <c r="J333" s="6">
        <f>IF(D333="Thu",I333,0)</f>
        <v>0</v>
      </c>
      <c r="K333" s="6">
        <f>IF(D333="Chi",I333,0)</f>
        <v>495000</v>
      </c>
      <c r="L333" s="6" t="e">
        <f>L332+J333-K333</f>
        <v>#VALUE!</v>
      </c>
      <c r="M333" s="6">
        <f ca="1">IFERROR(__xludf.DUMMYFUNCTION("SUM(FILTER(J:J, H:H=""Tiền mặt"")) - SUM(FILTER(K:K, H:H=""Tiền mặt""))
"),959000)</f>
        <v>959000</v>
      </c>
      <c r="N333" s="6">
        <f ca="1">IFERROR(__xludf.DUMMYFUNCTION("SUM(FILTER(J:J, H:H=""Chuyển khoản"")) - SUM(FILTER(K:K, H:H=""Chuyển khoản""))
"),4468984)</f>
        <v>4468984</v>
      </c>
      <c r="O333" s="5"/>
      <c r="P333" s="5"/>
      <c r="Q333" s="5"/>
      <c r="R333" s="5"/>
      <c r="S333" s="5"/>
    </row>
    <row r="334" spans="1:19" ht="15.75" customHeight="1" x14ac:dyDescent="0.2">
      <c r="A334" s="3">
        <v>46158</v>
      </c>
      <c r="B334" s="4" t="str">
        <f>IF(A334="","","PC-"&amp;TEXT(A334,"mm/yyyy")&amp;"-"&amp;TEXT(COUNTIFS($A$2:A334,"&gt;="&amp;EOMONTH(A334,-1)+1,$A$2:A334,"&lt;="&amp;EOMONTH(A334,0)),"000"))</f>
        <v>PC-05/2026-130</v>
      </c>
      <c r="C334" s="5" t="s">
        <v>1270</v>
      </c>
      <c r="D334" s="5" t="s">
        <v>29</v>
      </c>
      <c r="E334" s="5" t="s">
        <v>78</v>
      </c>
      <c r="F334" s="5"/>
      <c r="G334" s="5" t="s">
        <v>72</v>
      </c>
      <c r="H334" s="5" t="s">
        <v>27</v>
      </c>
      <c r="I334" s="6">
        <v>326000</v>
      </c>
      <c r="J334" s="6">
        <f>IF(D334="Thu",I334,0)</f>
        <v>0</v>
      </c>
      <c r="K334" s="6">
        <f>IF(D334="Chi",I334,0)</f>
        <v>326000</v>
      </c>
      <c r="L334" s="6" t="e">
        <f>L333+J334-K334</f>
        <v>#VALUE!</v>
      </c>
      <c r="M334" s="6">
        <f ca="1">IFERROR(__xludf.DUMMYFUNCTION("SUM(FILTER(J:J, H:H=""Tiền mặt"")) - SUM(FILTER(K:K, H:H=""Tiền mặt""))
"),959000)</f>
        <v>959000</v>
      </c>
      <c r="N334" s="6">
        <f ca="1">IFERROR(__xludf.DUMMYFUNCTION("SUM(FILTER(J:J, H:H=""Chuyển khoản"")) - SUM(FILTER(K:K, H:H=""Chuyển khoản""))
"),4468984)</f>
        <v>4468984</v>
      </c>
      <c r="O334" s="5"/>
      <c r="P334" s="5"/>
      <c r="Q334" s="5"/>
      <c r="R334" s="5"/>
      <c r="S334" s="5"/>
    </row>
    <row r="335" spans="1:19" ht="15.75" customHeight="1" x14ac:dyDescent="0.2">
      <c r="A335" s="3">
        <v>46158</v>
      </c>
      <c r="B335" s="4" t="str">
        <f>IF(A335="","","PC-"&amp;TEXT(A335,"mm/yyyy")&amp;"-"&amp;TEXT(COUNTIFS($A$2:A335,"&gt;="&amp;EOMONTH(A335,-1)+1,$A$2:A335,"&lt;="&amp;EOMONTH(A335,0)),"000"))</f>
        <v>PC-05/2026-131</v>
      </c>
      <c r="C335" s="5" t="s">
        <v>1207</v>
      </c>
      <c r="D335" s="5" t="s">
        <v>29</v>
      </c>
      <c r="E335" s="5" t="s">
        <v>153</v>
      </c>
      <c r="F335" s="5"/>
      <c r="G335" s="5" t="s">
        <v>72</v>
      </c>
      <c r="H335" s="5" t="s">
        <v>27</v>
      </c>
      <c r="I335" s="6">
        <v>348480</v>
      </c>
      <c r="J335" s="6">
        <f>IF(D335="Thu",I335,0)</f>
        <v>0</v>
      </c>
      <c r="K335" s="6">
        <f>IF(D335="Chi",I335,0)</f>
        <v>348480</v>
      </c>
      <c r="L335" s="6" t="e">
        <f>L334+J335-K335</f>
        <v>#VALUE!</v>
      </c>
      <c r="M335" s="6">
        <f ca="1">IFERROR(__xludf.DUMMYFUNCTION("SUM(FILTER(J:J, H:H=""Tiền mặt"")) - SUM(FILTER(K:K, H:H=""Tiền mặt""))
"),959000)</f>
        <v>959000</v>
      </c>
      <c r="N335" s="6">
        <f ca="1">IFERROR(__xludf.DUMMYFUNCTION("SUM(FILTER(J:J, H:H=""Chuyển khoản"")) - SUM(FILTER(K:K, H:H=""Chuyển khoản""))
"),4468984)</f>
        <v>4468984</v>
      </c>
      <c r="O335" s="5"/>
      <c r="P335" s="5"/>
      <c r="Q335" s="5"/>
      <c r="R335" s="5"/>
      <c r="S335" s="5"/>
    </row>
    <row r="336" spans="1:19" ht="15.75" customHeight="1" x14ac:dyDescent="0.2">
      <c r="A336" s="3">
        <v>46157</v>
      </c>
      <c r="B336" s="4" t="str">
        <f>IF(A336="","","PC-"&amp;TEXT(A336,"mm/yyyy")&amp;"-"&amp;TEXT(COUNTIFS($A$2:A336,"&gt;="&amp;EOMONTH(A336,-1)+1,$A$2:A336,"&lt;="&amp;EOMONTH(A336,0)),"000"))</f>
        <v>PC-05/2026-132</v>
      </c>
      <c r="C336" s="5" t="s">
        <v>1250</v>
      </c>
      <c r="D336" s="5" t="s">
        <v>29</v>
      </c>
      <c r="E336" s="5" t="s">
        <v>44</v>
      </c>
      <c r="F336" s="5"/>
      <c r="G336" s="5" t="s">
        <v>1251</v>
      </c>
      <c r="H336" s="5" t="s">
        <v>23</v>
      </c>
      <c r="I336" s="6">
        <v>2000000</v>
      </c>
      <c r="J336" s="6">
        <f>IF(D336="Thu",I336,0)</f>
        <v>0</v>
      </c>
      <c r="K336" s="6">
        <f>IF(D336="Chi",I336,0)</f>
        <v>2000000</v>
      </c>
      <c r="L336" s="6" t="e">
        <f>L335+J336-K336</f>
        <v>#VALUE!</v>
      </c>
      <c r="M336" s="6">
        <f ca="1">IFERROR(__xludf.DUMMYFUNCTION("SUM(FILTER(J:J, H:H=""Tiền mặt"")) - SUM(FILTER(K:K, H:H=""Tiền mặt""))
"),959000)</f>
        <v>959000</v>
      </c>
      <c r="N336" s="6">
        <f ca="1">IFERROR(__xludf.DUMMYFUNCTION("SUM(FILTER(J:J, H:H=""Chuyển khoản"")) - SUM(FILTER(K:K, H:H=""Chuyển khoản""))
"),4468984)</f>
        <v>4468984</v>
      </c>
      <c r="O336" s="5"/>
      <c r="P336" s="5"/>
      <c r="Q336" s="5"/>
      <c r="R336" s="5"/>
      <c r="S336" s="5"/>
    </row>
    <row r="337" spans="1:19" ht="15.75" customHeight="1" x14ac:dyDescent="0.2">
      <c r="A337" s="3">
        <v>46157</v>
      </c>
      <c r="B337" s="4" t="str">
        <f>IF(A337="","","PC-"&amp;TEXT(A337,"mm/yyyy")&amp;"-"&amp;TEXT(COUNTIFS($A$2:A337,"&gt;="&amp;EOMONTH(A337,-1)+1,$A$2:A337,"&lt;="&amp;EOMONTH(A337,0)),"000"))</f>
        <v>PC-05/2026-133</v>
      </c>
      <c r="C337" s="5" t="s">
        <v>1252</v>
      </c>
      <c r="D337" s="5" t="s">
        <v>29</v>
      </c>
      <c r="E337" s="5" t="s">
        <v>47</v>
      </c>
      <c r="F337" s="5"/>
      <c r="G337" s="5" t="s">
        <v>48</v>
      </c>
      <c r="H337" s="5" t="s">
        <v>23</v>
      </c>
      <c r="I337" s="6">
        <v>50000</v>
      </c>
      <c r="J337" s="6">
        <f>IF(D337="Thu",I337,0)</f>
        <v>0</v>
      </c>
      <c r="K337" s="6">
        <f>IF(D337="Chi",I337,0)</f>
        <v>50000</v>
      </c>
      <c r="L337" s="6" t="e">
        <f>L336+J337-K337</f>
        <v>#VALUE!</v>
      </c>
      <c r="M337" s="6">
        <f ca="1">IFERROR(__xludf.DUMMYFUNCTION("SUM(FILTER(J:J, H:H=""Tiền mặt"")) - SUM(FILTER(K:K, H:H=""Tiền mặt""))
"),959000)</f>
        <v>959000</v>
      </c>
      <c r="N337" s="6">
        <f ca="1">IFERROR(__xludf.DUMMYFUNCTION("SUM(FILTER(J:J, H:H=""Chuyển khoản"")) - SUM(FILTER(K:K, H:H=""Chuyển khoản""))
"),4468984)</f>
        <v>4468984</v>
      </c>
      <c r="O337" s="5"/>
      <c r="P337" s="5"/>
      <c r="Q337" s="5"/>
      <c r="R337" s="5"/>
      <c r="S337" s="5"/>
    </row>
    <row r="338" spans="1:19" ht="15.75" customHeight="1" x14ac:dyDescent="0.2">
      <c r="A338" s="3">
        <v>46157</v>
      </c>
      <c r="B338" s="4" t="str">
        <f>IF(A338="","","PC-"&amp;TEXT(A338,"mm/yyyy")&amp;"-"&amp;TEXT(COUNTIFS($A$2:A338,"&gt;="&amp;EOMONTH(A338,-1)+1,$A$2:A338,"&lt;="&amp;EOMONTH(A338,0)),"000"))</f>
        <v>PC-05/2026-134</v>
      </c>
      <c r="C338" s="5" t="s">
        <v>1253</v>
      </c>
      <c r="D338" s="5" t="s">
        <v>20</v>
      </c>
      <c r="E338" s="5" t="s">
        <v>21</v>
      </c>
      <c r="F338" s="5"/>
      <c r="G338" s="5" t="s">
        <v>22</v>
      </c>
      <c r="H338" s="5" t="s">
        <v>23</v>
      </c>
      <c r="I338" s="6">
        <v>8000000</v>
      </c>
      <c r="J338" s="6">
        <f>IF(D338="Thu",I338,0)</f>
        <v>8000000</v>
      </c>
      <c r="K338" s="6">
        <f>IF(D338="Chi",I338,0)</f>
        <v>0</v>
      </c>
      <c r="L338" s="6" t="e">
        <f>L337+J338-K338</f>
        <v>#VALUE!</v>
      </c>
      <c r="M338" s="6">
        <f ca="1">IFERROR(__xludf.DUMMYFUNCTION("SUM(FILTER(J:J, H:H=""Tiền mặt"")) - SUM(FILTER(K:K, H:H=""Tiền mặt""))
"),959000)</f>
        <v>959000</v>
      </c>
      <c r="N338" s="6">
        <f ca="1">IFERROR(__xludf.DUMMYFUNCTION("SUM(FILTER(J:J, H:H=""Chuyển khoản"")) - SUM(FILTER(K:K, H:H=""Chuyển khoản""))
"),4468984)</f>
        <v>4468984</v>
      </c>
      <c r="O338" s="5"/>
      <c r="P338" s="5"/>
      <c r="Q338" s="5"/>
      <c r="R338" s="5"/>
      <c r="S338" s="5"/>
    </row>
    <row r="339" spans="1:19" ht="15.75" customHeight="1" x14ac:dyDescent="0.2">
      <c r="A339" s="3">
        <v>46157</v>
      </c>
      <c r="B339" s="4" t="str">
        <f>IF(A339="","","PC-"&amp;TEXT(A339,"mm/yyyy")&amp;"-"&amp;TEXT(COUNTIFS($A$2:A339,"&gt;="&amp;EOMONTH(A339,-1)+1,$A$2:A339,"&lt;="&amp;EOMONTH(A339,0)),"000"))</f>
        <v>PC-05/2026-135</v>
      </c>
      <c r="C339" s="5" t="s">
        <v>1254</v>
      </c>
      <c r="D339" s="5" t="s">
        <v>29</v>
      </c>
      <c r="E339" s="5" t="s">
        <v>44</v>
      </c>
      <c r="F339" s="5"/>
      <c r="G339" s="5" t="s">
        <v>93</v>
      </c>
      <c r="H339" s="5" t="s">
        <v>23</v>
      </c>
      <c r="I339" s="6">
        <v>2000000</v>
      </c>
      <c r="J339" s="6">
        <f>IF(D339="Thu",I339,0)</f>
        <v>0</v>
      </c>
      <c r="K339" s="6">
        <f>IF(D339="Chi",I339,0)</f>
        <v>2000000</v>
      </c>
      <c r="L339" s="6" t="e">
        <f>L338+J339-K339</f>
        <v>#VALUE!</v>
      </c>
      <c r="M339" s="6">
        <f ca="1">IFERROR(__xludf.DUMMYFUNCTION("SUM(FILTER(J:J, H:H=""Tiền mặt"")) - SUM(FILTER(K:K, H:H=""Tiền mặt""))
"),959000)</f>
        <v>959000</v>
      </c>
      <c r="N339" s="6">
        <f ca="1">IFERROR(__xludf.DUMMYFUNCTION("SUM(FILTER(J:J, H:H=""Chuyển khoản"")) - SUM(FILTER(K:K, H:H=""Chuyển khoản""))
"),4468984)</f>
        <v>4468984</v>
      </c>
      <c r="O339" s="5"/>
      <c r="P339" s="5"/>
      <c r="Q339" s="5"/>
      <c r="R339" s="5"/>
      <c r="S339" s="5"/>
    </row>
    <row r="340" spans="1:19" ht="15.75" customHeight="1" x14ac:dyDescent="0.2">
      <c r="A340" s="3">
        <v>46157</v>
      </c>
      <c r="B340" s="4" t="str">
        <f>IF(A340="","","PC-"&amp;TEXT(A340,"mm/yyyy")&amp;"-"&amp;TEXT(COUNTIFS($A$2:A340,"&gt;="&amp;EOMONTH(A340,-1)+1,$A$2:A340,"&lt;="&amp;EOMONTH(A340,0)),"000"))</f>
        <v>PC-05/2026-136</v>
      </c>
      <c r="C340" s="5" t="s">
        <v>1255</v>
      </c>
      <c r="D340" s="5" t="s">
        <v>29</v>
      </c>
      <c r="E340" s="5" t="s">
        <v>47</v>
      </c>
      <c r="F340" s="5"/>
      <c r="G340" s="5" t="s">
        <v>48</v>
      </c>
      <c r="H340" s="5" t="s">
        <v>23</v>
      </c>
      <c r="I340" s="6">
        <v>50000</v>
      </c>
      <c r="J340" s="6">
        <f>IF(D340="Thu",I340,0)</f>
        <v>0</v>
      </c>
      <c r="K340" s="6">
        <f>IF(D340="Chi",I340,0)</f>
        <v>50000</v>
      </c>
      <c r="L340" s="6" t="e">
        <f>L339+J340-K340</f>
        <v>#VALUE!</v>
      </c>
      <c r="M340" s="6">
        <f ca="1">IFERROR(__xludf.DUMMYFUNCTION("SUM(FILTER(J:J, H:H=""Tiền mặt"")) - SUM(FILTER(K:K, H:H=""Tiền mặt""))
"),959000)</f>
        <v>959000</v>
      </c>
      <c r="N340" s="6">
        <f ca="1">IFERROR(__xludf.DUMMYFUNCTION("SUM(FILTER(J:J, H:H=""Chuyển khoản"")) - SUM(FILTER(K:K, H:H=""Chuyển khoản""))
"),4468984)</f>
        <v>4468984</v>
      </c>
      <c r="O340" s="5"/>
      <c r="P340" s="5"/>
      <c r="Q340" s="5"/>
      <c r="R340" s="5"/>
      <c r="S340" s="5"/>
    </row>
    <row r="341" spans="1:19" ht="15.75" customHeight="1" x14ac:dyDescent="0.2">
      <c r="A341" s="3">
        <v>46157</v>
      </c>
      <c r="B341" s="4" t="str">
        <f>IF(A341="","","PC-"&amp;TEXT(A341,"mm/yyyy")&amp;"-"&amp;TEXT(COUNTIFS($A$2:A341,"&gt;="&amp;EOMONTH(A341,-1)+1,$A$2:A341,"&lt;="&amp;EOMONTH(A341,0)),"000"))</f>
        <v>PC-05/2026-137</v>
      </c>
      <c r="C341" s="5" t="s">
        <v>1256</v>
      </c>
      <c r="D341" s="5" t="s">
        <v>29</v>
      </c>
      <c r="E341" s="5" t="s">
        <v>41</v>
      </c>
      <c r="F341" s="5"/>
      <c r="G341" s="5" t="s">
        <v>82</v>
      </c>
      <c r="H341" s="5" t="s">
        <v>23</v>
      </c>
      <c r="I341" s="6">
        <v>100000</v>
      </c>
      <c r="J341" s="6">
        <f>IF(D341="Thu",I341,0)</f>
        <v>0</v>
      </c>
      <c r="K341" s="6">
        <f>IF(D341="Chi",I341,0)</f>
        <v>100000</v>
      </c>
      <c r="L341" s="6" t="e">
        <f>L340+J341-K341</f>
        <v>#VALUE!</v>
      </c>
      <c r="M341" s="6">
        <f ca="1">IFERROR(__xludf.DUMMYFUNCTION("SUM(FILTER(J:J, H:H=""Tiền mặt"")) - SUM(FILTER(K:K, H:H=""Tiền mặt""))
"),959000)</f>
        <v>959000</v>
      </c>
      <c r="N341" s="6">
        <f ca="1">IFERROR(__xludf.DUMMYFUNCTION("SUM(FILTER(J:J, H:H=""Chuyển khoản"")) - SUM(FILTER(K:K, H:H=""Chuyển khoản""))
"),4468984)</f>
        <v>4468984</v>
      </c>
      <c r="O341" s="5"/>
      <c r="P341" s="5"/>
      <c r="Q341" s="5"/>
      <c r="R341" s="5"/>
      <c r="S341" s="5"/>
    </row>
    <row r="342" spans="1:19" ht="15.75" customHeight="1" x14ac:dyDescent="0.2">
      <c r="A342" s="3">
        <v>46157</v>
      </c>
      <c r="B342" s="4" t="str">
        <f>IF(A342="","","PC-"&amp;TEXT(A342,"mm/yyyy")&amp;"-"&amp;TEXT(COUNTIFS($A$2:A342,"&gt;="&amp;EOMONTH(A342,-1)+1,$A$2:A342,"&lt;="&amp;EOMONTH(A342,0)),"000"))</f>
        <v>PC-05/2026-138</v>
      </c>
      <c r="C342" s="5" t="s">
        <v>1257</v>
      </c>
      <c r="D342" s="5" t="s">
        <v>29</v>
      </c>
      <c r="E342" s="5" t="s">
        <v>71</v>
      </c>
      <c r="F342" s="5"/>
      <c r="G342" s="5" t="s">
        <v>65</v>
      </c>
      <c r="H342" s="5" t="s">
        <v>27</v>
      </c>
      <c r="I342" s="6">
        <v>38000</v>
      </c>
      <c r="J342" s="6">
        <f>IF(D342="Thu",I342,0)</f>
        <v>0</v>
      </c>
      <c r="K342" s="6">
        <f>IF(D342="Chi",I342,0)</f>
        <v>38000</v>
      </c>
      <c r="L342" s="6" t="e">
        <f>L341+J342-K342</f>
        <v>#VALUE!</v>
      </c>
      <c r="M342" s="6">
        <f ca="1">IFERROR(__xludf.DUMMYFUNCTION("SUM(FILTER(J:J, H:H=""Tiền mặt"")) - SUM(FILTER(K:K, H:H=""Tiền mặt""))
"),959000)</f>
        <v>959000</v>
      </c>
      <c r="N342" s="6">
        <f ca="1">IFERROR(__xludf.DUMMYFUNCTION("SUM(FILTER(J:J, H:H=""Chuyển khoản"")) - SUM(FILTER(K:K, H:H=""Chuyển khoản""))
"),4468984)</f>
        <v>4468984</v>
      </c>
      <c r="O342" s="5"/>
      <c r="P342" s="5"/>
      <c r="Q342" s="5"/>
      <c r="R342" s="5"/>
      <c r="S342" s="5"/>
    </row>
    <row r="343" spans="1:19" ht="15.75" customHeight="1" x14ac:dyDescent="0.2">
      <c r="A343" s="3">
        <v>46157</v>
      </c>
      <c r="B343" s="4" t="str">
        <f>IF(A343="","","PC-"&amp;TEXT(A343,"mm/yyyy")&amp;"-"&amp;TEXT(COUNTIFS($A$2:A343,"&gt;="&amp;EOMONTH(A343,-1)+1,$A$2:A343,"&lt;="&amp;EOMONTH(A343,0)),"000"))</f>
        <v>PC-05/2026-139</v>
      </c>
      <c r="C343" s="5" t="s">
        <v>1258</v>
      </c>
      <c r="D343" s="5" t="s">
        <v>29</v>
      </c>
      <c r="E343" s="5" t="s">
        <v>30</v>
      </c>
      <c r="F343" s="5"/>
      <c r="G343" s="5" t="s">
        <v>72</v>
      </c>
      <c r="H343" s="5" t="s">
        <v>27</v>
      </c>
      <c r="I343" s="6">
        <v>462000</v>
      </c>
      <c r="J343" s="6">
        <f>IF(D343="Thu",I343,0)</f>
        <v>0</v>
      </c>
      <c r="K343" s="6">
        <f>IF(D343="Chi",I343,0)</f>
        <v>462000</v>
      </c>
      <c r="L343" s="6" t="e">
        <f>L342+J343-K343</f>
        <v>#VALUE!</v>
      </c>
      <c r="M343" s="6">
        <f ca="1">IFERROR(__xludf.DUMMYFUNCTION("SUM(FILTER(J:J, H:H=""Tiền mặt"")) - SUM(FILTER(K:K, H:H=""Tiền mặt""))
"),959000)</f>
        <v>959000</v>
      </c>
      <c r="N343" s="6">
        <f ca="1">IFERROR(__xludf.DUMMYFUNCTION("SUM(FILTER(J:J, H:H=""Chuyển khoản"")) - SUM(FILTER(K:K, H:H=""Chuyển khoản""))
"),4468984)</f>
        <v>4468984</v>
      </c>
      <c r="O343" s="5"/>
      <c r="P343" s="5"/>
      <c r="Q343" s="5"/>
      <c r="R343" s="5"/>
      <c r="S343" s="5"/>
    </row>
    <row r="344" spans="1:19" ht="15.75" customHeight="1" x14ac:dyDescent="0.2">
      <c r="A344" s="3">
        <v>46157</v>
      </c>
      <c r="B344" s="4" t="str">
        <f>IF(A344="","","PC-"&amp;TEXT(A344,"mm/yyyy")&amp;"-"&amp;TEXT(COUNTIFS($A$2:A344,"&gt;="&amp;EOMONTH(A344,-1)+1,$A$2:A344,"&lt;="&amp;EOMONTH(A344,0)),"000"))</f>
        <v>PC-05/2026-140</v>
      </c>
      <c r="C344" s="5" t="s">
        <v>1259</v>
      </c>
      <c r="D344" s="5" t="s">
        <v>29</v>
      </c>
      <c r="E344" s="5" t="s">
        <v>41</v>
      </c>
      <c r="F344" s="5"/>
      <c r="G344" s="5" t="s">
        <v>82</v>
      </c>
      <c r="H344" s="5" t="s">
        <v>23</v>
      </c>
      <c r="I344" s="6">
        <v>100000</v>
      </c>
      <c r="J344" s="6">
        <f>IF(D344="Thu",I344,0)</f>
        <v>0</v>
      </c>
      <c r="K344" s="6">
        <f>IF(D344="Chi",I344,0)</f>
        <v>100000</v>
      </c>
      <c r="L344" s="6" t="e">
        <f>L343+J344-K344</f>
        <v>#VALUE!</v>
      </c>
      <c r="M344" s="6">
        <f ca="1">IFERROR(__xludf.DUMMYFUNCTION("SUM(FILTER(J:J, H:H=""Tiền mặt"")) - SUM(FILTER(K:K, H:H=""Tiền mặt""))
"),959000)</f>
        <v>959000</v>
      </c>
      <c r="N344" s="6">
        <f ca="1">IFERROR(__xludf.DUMMYFUNCTION("SUM(FILTER(J:J, H:H=""Chuyển khoản"")) - SUM(FILTER(K:K, H:H=""Chuyển khoản""))
"),4468984)</f>
        <v>4468984</v>
      </c>
      <c r="O344" s="5"/>
      <c r="P344" s="5"/>
      <c r="Q344" s="5"/>
      <c r="R344" s="5"/>
      <c r="S344" s="5"/>
    </row>
    <row r="345" spans="1:19" ht="15.75" customHeight="1" x14ac:dyDescent="0.2">
      <c r="A345" s="3">
        <v>46157</v>
      </c>
      <c r="B345" s="4" t="str">
        <f>IF(A345="","","PC-"&amp;TEXT(A345,"mm/yyyy")&amp;"-"&amp;TEXT(COUNTIFS($A$2:A345,"&gt;="&amp;EOMONTH(A345,-1)+1,$A$2:A345,"&lt;="&amp;EOMONTH(A345,0)),"000"))</f>
        <v>PC-05/2026-141</v>
      </c>
      <c r="C345" s="5" t="s">
        <v>1260</v>
      </c>
      <c r="D345" s="5" t="s">
        <v>20</v>
      </c>
      <c r="E345" s="5" t="s">
        <v>21</v>
      </c>
      <c r="F345" s="5"/>
      <c r="G345" s="5" t="s">
        <v>22</v>
      </c>
      <c r="H345" s="5" t="s">
        <v>23</v>
      </c>
      <c r="I345" s="6">
        <v>8000000</v>
      </c>
      <c r="J345" s="6">
        <f>IF(D345="Thu",I345,0)</f>
        <v>8000000</v>
      </c>
      <c r="K345" s="6">
        <f>IF(D345="Chi",I345,0)</f>
        <v>0</v>
      </c>
      <c r="L345" s="6" t="e">
        <f>L344+J345-K345</f>
        <v>#VALUE!</v>
      </c>
      <c r="M345" s="6">
        <f ca="1">IFERROR(__xludf.DUMMYFUNCTION("SUM(FILTER(J:J, H:H=""Tiền mặt"")) - SUM(FILTER(K:K, H:H=""Tiền mặt""))
"),959000)</f>
        <v>959000</v>
      </c>
      <c r="N345" s="6">
        <f ca="1">IFERROR(__xludf.DUMMYFUNCTION("SUM(FILTER(J:J, H:H=""Chuyển khoản"")) - SUM(FILTER(K:K, H:H=""Chuyển khoản""))
"),4468984)</f>
        <v>4468984</v>
      </c>
      <c r="O345" s="5"/>
      <c r="P345" s="5"/>
      <c r="Q345" s="5"/>
      <c r="R345" s="5"/>
      <c r="S345" s="5"/>
    </row>
    <row r="346" spans="1:19" ht="15.75" customHeight="1" x14ac:dyDescent="0.2">
      <c r="A346" s="3">
        <v>46157</v>
      </c>
      <c r="B346" s="4" t="str">
        <f>IF(A346="","","PC-"&amp;TEXT(A346,"mm/yyyy")&amp;"-"&amp;TEXT(COUNTIFS($A$2:A346,"&gt;="&amp;EOMONTH(A346,-1)+1,$A$2:A346,"&lt;="&amp;EOMONTH(A346,0)),"000"))</f>
        <v>PC-05/2026-142</v>
      </c>
      <c r="C346" s="5" t="s">
        <v>1261</v>
      </c>
      <c r="D346" s="5" t="s">
        <v>29</v>
      </c>
      <c r="E346" s="5" t="s">
        <v>51</v>
      </c>
      <c r="F346" s="5"/>
      <c r="G346" s="5" t="s">
        <v>52</v>
      </c>
      <c r="H346" s="5" t="s">
        <v>27</v>
      </c>
      <c r="I346" s="6">
        <v>910416</v>
      </c>
      <c r="J346" s="6">
        <f>IF(D346="Thu",I346,0)</f>
        <v>0</v>
      </c>
      <c r="K346" s="6">
        <f>IF(D346="Chi",I346,0)</f>
        <v>910416</v>
      </c>
      <c r="L346" s="6" t="e">
        <f>L345+J346-K346</f>
        <v>#VALUE!</v>
      </c>
      <c r="M346" s="6">
        <f ca="1">IFERROR(__xludf.DUMMYFUNCTION("SUM(FILTER(J:J, H:H=""Tiền mặt"")) - SUM(FILTER(K:K, H:H=""Tiền mặt""))
"),959000)</f>
        <v>959000</v>
      </c>
      <c r="N346" s="6">
        <f ca="1">IFERROR(__xludf.DUMMYFUNCTION("SUM(FILTER(J:J, H:H=""Chuyển khoản"")) - SUM(FILTER(K:K, H:H=""Chuyển khoản""))
"),4468984)</f>
        <v>4468984</v>
      </c>
      <c r="O346" s="5"/>
      <c r="P346" s="5"/>
      <c r="Q346" s="5"/>
      <c r="R346" s="5"/>
      <c r="S346" s="5"/>
    </row>
    <row r="347" spans="1:19" ht="15.75" customHeight="1" x14ac:dyDescent="0.2">
      <c r="A347" s="3">
        <v>46157</v>
      </c>
      <c r="B347" s="4" t="str">
        <f>IF(A347="","","PC-"&amp;TEXT(A347,"mm/yyyy")&amp;"-"&amp;TEXT(COUNTIFS($A$2:A347,"&gt;="&amp;EOMONTH(A347,-1)+1,$A$2:A347,"&lt;="&amp;EOMONTH(A347,0)),"000"))</f>
        <v>PC-05/2026-143</v>
      </c>
      <c r="C347" s="5" t="s">
        <v>1262</v>
      </c>
      <c r="D347" s="5" t="s">
        <v>29</v>
      </c>
      <c r="E347" s="5" t="s">
        <v>51</v>
      </c>
      <c r="F347" s="5"/>
      <c r="G347" s="5" t="s">
        <v>52</v>
      </c>
      <c r="H347" s="5" t="s">
        <v>27</v>
      </c>
      <c r="I347" s="6">
        <v>454523</v>
      </c>
      <c r="J347" s="6">
        <f>IF(D347="Thu",I347,0)</f>
        <v>0</v>
      </c>
      <c r="K347" s="6">
        <f>IF(D347="Chi",I347,0)</f>
        <v>454523</v>
      </c>
      <c r="L347" s="6" t="e">
        <f>L346+J347-K347</f>
        <v>#VALUE!</v>
      </c>
      <c r="M347" s="6">
        <f ca="1">IFERROR(__xludf.DUMMYFUNCTION("SUM(FILTER(J:J, H:H=""Tiền mặt"")) - SUM(FILTER(K:K, H:H=""Tiền mặt""))
"),959000)</f>
        <v>959000</v>
      </c>
      <c r="N347" s="6">
        <f ca="1">IFERROR(__xludf.DUMMYFUNCTION("SUM(FILTER(J:J, H:H=""Chuyển khoản"")) - SUM(FILTER(K:K, H:H=""Chuyển khoản""))
"),4468984)</f>
        <v>4468984</v>
      </c>
      <c r="O347" s="5"/>
      <c r="P347" s="5"/>
      <c r="Q347" s="5"/>
      <c r="R347" s="5"/>
      <c r="S347" s="5"/>
    </row>
    <row r="348" spans="1:19" ht="15.75" customHeight="1" x14ac:dyDescent="0.2">
      <c r="A348" s="3">
        <v>46157</v>
      </c>
      <c r="B348" s="4" t="str">
        <f>IF(A348="","","PC-"&amp;TEXT(A348,"mm/yyyy")&amp;"-"&amp;TEXT(COUNTIFS($A$2:A348,"&gt;="&amp;EOMONTH(A348,-1)+1,$A$2:A348,"&lt;="&amp;EOMONTH(A348,0)),"000"))</f>
        <v>PC-05/2026-144</v>
      </c>
      <c r="C348" s="5" t="s">
        <v>1263</v>
      </c>
      <c r="D348" s="5" t="s">
        <v>29</v>
      </c>
      <c r="E348" s="5" t="s">
        <v>41</v>
      </c>
      <c r="F348" s="5"/>
      <c r="G348" s="5" t="s">
        <v>539</v>
      </c>
      <c r="H348" s="5" t="s">
        <v>23</v>
      </c>
      <c r="I348" s="6">
        <v>100000</v>
      </c>
      <c r="J348" s="6">
        <f>IF(D348="Thu",I348,0)</f>
        <v>0</v>
      </c>
      <c r="K348" s="6">
        <f>IF(D348="Chi",I348,0)</f>
        <v>100000</v>
      </c>
      <c r="L348" s="6" t="e">
        <f>L347+J348-K348</f>
        <v>#VALUE!</v>
      </c>
      <c r="M348" s="6">
        <f ca="1">IFERROR(__xludf.DUMMYFUNCTION("SUM(FILTER(J:J, H:H=""Tiền mặt"")) - SUM(FILTER(K:K, H:H=""Tiền mặt""))
"),959000)</f>
        <v>959000</v>
      </c>
      <c r="N348" s="6">
        <f ca="1">IFERROR(__xludf.DUMMYFUNCTION("SUM(FILTER(J:J, H:H=""Chuyển khoản"")) - SUM(FILTER(K:K, H:H=""Chuyển khoản""))
"),4468984)</f>
        <v>4468984</v>
      </c>
      <c r="O348" s="5"/>
      <c r="P348" s="5"/>
      <c r="Q348" s="5"/>
      <c r="R348" s="5"/>
      <c r="S348" s="5"/>
    </row>
    <row r="349" spans="1:19" ht="15.75" customHeight="1" x14ac:dyDescent="0.2">
      <c r="A349" s="3">
        <v>46157</v>
      </c>
      <c r="B349" s="4" t="str">
        <f>IF(A349="","","PC-"&amp;TEXT(A349,"mm/yyyy")&amp;"-"&amp;TEXT(COUNTIFS($A$2:A349,"&gt;="&amp;EOMONTH(A349,-1)+1,$A$2:A349,"&lt;="&amp;EOMONTH(A349,0)),"000"))</f>
        <v>PC-05/2026-145</v>
      </c>
      <c r="C349" s="5" t="s">
        <v>1264</v>
      </c>
      <c r="D349" s="5" t="s">
        <v>29</v>
      </c>
      <c r="E349" s="5" t="s">
        <v>36</v>
      </c>
      <c r="F349" s="5"/>
      <c r="G349" s="5" t="s">
        <v>37</v>
      </c>
      <c r="H349" s="5" t="s">
        <v>27</v>
      </c>
      <c r="I349" s="6">
        <v>287000</v>
      </c>
      <c r="J349" s="6">
        <f>IF(D349="Thu",I349,0)</f>
        <v>0</v>
      </c>
      <c r="K349" s="6">
        <f>IF(D349="Chi",I349,0)</f>
        <v>287000</v>
      </c>
      <c r="L349" s="6" t="e">
        <f>L348+J349-K349</f>
        <v>#VALUE!</v>
      </c>
      <c r="M349" s="6">
        <f ca="1">IFERROR(__xludf.DUMMYFUNCTION("SUM(FILTER(J:J, H:H=""Tiền mặt"")) - SUM(FILTER(K:K, H:H=""Tiền mặt""))
"),959000)</f>
        <v>959000</v>
      </c>
      <c r="N349" s="6">
        <f ca="1">IFERROR(__xludf.DUMMYFUNCTION("SUM(FILTER(J:J, H:H=""Chuyển khoản"")) - SUM(FILTER(K:K, H:H=""Chuyển khoản""))
"),4468984)</f>
        <v>4468984</v>
      </c>
      <c r="O349" s="5"/>
      <c r="P349" s="5"/>
      <c r="Q349" s="5"/>
      <c r="R349" s="5"/>
      <c r="S349" s="5"/>
    </row>
    <row r="350" spans="1:19" ht="15.75" customHeight="1" x14ac:dyDescent="0.2">
      <c r="A350" s="3">
        <v>46157</v>
      </c>
      <c r="B350" s="4" t="str">
        <f>IF(A350="","","PC-"&amp;TEXT(A350,"mm/yyyy")&amp;"-"&amp;TEXT(COUNTIFS($A$2:A350,"&gt;="&amp;EOMONTH(A350,-1)+1,$A$2:A350,"&lt;="&amp;EOMONTH(A350,0)),"000"))</f>
        <v>PC-05/2026-146</v>
      </c>
      <c r="C350" s="5" t="s">
        <v>1265</v>
      </c>
      <c r="D350" s="5" t="s">
        <v>29</v>
      </c>
      <c r="E350" s="5" t="s">
        <v>64</v>
      </c>
      <c r="F350" s="5"/>
      <c r="G350" s="5" t="s">
        <v>338</v>
      </c>
      <c r="H350" s="5" t="s">
        <v>23</v>
      </c>
      <c r="I350" s="6">
        <v>2000000</v>
      </c>
      <c r="J350" s="6">
        <f>IF(D350="Thu",I350,0)</f>
        <v>0</v>
      </c>
      <c r="K350" s="6">
        <f>IF(D350="Chi",I350,0)</f>
        <v>2000000</v>
      </c>
      <c r="L350" s="6" t="e">
        <f>L349+J350-K350</f>
        <v>#VALUE!</v>
      </c>
      <c r="M350" s="6">
        <f ca="1">IFERROR(__xludf.DUMMYFUNCTION("SUM(FILTER(J:J, H:H=""Tiền mặt"")) - SUM(FILTER(K:K, H:H=""Tiền mặt""))
"),959000)</f>
        <v>959000</v>
      </c>
      <c r="N350" s="6">
        <f ca="1">IFERROR(__xludf.DUMMYFUNCTION("SUM(FILTER(J:J, H:H=""Chuyển khoản"")) - SUM(FILTER(K:K, H:H=""Chuyển khoản""))
"),4468984)</f>
        <v>4468984</v>
      </c>
      <c r="O350" s="5"/>
      <c r="P350" s="5"/>
      <c r="Q350" s="5"/>
      <c r="R350" s="5"/>
      <c r="S350" s="5"/>
    </row>
    <row r="351" spans="1:19" ht="15.75" customHeight="1" x14ac:dyDescent="0.2">
      <c r="A351" s="3">
        <v>46157</v>
      </c>
      <c r="B351" s="4" t="str">
        <f>IF(A351="","","PC-"&amp;TEXT(A351,"mm/yyyy")&amp;"-"&amp;TEXT(COUNTIFS($A$2:A351,"&gt;="&amp;EOMONTH(A351,-1)+1,$A$2:A351,"&lt;="&amp;EOMONTH(A351,0)),"000"))</f>
        <v>PC-05/2026-147</v>
      </c>
      <c r="C351" s="5" t="s">
        <v>1266</v>
      </c>
      <c r="D351" s="5" t="s">
        <v>29</v>
      </c>
      <c r="E351" s="5" t="s">
        <v>64</v>
      </c>
      <c r="F351" s="5"/>
      <c r="G351" s="5" t="s">
        <v>338</v>
      </c>
      <c r="H351" s="5" t="s">
        <v>23</v>
      </c>
      <c r="I351" s="6">
        <v>2000000</v>
      </c>
      <c r="J351" s="6">
        <f>IF(D351="Thu",I351,0)</f>
        <v>0</v>
      </c>
      <c r="K351" s="6">
        <f>IF(D351="Chi",I351,0)</f>
        <v>2000000</v>
      </c>
      <c r="L351" s="6" t="e">
        <f>L350+J351-K351</f>
        <v>#VALUE!</v>
      </c>
      <c r="M351" s="6">
        <f ca="1">IFERROR(__xludf.DUMMYFUNCTION("SUM(FILTER(J:J, H:H=""Tiền mặt"")) - SUM(FILTER(K:K, H:H=""Tiền mặt""))
"),959000)</f>
        <v>959000</v>
      </c>
      <c r="N351" s="6">
        <f ca="1">IFERROR(__xludf.DUMMYFUNCTION("SUM(FILTER(J:J, H:H=""Chuyển khoản"")) - SUM(FILTER(K:K, H:H=""Chuyển khoản""))
"),4468984)</f>
        <v>4468984</v>
      </c>
      <c r="O351" s="5"/>
      <c r="P351" s="5"/>
      <c r="Q351" s="5"/>
      <c r="R351" s="5"/>
      <c r="S351" s="5"/>
    </row>
    <row r="352" spans="1:19" ht="15.75" customHeight="1" x14ac:dyDescent="0.2">
      <c r="A352" s="3">
        <v>46157</v>
      </c>
      <c r="B352" s="4" t="str">
        <f>IF(A352="","","PC-"&amp;TEXT(A352,"mm/yyyy")&amp;"-"&amp;TEXT(COUNTIFS($A$2:A352,"&gt;="&amp;EOMONTH(A352,-1)+1,$A$2:A352,"&lt;="&amp;EOMONTH(A352,0)),"000"))</f>
        <v>PC-05/2026-148</v>
      </c>
      <c r="C352" s="5" t="s">
        <v>1267</v>
      </c>
      <c r="D352" s="5" t="s">
        <v>29</v>
      </c>
      <c r="E352" s="5" t="s">
        <v>64</v>
      </c>
      <c r="F352" s="5"/>
      <c r="G352" s="5" t="s">
        <v>338</v>
      </c>
      <c r="H352" s="5" t="s">
        <v>23</v>
      </c>
      <c r="I352" s="6">
        <v>2000000</v>
      </c>
      <c r="J352" s="6">
        <f>IF(D352="Thu",I352,0)</f>
        <v>0</v>
      </c>
      <c r="K352" s="6">
        <f>IF(D352="Chi",I352,0)</f>
        <v>2000000</v>
      </c>
      <c r="L352" s="6" t="e">
        <f>L351+J352-K352</f>
        <v>#VALUE!</v>
      </c>
      <c r="M352" s="6">
        <f ca="1">IFERROR(__xludf.DUMMYFUNCTION("SUM(FILTER(J:J, H:H=""Tiền mặt"")) - SUM(FILTER(K:K, H:H=""Tiền mặt""))
"),959000)</f>
        <v>959000</v>
      </c>
      <c r="N352" s="6">
        <f ca="1">IFERROR(__xludf.DUMMYFUNCTION("SUM(FILTER(J:J, H:H=""Chuyển khoản"")) - SUM(FILTER(K:K, H:H=""Chuyển khoản""))
"),4468984)</f>
        <v>4468984</v>
      </c>
      <c r="O352" s="5"/>
      <c r="P352" s="5"/>
      <c r="Q352" s="5"/>
      <c r="R352" s="5"/>
      <c r="S352" s="5"/>
    </row>
    <row r="353" spans="1:19" ht="15.75" customHeight="1" x14ac:dyDescent="0.2">
      <c r="A353" s="3">
        <v>46157</v>
      </c>
      <c r="B353" s="4" t="str">
        <f>IF(A353="","","PC-"&amp;TEXT(A353,"mm/yyyy")&amp;"-"&amp;TEXT(COUNTIFS($A$2:A353,"&gt;="&amp;EOMONTH(A353,-1)+1,$A$2:A353,"&lt;="&amp;EOMONTH(A353,0)),"000"))</f>
        <v>PC-05/2026-149</v>
      </c>
      <c r="C353" s="5" t="s">
        <v>1268</v>
      </c>
      <c r="D353" s="5" t="s">
        <v>29</v>
      </c>
      <c r="E353" s="5" t="s">
        <v>64</v>
      </c>
      <c r="F353" s="5"/>
      <c r="G353" s="5" t="s">
        <v>482</v>
      </c>
      <c r="H353" s="5" t="s">
        <v>23</v>
      </c>
      <c r="I353" s="6">
        <v>600000</v>
      </c>
      <c r="J353" s="6">
        <f>IF(D353="Thu",I353,0)</f>
        <v>0</v>
      </c>
      <c r="K353" s="6">
        <f>IF(D353="Chi",I353,0)</f>
        <v>600000</v>
      </c>
      <c r="L353" s="6" t="e">
        <f>L352+J353-K353</f>
        <v>#VALUE!</v>
      </c>
      <c r="M353" s="6">
        <f ca="1">IFERROR(__xludf.DUMMYFUNCTION("SUM(FILTER(J:J, H:H=""Tiền mặt"")) - SUM(FILTER(K:K, H:H=""Tiền mặt""))
"),959000)</f>
        <v>959000</v>
      </c>
      <c r="N353" s="6">
        <f ca="1">IFERROR(__xludf.DUMMYFUNCTION("SUM(FILTER(J:J, H:H=""Chuyển khoản"")) - SUM(FILTER(K:K, H:H=""Chuyển khoản""))
"),4468984)</f>
        <v>4468984</v>
      </c>
      <c r="O353" s="5"/>
      <c r="P353" s="5"/>
      <c r="Q353" s="5"/>
      <c r="R353" s="5"/>
      <c r="S353" s="5"/>
    </row>
    <row r="354" spans="1:19" ht="15.75" customHeight="1" x14ac:dyDescent="0.2">
      <c r="A354" s="3">
        <v>46156</v>
      </c>
      <c r="B354" s="4" t="str">
        <f>IF(A354="","","PC-"&amp;TEXT(A354,"mm/yyyy")&amp;"-"&amp;TEXT(COUNTIFS($A$2:A354,"&gt;="&amp;EOMONTH(A354,-1)+1,$A$2:A354,"&lt;="&amp;EOMONTH(A354,0)),"000"))</f>
        <v>PC-05/2026-150</v>
      </c>
      <c r="C354" s="5" t="s">
        <v>1240</v>
      </c>
      <c r="D354" s="5" t="s">
        <v>29</v>
      </c>
      <c r="E354" s="5" t="s">
        <v>674</v>
      </c>
      <c r="F354" s="5"/>
      <c r="G354" s="5" t="s">
        <v>37</v>
      </c>
      <c r="H354" s="5" t="s">
        <v>23</v>
      </c>
      <c r="I354" s="6">
        <v>15000</v>
      </c>
      <c r="J354" s="6">
        <f>IF(D354="Thu",I354,0)</f>
        <v>0</v>
      </c>
      <c r="K354" s="6">
        <f>IF(D354="Chi",I354,0)</f>
        <v>15000</v>
      </c>
      <c r="L354" s="6" t="e">
        <f>L353+J354-K354</f>
        <v>#VALUE!</v>
      </c>
      <c r="M354" s="6">
        <f ca="1">IFERROR(__xludf.DUMMYFUNCTION("SUM(FILTER(J:J, H:H=""Tiền mặt"")) - SUM(FILTER(K:K, H:H=""Tiền mặt""))
"),959000)</f>
        <v>959000</v>
      </c>
      <c r="N354" s="6">
        <f ca="1">IFERROR(__xludf.DUMMYFUNCTION("SUM(FILTER(J:J, H:H=""Chuyển khoản"")) - SUM(FILTER(K:K, H:H=""Chuyển khoản""))
"),4468984)</f>
        <v>4468984</v>
      </c>
      <c r="O354" s="5"/>
      <c r="P354" s="5"/>
      <c r="Q354" s="5"/>
      <c r="R354" s="5"/>
      <c r="S354" s="5"/>
    </row>
    <row r="355" spans="1:19" ht="15.75" customHeight="1" x14ac:dyDescent="0.2">
      <c r="A355" s="3">
        <v>46156</v>
      </c>
      <c r="B355" s="4" t="str">
        <f>IF(A355="","","PC-"&amp;TEXT(A355,"mm/yyyy")&amp;"-"&amp;TEXT(COUNTIFS($A$2:A355,"&gt;="&amp;EOMONTH(A355,-1)+1,$A$2:A355,"&lt;="&amp;EOMONTH(A355,0)),"000"))</f>
        <v>PC-05/2026-151</v>
      </c>
      <c r="C355" s="5" t="s">
        <v>1241</v>
      </c>
      <c r="D355" s="5" t="s">
        <v>29</v>
      </c>
      <c r="E355" s="5" t="s">
        <v>41</v>
      </c>
      <c r="F355" s="5"/>
      <c r="G355" s="5" t="s">
        <v>539</v>
      </c>
      <c r="H355" s="5" t="s">
        <v>23</v>
      </c>
      <c r="I355" s="6">
        <v>100000</v>
      </c>
      <c r="J355" s="6">
        <f>IF(D355="Thu",I355,0)</f>
        <v>0</v>
      </c>
      <c r="K355" s="6">
        <f>IF(D355="Chi",I355,0)</f>
        <v>100000</v>
      </c>
      <c r="L355" s="6" t="e">
        <f>L354+J355-K355</f>
        <v>#VALUE!</v>
      </c>
      <c r="M355" s="6">
        <f ca="1">IFERROR(__xludf.DUMMYFUNCTION("SUM(FILTER(J:J, H:H=""Tiền mặt"")) - SUM(FILTER(K:K, H:H=""Tiền mặt""))
"),959000)</f>
        <v>959000</v>
      </c>
      <c r="N355" s="6">
        <f ca="1">IFERROR(__xludf.DUMMYFUNCTION("SUM(FILTER(J:J, H:H=""Chuyển khoản"")) - SUM(FILTER(K:K, H:H=""Chuyển khoản""))
"),4468984)</f>
        <v>4468984</v>
      </c>
      <c r="O355" s="5"/>
      <c r="P355" s="5"/>
      <c r="Q355" s="5"/>
      <c r="R355" s="5"/>
      <c r="S355" s="5"/>
    </row>
    <row r="356" spans="1:19" ht="15.75" customHeight="1" x14ac:dyDescent="0.2">
      <c r="A356" s="3">
        <v>46156</v>
      </c>
      <c r="B356" s="4" t="str">
        <f>IF(A356="","","PC-"&amp;TEXT(A356,"mm/yyyy")&amp;"-"&amp;TEXT(COUNTIFS($A$2:A356,"&gt;="&amp;EOMONTH(A356,-1)+1,$A$2:A356,"&lt;="&amp;EOMONTH(A356,0)),"000"))</f>
        <v>PC-05/2026-152</v>
      </c>
      <c r="C356" s="5" t="s">
        <v>1242</v>
      </c>
      <c r="D356" s="5" t="s">
        <v>29</v>
      </c>
      <c r="E356" s="5" t="s">
        <v>64</v>
      </c>
      <c r="F356" s="5"/>
      <c r="G356" s="5" t="s">
        <v>482</v>
      </c>
      <c r="H356" s="5" t="s">
        <v>23</v>
      </c>
      <c r="I356" s="6">
        <v>300000</v>
      </c>
      <c r="J356" s="6">
        <f>IF(D356="Thu",I356,0)</f>
        <v>0</v>
      </c>
      <c r="K356" s="6">
        <f>IF(D356="Chi",I356,0)</f>
        <v>300000</v>
      </c>
      <c r="L356" s="6" t="e">
        <f>L355+J356-K356</f>
        <v>#VALUE!</v>
      </c>
      <c r="M356" s="6">
        <f ca="1">IFERROR(__xludf.DUMMYFUNCTION("SUM(FILTER(J:J, H:H=""Tiền mặt"")) - SUM(FILTER(K:K, H:H=""Tiền mặt""))
"),959000)</f>
        <v>959000</v>
      </c>
      <c r="N356" s="6">
        <f ca="1">IFERROR(__xludf.DUMMYFUNCTION("SUM(FILTER(J:J, H:H=""Chuyển khoản"")) - SUM(FILTER(K:K, H:H=""Chuyển khoản""))
"),4468984)</f>
        <v>4468984</v>
      </c>
      <c r="O356" s="5"/>
      <c r="P356" s="5"/>
      <c r="Q356" s="5"/>
      <c r="R356" s="5"/>
      <c r="S356" s="5"/>
    </row>
    <row r="357" spans="1:19" ht="15.75" customHeight="1" x14ac:dyDescent="0.2">
      <c r="A357" s="3">
        <v>46156</v>
      </c>
      <c r="B357" s="4" t="str">
        <f>IF(A357="","","PC-"&amp;TEXT(A357,"mm/yyyy")&amp;"-"&amp;TEXT(COUNTIFS($A$2:A357,"&gt;="&amp;EOMONTH(A357,-1)+1,$A$2:A357,"&lt;="&amp;EOMONTH(A357,0)),"000"))</f>
        <v>PC-05/2026-153</v>
      </c>
      <c r="C357" s="5" t="s">
        <v>1243</v>
      </c>
      <c r="D357" s="5" t="s">
        <v>29</v>
      </c>
      <c r="E357" s="5" t="s">
        <v>88</v>
      </c>
      <c r="F357" s="5"/>
      <c r="G357" s="5" t="s">
        <v>571</v>
      </c>
      <c r="H357" s="5" t="s">
        <v>23</v>
      </c>
      <c r="I357" s="6">
        <v>594000</v>
      </c>
      <c r="J357" s="6">
        <f>IF(D357="Thu",I357,0)</f>
        <v>0</v>
      </c>
      <c r="K357" s="6">
        <f>IF(D357="Chi",I357,0)</f>
        <v>594000</v>
      </c>
      <c r="L357" s="6" t="e">
        <f>L356+J357-K357</f>
        <v>#VALUE!</v>
      </c>
      <c r="M357" s="6">
        <f ca="1">IFERROR(__xludf.DUMMYFUNCTION("SUM(FILTER(J:J, H:H=""Tiền mặt"")) - SUM(FILTER(K:K, H:H=""Tiền mặt""))
"),959000)</f>
        <v>959000</v>
      </c>
      <c r="N357" s="6">
        <f ca="1">IFERROR(__xludf.DUMMYFUNCTION("SUM(FILTER(J:J, H:H=""Chuyển khoản"")) - SUM(FILTER(K:K, H:H=""Chuyển khoản""))
"),4468984)</f>
        <v>4468984</v>
      </c>
      <c r="O357" s="5"/>
      <c r="P357" s="5"/>
      <c r="Q357" s="5"/>
      <c r="R357" s="5"/>
      <c r="S357" s="5"/>
    </row>
    <row r="358" spans="1:19" ht="15.75" customHeight="1" x14ac:dyDescent="0.2">
      <c r="A358" s="3">
        <v>46156</v>
      </c>
      <c r="B358" s="4" t="str">
        <f>IF(A358="","","PC-"&amp;TEXT(A358,"mm/yyyy")&amp;"-"&amp;TEXT(COUNTIFS($A$2:A358,"&gt;="&amp;EOMONTH(A358,-1)+1,$A$2:A358,"&lt;="&amp;EOMONTH(A358,0)),"000"))</f>
        <v>PC-05/2026-154</v>
      </c>
      <c r="C358" s="5" t="s">
        <v>1244</v>
      </c>
      <c r="D358" s="5" t="s">
        <v>29</v>
      </c>
      <c r="E358" s="5" t="s">
        <v>64</v>
      </c>
      <c r="F358" s="5"/>
      <c r="G358" s="5" t="s">
        <v>162</v>
      </c>
      <c r="H358" s="5" t="s">
        <v>23</v>
      </c>
      <c r="I358" s="6">
        <v>4000000</v>
      </c>
      <c r="J358" s="6">
        <f>IF(D358="Thu",I358,0)</f>
        <v>0</v>
      </c>
      <c r="K358" s="6">
        <f>IF(D358="Chi",I358,0)</f>
        <v>4000000</v>
      </c>
      <c r="L358" s="6" t="e">
        <f>L357+J358-K358</f>
        <v>#VALUE!</v>
      </c>
      <c r="M358" s="6">
        <f ca="1">IFERROR(__xludf.DUMMYFUNCTION("SUM(FILTER(J:J, H:H=""Tiền mặt"")) - SUM(FILTER(K:K, H:H=""Tiền mặt""))
"),959000)</f>
        <v>959000</v>
      </c>
      <c r="N358" s="6">
        <f ca="1">IFERROR(__xludf.DUMMYFUNCTION("SUM(FILTER(J:J, H:H=""Chuyển khoản"")) - SUM(FILTER(K:K, H:H=""Chuyển khoản""))
"),4468984)</f>
        <v>4468984</v>
      </c>
      <c r="O358" s="5"/>
      <c r="P358" s="5"/>
      <c r="Q358" s="5"/>
      <c r="R358" s="5"/>
      <c r="S358" s="5"/>
    </row>
    <row r="359" spans="1:19" ht="15.75" customHeight="1" x14ac:dyDescent="0.2">
      <c r="A359" s="3">
        <v>46156</v>
      </c>
      <c r="B359" s="4" t="str">
        <f>IF(A359="","","PC-"&amp;TEXT(A359,"mm/yyyy")&amp;"-"&amp;TEXT(COUNTIFS($A$2:A359,"&gt;="&amp;EOMONTH(A359,-1)+1,$A$2:A359,"&lt;="&amp;EOMONTH(A359,0)),"000"))</f>
        <v>PC-05/2026-155</v>
      </c>
      <c r="C359" s="5" t="s">
        <v>1245</v>
      </c>
      <c r="D359" s="5" t="s">
        <v>29</v>
      </c>
      <c r="E359" s="5" t="s">
        <v>41</v>
      </c>
      <c r="F359" s="5"/>
      <c r="G359" s="5" t="s">
        <v>539</v>
      </c>
      <c r="H359" s="5" t="s">
        <v>23</v>
      </c>
      <c r="I359" s="6">
        <v>100000</v>
      </c>
      <c r="J359" s="6">
        <f>IF(D359="Thu",I359,0)</f>
        <v>0</v>
      </c>
      <c r="K359" s="6">
        <f>IF(D359="Chi",I359,0)</f>
        <v>100000</v>
      </c>
      <c r="L359" s="6" t="e">
        <f>L358+J359-K359</f>
        <v>#VALUE!</v>
      </c>
      <c r="M359" s="6">
        <f ca="1">IFERROR(__xludf.DUMMYFUNCTION("SUM(FILTER(J:J, H:H=""Tiền mặt"")) - SUM(FILTER(K:K, H:H=""Tiền mặt""))
"),959000)</f>
        <v>959000</v>
      </c>
      <c r="N359" s="6">
        <f ca="1">IFERROR(__xludf.DUMMYFUNCTION("SUM(FILTER(J:J, H:H=""Chuyển khoản"")) - SUM(FILTER(K:K, H:H=""Chuyển khoản""))
"),4468984)</f>
        <v>4468984</v>
      </c>
      <c r="O359" s="5"/>
      <c r="P359" s="5"/>
      <c r="Q359" s="5"/>
      <c r="R359" s="5"/>
      <c r="S359" s="5"/>
    </row>
    <row r="360" spans="1:19" ht="15.75" customHeight="1" x14ac:dyDescent="0.2">
      <c r="A360" s="3">
        <v>46156</v>
      </c>
      <c r="B360" s="4" t="str">
        <f>IF(A360="","","PC-"&amp;TEXT(A360,"mm/yyyy")&amp;"-"&amp;TEXT(COUNTIFS($A$2:A360,"&gt;="&amp;EOMONTH(A360,-1)+1,$A$2:A360,"&lt;="&amp;EOMONTH(A360,0)),"000"))</f>
        <v>PC-05/2026-156</v>
      </c>
      <c r="C360" s="5" t="s">
        <v>1246</v>
      </c>
      <c r="D360" s="5" t="s">
        <v>20</v>
      </c>
      <c r="E360" s="5" t="s">
        <v>21</v>
      </c>
      <c r="F360" s="5"/>
      <c r="G360" s="5" t="s">
        <v>22</v>
      </c>
      <c r="H360" s="5" t="s">
        <v>27</v>
      </c>
      <c r="I360" s="6">
        <v>10000000</v>
      </c>
      <c r="J360" s="6">
        <f>IF(D360="Thu",I360,0)</f>
        <v>10000000</v>
      </c>
      <c r="K360" s="6">
        <f>IF(D360="Chi",I360,0)</f>
        <v>0</v>
      </c>
      <c r="L360" s="6" t="e">
        <f>L359+J360-K360</f>
        <v>#VALUE!</v>
      </c>
      <c r="M360" s="6">
        <f ca="1">IFERROR(__xludf.DUMMYFUNCTION("SUM(FILTER(J:J, H:H=""Tiền mặt"")) - SUM(FILTER(K:K, H:H=""Tiền mặt""))
"),959000)</f>
        <v>959000</v>
      </c>
      <c r="N360" s="6">
        <f ca="1">IFERROR(__xludf.DUMMYFUNCTION("SUM(FILTER(J:J, H:H=""Chuyển khoản"")) - SUM(FILTER(K:K, H:H=""Chuyển khoản""))
"),4468984)</f>
        <v>4468984</v>
      </c>
      <c r="O360" s="5"/>
      <c r="P360" s="5"/>
      <c r="Q360" s="5"/>
      <c r="R360" s="5"/>
      <c r="S360" s="5"/>
    </row>
    <row r="361" spans="1:19" ht="15.75" customHeight="1" x14ac:dyDescent="0.2">
      <c r="A361" s="3">
        <v>46156</v>
      </c>
      <c r="B361" s="4" t="str">
        <f>IF(A361="","","PC-"&amp;TEXT(A361,"mm/yyyy")&amp;"-"&amp;TEXT(COUNTIFS($A$2:A361,"&gt;="&amp;EOMONTH(A361,-1)+1,$A$2:A361,"&lt;="&amp;EOMONTH(A361,0)),"000"))</f>
        <v>PC-05/2026-157</v>
      </c>
      <c r="C361" s="5" t="s">
        <v>1247</v>
      </c>
      <c r="D361" s="5" t="s">
        <v>29</v>
      </c>
      <c r="E361" s="5" t="s">
        <v>41</v>
      </c>
      <c r="F361" s="5"/>
      <c r="G361" s="5" t="s">
        <v>82</v>
      </c>
      <c r="H361" s="5" t="s">
        <v>23</v>
      </c>
      <c r="I361" s="6">
        <v>200000</v>
      </c>
      <c r="J361" s="6">
        <f>IF(D361="Thu",I361,0)</f>
        <v>0</v>
      </c>
      <c r="K361" s="6">
        <f>IF(D361="Chi",I361,0)</f>
        <v>200000</v>
      </c>
      <c r="L361" s="6" t="e">
        <f>L360+J361-K361</f>
        <v>#VALUE!</v>
      </c>
      <c r="M361" s="6">
        <f ca="1">IFERROR(__xludf.DUMMYFUNCTION("SUM(FILTER(J:J, H:H=""Tiền mặt"")) - SUM(FILTER(K:K, H:H=""Tiền mặt""))
"),959000)</f>
        <v>959000</v>
      </c>
      <c r="N361" s="6">
        <f ca="1">IFERROR(__xludf.DUMMYFUNCTION("SUM(FILTER(J:J, H:H=""Chuyển khoản"")) - SUM(FILTER(K:K, H:H=""Chuyển khoản""))
"),4468984)</f>
        <v>4468984</v>
      </c>
      <c r="O361" s="5"/>
      <c r="P361" s="5"/>
      <c r="Q361" s="5"/>
      <c r="R361" s="5"/>
      <c r="S361" s="5"/>
    </row>
    <row r="362" spans="1:19" ht="15.75" customHeight="1" x14ac:dyDescent="0.2">
      <c r="A362" s="3">
        <v>46156</v>
      </c>
      <c r="B362" s="4" t="str">
        <f>IF(A362="","","PC-"&amp;TEXT(A362,"mm/yyyy")&amp;"-"&amp;TEXT(COUNTIFS($A$2:A362,"&gt;="&amp;EOMONTH(A362,-1)+1,$A$2:A362,"&lt;="&amp;EOMONTH(A362,0)),"000"))</f>
        <v>PC-05/2026-158</v>
      </c>
      <c r="C362" s="5" t="s">
        <v>1248</v>
      </c>
      <c r="D362" s="5" t="s">
        <v>29</v>
      </c>
      <c r="E362" s="5" t="s">
        <v>141</v>
      </c>
      <c r="F362" s="5"/>
      <c r="G362" s="5" t="s">
        <v>52</v>
      </c>
      <c r="H362" s="5" t="s">
        <v>27</v>
      </c>
      <c r="I362" s="6">
        <v>4914000</v>
      </c>
      <c r="J362" s="6">
        <f>IF(D362="Thu",I362,0)</f>
        <v>0</v>
      </c>
      <c r="K362" s="6">
        <f>IF(D362="Chi",I362,0)</f>
        <v>4914000</v>
      </c>
      <c r="L362" s="6" t="e">
        <f>L361+J362-K362</f>
        <v>#VALUE!</v>
      </c>
      <c r="M362" s="6">
        <f ca="1">IFERROR(__xludf.DUMMYFUNCTION("SUM(FILTER(J:J, H:H=""Tiền mặt"")) - SUM(FILTER(K:K, H:H=""Tiền mặt""))
"),959000)</f>
        <v>959000</v>
      </c>
      <c r="N362" s="6">
        <f ca="1">IFERROR(__xludf.DUMMYFUNCTION("SUM(FILTER(J:J, H:H=""Chuyển khoản"")) - SUM(FILTER(K:K, H:H=""Chuyển khoản""))
"),4468984)</f>
        <v>4468984</v>
      </c>
      <c r="O362" s="5"/>
      <c r="P362" s="5"/>
      <c r="Q362" s="5"/>
      <c r="R362" s="5"/>
      <c r="S362" s="5"/>
    </row>
    <row r="363" spans="1:19" ht="15.75" customHeight="1" x14ac:dyDescent="0.2">
      <c r="A363" s="3">
        <v>46156</v>
      </c>
      <c r="B363" s="4" t="str">
        <f>IF(A363="","","PC-"&amp;TEXT(A363,"mm/yyyy")&amp;"-"&amp;TEXT(COUNTIFS($A$2:A363,"&gt;="&amp;EOMONTH(A363,-1)+1,$A$2:A363,"&lt;="&amp;EOMONTH(A363,0)),"000"))</f>
        <v>PC-05/2026-159</v>
      </c>
      <c r="C363" s="5" t="s">
        <v>1249</v>
      </c>
      <c r="D363" s="5" t="s">
        <v>29</v>
      </c>
      <c r="E363" s="5" t="s">
        <v>41</v>
      </c>
      <c r="F363" s="5"/>
      <c r="G363" s="5" t="s">
        <v>82</v>
      </c>
      <c r="H363" s="5" t="s">
        <v>23</v>
      </c>
      <c r="I363" s="6">
        <v>100000</v>
      </c>
      <c r="J363" s="6">
        <f>IF(D363="Thu",I363,0)</f>
        <v>0</v>
      </c>
      <c r="K363" s="6">
        <f>IF(D363="Chi",I363,0)</f>
        <v>100000</v>
      </c>
      <c r="L363" s="6" t="e">
        <f>L362+J363-K363</f>
        <v>#VALUE!</v>
      </c>
      <c r="M363" s="6">
        <f ca="1">IFERROR(__xludf.DUMMYFUNCTION("SUM(FILTER(J:J, H:H=""Tiền mặt"")) - SUM(FILTER(K:K, H:H=""Tiền mặt""))
"),959000)</f>
        <v>959000</v>
      </c>
      <c r="N363" s="6">
        <f ca="1">IFERROR(__xludf.DUMMYFUNCTION("SUM(FILTER(J:J, H:H=""Chuyển khoản"")) - SUM(FILTER(K:K, H:H=""Chuyển khoản""))
"),4468984)</f>
        <v>4468984</v>
      </c>
      <c r="O363" s="5"/>
      <c r="P363" s="5"/>
      <c r="Q363" s="5"/>
      <c r="R363" s="5"/>
      <c r="S363" s="5"/>
    </row>
    <row r="364" spans="1:19" ht="15.75" customHeight="1" x14ac:dyDescent="0.2">
      <c r="A364" s="3">
        <v>46155</v>
      </c>
      <c r="B364" s="4" t="str">
        <f>IF(A364="","","PC-"&amp;TEXT(A364,"mm/yyyy")&amp;"-"&amp;TEXT(COUNTIFS($A$2:A364,"&gt;="&amp;EOMONTH(A364,-1)+1,$A$2:A364,"&lt;="&amp;EOMONTH(A364,0)),"000"))</f>
        <v>PC-05/2026-160</v>
      </c>
      <c r="C364" s="5" t="s">
        <v>1226</v>
      </c>
      <c r="D364" s="5" t="s">
        <v>29</v>
      </c>
      <c r="E364" s="5" t="s">
        <v>44</v>
      </c>
      <c r="F364" s="5"/>
      <c r="G364" s="5" t="s">
        <v>93</v>
      </c>
      <c r="H364" s="5" t="s">
        <v>23</v>
      </c>
      <c r="I364" s="6">
        <v>1500000</v>
      </c>
      <c r="J364" s="6">
        <f>IF(D364="Thu",I364,0)</f>
        <v>0</v>
      </c>
      <c r="K364" s="6">
        <f>IF(D364="Chi",I364,0)</f>
        <v>1500000</v>
      </c>
      <c r="L364" s="6" t="e">
        <f>L363+J364-K364</f>
        <v>#VALUE!</v>
      </c>
      <c r="M364" s="6">
        <f ca="1">IFERROR(__xludf.DUMMYFUNCTION("SUM(FILTER(J:J, H:H=""Tiền mặt"")) - SUM(FILTER(K:K, H:H=""Tiền mặt""))
"),959000)</f>
        <v>959000</v>
      </c>
      <c r="N364" s="6">
        <f ca="1">IFERROR(__xludf.DUMMYFUNCTION("SUM(FILTER(J:J, H:H=""Chuyển khoản"")) - SUM(FILTER(K:K, H:H=""Chuyển khoản""))
"),4468984)</f>
        <v>4468984</v>
      </c>
      <c r="O364" s="5"/>
      <c r="P364" s="5"/>
      <c r="Q364" s="5"/>
      <c r="R364" s="5"/>
      <c r="S364" s="5"/>
    </row>
    <row r="365" spans="1:19" ht="15.75" customHeight="1" x14ac:dyDescent="0.2">
      <c r="A365" s="3">
        <v>46155</v>
      </c>
      <c r="B365" s="4" t="str">
        <f>IF(A365="","","PC-"&amp;TEXT(A365,"mm/yyyy")&amp;"-"&amp;TEXT(COUNTIFS($A$2:A365,"&gt;="&amp;EOMONTH(A365,-1)+1,$A$2:A365,"&lt;="&amp;EOMONTH(A365,0)),"000"))</f>
        <v>PC-05/2026-161</v>
      </c>
      <c r="C365" s="5" t="s">
        <v>994</v>
      </c>
      <c r="D365" s="5" t="s">
        <v>29</v>
      </c>
      <c r="E365" s="5" t="s">
        <v>44</v>
      </c>
      <c r="F365" s="5"/>
      <c r="G365" s="5" t="s">
        <v>995</v>
      </c>
      <c r="H365" s="5" t="s">
        <v>23</v>
      </c>
      <c r="I365" s="6">
        <v>1500000</v>
      </c>
      <c r="J365" s="6">
        <f>IF(D365="Thu",I365,0)</f>
        <v>0</v>
      </c>
      <c r="K365" s="6">
        <f>IF(D365="Chi",I365,0)</f>
        <v>1500000</v>
      </c>
      <c r="L365" s="6" t="e">
        <f>L364+J365-K365</f>
        <v>#VALUE!</v>
      </c>
      <c r="M365" s="6">
        <f ca="1">IFERROR(__xludf.DUMMYFUNCTION("SUM(FILTER(J:J, H:H=""Tiền mặt"")) - SUM(FILTER(K:K, H:H=""Tiền mặt""))
"),959000)</f>
        <v>959000</v>
      </c>
      <c r="N365" s="6">
        <f ca="1">IFERROR(__xludf.DUMMYFUNCTION("SUM(FILTER(J:J, H:H=""Chuyển khoản"")) - SUM(FILTER(K:K, H:H=""Chuyển khoản""))
"),4468984)</f>
        <v>4468984</v>
      </c>
      <c r="O365" s="5"/>
      <c r="P365" s="5"/>
      <c r="Q365" s="5"/>
      <c r="R365" s="5"/>
      <c r="S365" s="5"/>
    </row>
    <row r="366" spans="1:19" ht="15.75" customHeight="1" x14ac:dyDescent="0.2">
      <c r="A366" s="3">
        <v>46155</v>
      </c>
      <c r="B366" s="4" t="str">
        <f>IF(A366="","","PC-"&amp;TEXT(A366,"mm/yyyy")&amp;"-"&amp;TEXT(COUNTIFS($A$2:A366,"&gt;="&amp;EOMONTH(A366,-1)+1,$A$2:A366,"&lt;="&amp;EOMONTH(A366,0)),"000"))</f>
        <v>PC-05/2026-162</v>
      </c>
      <c r="C366" s="5" t="s">
        <v>1227</v>
      </c>
      <c r="D366" s="5" t="s">
        <v>29</v>
      </c>
      <c r="E366" s="5" t="s">
        <v>47</v>
      </c>
      <c r="F366" s="5"/>
      <c r="G366" s="5" t="s">
        <v>48</v>
      </c>
      <c r="H366" s="5" t="s">
        <v>23</v>
      </c>
      <c r="I366" s="6">
        <v>50000</v>
      </c>
      <c r="J366" s="6">
        <f>IF(D366="Thu",I366,0)</f>
        <v>0</v>
      </c>
      <c r="K366" s="6">
        <f>IF(D366="Chi",I366,0)</f>
        <v>50000</v>
      </c>
      <c r="L366" s="6" t="e">
        <f>L365+J366-K366</f>
        <v>#VALUE!</v>
      </c>
      <c r="M366" s="6">
        <f ca="1">IFERROR(__xludf.DUMMYFUNCTION("SUM(FILTER(J:J, H:H=""Tiền mặt"")) - SUM(FILTER(K:K, H:H=""Tiền mặt""))
"),959000)</f>
        <v>959000</v>
      </c>
      <c r="N366" s="6">
        <f ca="1">IFERROR(__xludf.DUMMYFUNCTION("SUM(FILTER(J:J, H:H=""Chuyển khoản"")) - SUM(FILTER(K:K, H:H=""Chuyển khoản""))
"),4468984)</f>
        <v>4468984</v>
      </c>
      <c r="O366" s="5"/>
      <c r="P366" s="5"/>
      <c r="Q366" s="5"/>
      <c r="R366" s="5"/>
      <c r="S366" s="5"/>
    </row>
    <row r="367" spans="1:19" ht="15.75" customHeight="1" x14ac:dyDescent="0.2">
      <c r="A367" s="3">
        <v>46155</v>
      </c>
      <c r="B367" s="4" t="str">
        <f>IF(A367="","","PC-"&amp;TEXT(A367,"mm/yyyy")&amp;"-"&amp;TEXT(COUNTIFS($A$2:A367,"&gt;="&amp;EOMONTH(A367,-1)+1,$A$2:A367,"&lt;="&amp;EOMONTH(A367,0)),"000"))</f>
        <v>PC-05/2026-163</v>
      </c>
      <c r="C367" s="5" t="s">
        <v>1228</v>
      </c>
      <c r="D367" s="5" t="s">
        <v>29</v>
      </c>
      <c r="E367" s="5" t="s">
        <v>71</v>
      </c>
      <c r="F367" s="5"/>
      <c r="G367" s="5" t="s">
        <v>816</v>
      </c>
      <c r="H367" s="5" t="s">
        <v>27</v>
      </c>
      <c r="I367" s="6">
        <v>53000</v>
      </c>
      <c r="J367" s="6">
        <f>IF(D367="Thu",I367,0)</f>
        <v>0</v>
      </c>
      <c r="K367" s="6">
        <f>IF(D367="Chi",I367,0)</f>
        <v>53000</v>
      </c>
      <c r="L367" s="6" t="e">
        <f>L366+J367-K367</f>
        <v>#VALUE!</v>
      </c>
      <c r="M367" s="6">
        <f ca="1">IFERROR(__xludf.DUMMYFUNCTION("SUM(FILTER(J:J, H:H=""Tiền mặt"")) - SUM(FILTER(K:K, H:H=""Tiền mặt""))
"),959000)</f>
        <v>959000</v>
      </c>
      <c r="N367" s="6">
        <f ca="1">IFERROR(__xludf.DUMMYFUNCTION("SUM(FILTER(J:J, H:H=""Chuyển khoản"")) - SUM(FILTER(K:K, H:H=""Chuyển khoản""))
"),4468984)</f>
        <v>4468984</v>
      </c>
      <c r="O367" s="5"/>
      <c r="P367" s="5"/>
      <c r="Q367" s="5"/>
      <c r="R367" s="5"/>
      <c r="S367" s="5"/>
    </row>
    <row r="368" spans="1:19" ht="15.75" customHeight="1" x14ac:dyDescent="0.2">
      <c r="A368" s="3">
        <v>46155</v>
      </c>
      <c r="B368" s="4" t="str">
        <f>IF(A368="","","PC-"&amp;TEXT(A368,"mm/yyyy")&amp;"-"&amp;TEXT(COUNTIFS($A$2:A368,"&gt;="&amp;EOMONTH(A368,-1)+1,$A$2:A368,"&lt;="&amp;EOMONTH(A368,0)),"000"))</f>
        <v>PC-05/2026-164</v>
      </c>
      <c r="C368" s="5" t="s">
        <v>528</v>
      </c>
      <c r="D368" s="5" t="s">
        <v>29</v>
      </c>
      <c r="E368" s="5" t="s">
        <v>36</v>
      </c>
      <c r="F368" s="5"/>
      <c r="G368" s="5" t="s">
        <v>37</v>
      </c>
      <c r="H368" s="5" t="s">
        <v>23</v>
      </c>
      <c r="I368" s="6">
        <v>167000</v>
      </c>
      <c r="J368" s="6">
        <f>IF(D368="Thu",I368,0)</f>
        <v>0</v>
      </c>
      <c r="K368" s="6">
        <f>IF(D368="Chi",I368,0)</f>
        <v>167000</v>
      </c>
      <c r="L368" s="6" t="e">
        <f>L367+J368-K368</f>
        <v>#VALUE!</v>
      </c>
      <c r="M368" s="6">
        <f ca="1">IFERROR(__xludf.DUMMYFUNCTION("SUM(FILTER(J:J, H:H=""Tiền mặt"")) - SUM(FILTER(K:K, H:H=""Tiền mặt""))
"),959000)</f>
        <v>959000</v>
      </c>
      <c r="N368" s="6">
        <f ca="1">IFERROR(__xludf.DUMMYFUNCTION("SUM(FILTER(J:J, H:H=""Chuyển khoản"")) - SUM(FILTER(K:K, H:H=""Chuyển khoản""))
"),4468984)</f>
        <v>4468984</v>
      </c>
      <c r="O368" s="5"/>
      <c r="P368" s="5"/>
      <c r="Q368" s="5"/>
      <c r="R368" s="5"/>
      <c r="S368" s="5"/>
    </row>
    <row r="369" spans="1:19" ht="15.75" customHeight="1" x14ac:dyDescent="0.2">
      <c r="A369" s="3">
        <v>46155</v>
      </c>
      <c r="B369" s="4" t="str">
        <f>IF(A369="","","PC-"&amp;TEXT(A369,"mm/yyyy")&amp;"-"&amp;TEXT(COUNTIFS($A$2:A369,"&gt;="&amp;EOMONTH(A369,-1)+1,$A$2:A369,"&lt;="&amp;EOMONTH(A369,0)),"000"))</f>
        <v>PC-05/2026-165</v>
      </c>
      <c r="C369" s="7" t="s">
        <v>1229</v>
      </c>
      <c r="D369" s="5" t="s">
        <v>29</v>
      </c>
      <c r="E369" s="5" t="s">
        <v>64</v>
      </c>
      <c r="F369" s="5"/>
      <c r="G369" s="5" t="s">
        <v>482</v>
      </c>
      <c r="H369" s="5" t="s">
        <v>23</v>
      </c>
      <c r="I369" s="6">
        <v>300000</v>
      </c>
      <c r="J369" s="6">
        <f>IF(D369="Thu",I369,0)</f>
        <v>0</v>
      </c>
      <c r="K369" s="6">
        <f>IF(D369="Chi",I369,0)</f>
        <v>300000</v>
      </c>
      <c r="L369" s="6" t="e">
        <f>L368+J369-K369</f>
        <v>#VALUE!</v>
      </c>
      <c r="M369" s="6">
        <f ca="1">IFERROR(__xludf.DUMMYFUNCTION("SUM(FILTER(J:J, H:H=""Tiền mặt"")) - SUM(FILTER(K:K, H:H=""Tiền mặt""))
"),959000)</f>
        <v>959000</v>
      </c>
      <c r="N369" s="6">
        <f ca="1">IFERROR(__xludf.DUMMYFUNCTION("SUM(FILTER(J:J, H:H=""Chuyển khoản"")) - SUM(FILTER(K:K, H:H=""Chuyển khoản""))
"),4468984)</f>
        <v>4468984</v>
      </c>
      <c r="O369" s="5"/>
      <c r="P369" s="5"/>
      <c r="Q369" s="5"/>
      <c r="R369" s="5"/>
      <c r="S369" s="5"/>
    </row>
    <row r="370" spans="1:19" ht="15.75" customHeight="1" x14ac:dyDescent="0.2">
      <c r="A370" s="3">
        <v>46155</v>
      </c>
      <c r="B370" s="4" t="str">
        <f>IF(A370="","","PC-"&amp;TEXT(A370,"mm/yyyy")&amp;"-"&amp;TEXT(COUNTIFS($A$2:A370,"&gt;="&amp;EOMONTH(A370,-1)+1,$A$2:A370,"&lt;="&amp;EOMONTH(A370,0)),"000"))</f>
        <v>PC-05/2026-166</v>
      </c>
      <c r="C370" s="5" t="s">
        <v>1230</v>
      </c>
      <c r="D370" s="5" t="s">
        <v>29</v>
      </c>
      <c r="E370" s="5" t="s">
        <v>88</v>
      </c>
      <c r="F370" s="5"/>
      <c r="G370" s="5" t="s">
        <v>37</v>
      </c>
      <c r="H370" s="5" t="s">
        <v>23</v>
      </c>
      <c r="I370" s="6">
        <v>50000</v>
      </c>
      <c r="J370" s="6">
        <f>IF(D370="Thu",I370,0)</f>
        <v>0</v>
      </c>
      <c r="K370" s="6">
        <f>IF(D370="Chi",I370,0)</f>
        <v>50000</v>
      </c>
      <c r="L370" s="6" t="e">
        <f>L369+J370-K370</f>
        <v>#VALUE!</v>
      </c>
      <c r="M370" s="6">
        <f ca="1">IFERROR(__xludf.DUMMYFUNCTION("SUM(FILTER(J:J, H:H=""Tiền mặt"")) - SUM(FILTER(K:K, H:H=""Tiền mặt""))
"),959000)</f>
        <v>959000</v>
      </c>
      <c r="N370" s="6">
        <f ca="1">IFERROR(__xludf.DUMMYFUNCTION("SUM(FILTER(J:J, H:H=""Chuyển khoản"")) - SUM(FILTER(K:K, H:H=""Chuyển khoản""))
"),4468984)</f>
        <v>4468984</v>
      </c>
      <c r="O370" s="5"/>
      <c r="P370" s="5"/>
      <c r="Q370" s="5"/>
      <c r="R370" s="5"/>
      <c r="S370" s="5"/>
    </row>
    <row r="371" spans="1:19" ht="15.75" customHeight="1" x14ac:dyDescent="0.2">
      <c r="A371" s="3">
        <v>46155</v>
      </c>
      <c r="B371" s="4" t="str">
        <f>IF(A371="","","PC-"&amp;TEXT(A371,"mm/yyyy")&amp;"-"&amp;TEXT(COUNTIFS($A$2:A371,"&gt;="&amp;EOMONTH(A371,-1)+1,$A$2:A371,"&lt;="&amp;EOMONTH(A371,0)),"000"))</f>
        <v>PC-05/2026-167</v>
      </c>
      <c r="C371" s="5" t="s">
        <v>1231</v>
      </c>
      <c r="D371" s="5" t="s">
        <v>29</v>
      </c>
      <c r="E371" s="5" t="s">
        <v>41</v>
      </c>
      <c r="F371" s="5"/>
      <c r="G371" s="5" t="s">
        <v>82</v>
      </c>
      <c r="H371" s="5" t="s">
        <v>23</v>
      </c>
      <c r="I371" s="6">
        <v>200000</v>
      </c>
      <c r="J371" s="6">
        <f>IF(D371="Thu",I371,0)</f>
        <v>0</v>
      </c>
      <c r="K371" s="6">
        <f>IF(D371="Chi",I371,0)</f>
        <v>200000</v>
      </c>
      <c r="L371" s="6" t="e">
        <f>L370+J371-K371</f>
        <v>#VALUE!</v>
      </c>
      <c r="M371" s="6">
        <f ca="1">IFERROR(__xludf.DUMMYFUNCTION("SUM(FILTER(J:J, H:H=""Tiền mặt"")) - SUM(FILTER(K:K, H:H=""Tiền mặt""))
"),959000)</f>
        <v>959000</v>
      </c>
      <c r="N371" s="6">
        <f ca="1">IFERROR(__xludf.DUMMYFUNCTION("SUM(FILTER(J:J, H:H=""Chuyển khoản"")) - SUM(FILTER(K:K, H:H=""Chuyển khoản""))
"),4468984)</f>
        <v>4468984</v>
      </c>
      <c r="O371" s="5"/>
      <c r="P371" s="5"/>
      <c r="Q371" s="5"/>
      <c r="R371" s="5"/>
      <c r="S371" s="5"/>
    </row>
    <row r="372" spans="1:19" ht="15.75" customHeight="1" x14ac:dyDescent="0.2">
      <c r="A372" s="3">
        <v>46155</v>
      </c>
      <c r="B372" s="4" t="str">
        <f>IF(A372="","","PC-"&amp;TEXT(A372,"mm/yyyy")&amp;"-"&amp;TEXT(COUNTIFS($A$2:A372,"&gt;="&amp;EOMONTH(A372,-1)+1,$A$2:A372,"&lt;="&amp;EOMONTH(A372,0)),"000"))</f>
        <v>PC-05/2026-168</v>
      </c>
      <c r="C372" s="5" t="s">
        <v>1232</v>
      </c>
      <c r="D372" s="5" t="s">
        <v>29</v>
      </c>
      <c r="E372" s="5" t="s">
        <v>346</v>
      </c>
      <c r="F372" s="5"/>
      <c r="G372" s="5" t="s">
        <v>347</v>
      </c>
      <c r="H372" s="5" t="s">
        <v>27</v>
      </c>
      <c r="I372" s="6">
        <v>1000000</v>
      </c>
      <c r="J372" s="6">
        <f>IF(D372="Thu",I372,0)</f>
        <v>0</v>
      </c>
      <c r="K372" s="6">
        <f>IF(D372="Chi",I372,0)</f>
        <v>1000000</v>
      </c>
      <c r="L372" s="6" t="e">
        <f>L371+J372-K372</f>
        <v>#VALUE!</v>
      </c>
      <c r="M372" s="6">
        <f ca="1">IFERROR(__xludf.DUMMYFUNCTION("SUM(FILTER(J:J, H:H=""Tiền mặt"")) - SUM(FILTER(K:K, H:H=""Tiền mặt""))
"),959000)</f>
        <v>959000</v>
      </c>
      <c r="N372" s="6">
        <f ca="1">IFERROR(__xludf.DUMMYFUNCTION("SUM(FILTER(J:J, H:H=""Chuyển khoản"")) - SUM(FILTER(K:K, H:H=""Chuyển khoản""))
"),4468984)</f>
        <v>4468984</v>
      </c>
      <c r="O372" s="5"/>
      <c r="P372" s="5"/>
      <c r="Q372" s="5"/>
      <c r="R372" s="5"/>
      <c r="S372" s="5"/>
    </row>
    <row r="373" spans="1:19" ht="15.75" customHeight="1" x14ac:dyDescent="0.2">
      <c r="A373" s="3">
        <v>46155</v>
      </c>
      <c r="B373" s="4" t="str">
        <f>IF(A373="","","PC-"&amp;TEXT(A373,"mm/yyyy")&amp;"-"&amp;TEXT(COUNTIFS($A$2:A373,"&gt;="&amp;EOMONTH(A373,-1)+1,$A$2:A373,"&lt;="&amp;EOMONTH(A373,0)),"000"))</f>
        <v>PC-05/2026-169</v>
      </c>
      <c r="C373" s="5" t="s">
        <v>1233</v>
      </c>
      <c r="D373" s="5" t="s">
        <v>29</v>
      </c>
      <c r="E373" s="5" t="s">
        <v>51</v>
      </c>
      <c r="F373" s="5"/>
      <c r="G373" s="5" t="s">
        <v>52</v>
      </c>
      <c r="H373" s="5" t="s">
        <v>27</v>
      </c>
      <c r="I373" s="6">
        <v>75497</v>
      </c>
      <c r="J373" s="6">
        <f>IF(D373="Thu",I373,0)</f>
        <v>0</v>
      </c>
      <c r="K373" s="6">
        <f>IF(D373="Chi",I373,0)</f>
        <v>75497</v>
      </c>
      <c r="L373" s="6" t="e">
        <f>L372+J373-K373</f>
        <v>#VALUE!</v>
      </c>
      <c r="M373" s="6">
        <f ca="1">IFERROR(__xludf.DUMMYFUNCTION("SUM(FILTER(J:J, H:H=""Tiền mặt"")) - SUM(FILTER(K:K, H:H=""Tiền mặt""))
"),959000)</f>
        <v>959000</v>
      </c>
      <c r="N373" s="6">
        <f ca="1">IFERROR(__xludf.DUMMYFUNCTION("SUM(FILTER(J:J, H:H=""Chuyển khoản"")) - SUM(FILTER(K:K, H:H=""Chuyển khoản""))
"),4468984)</f>
        <v>4468984</v>
      </c>
      <c r="O373" s="5"/>
      <c r="P373" s="5"/>
      <c r="Q373" s="5"/>
      <c r="R373" s="5"/>
      <c r="S373" s="5"/>
    </row>
    <row r="374" spans="1:19" ht="15.75" customHeight="1" x14ac:dyDescent="0.2">
      <c r="A374" s="3">
        <v>46155</v>
      </c>
      <c r="B374" s="4" t="str">
        <f>IF(A374="","","PC-"&amp;TEXT(A374,"mm/yyyy")&amp;"-"&amp;TEXT(COUNTIFS($A$2:A374,"&gt;="&amp;EOMONTH(A374,-1)+1,$A$2:A374,"&lt;="&amp;EOMONTH(A374,0)),"000"))</f>
        <v>PC-05/2026-170</v>
      </c>
      <c r="C374" s="5" t="s">
        <v>1234</v>
      </c>
      <c r="D374" s="5" t="s">
        <v>29</v>
      </c>
      <c r="E374" s="5" t="s">
        <v>51</v>
      </c>
      <c r="F374" s="5"/>
      <c r="G374" s="5" t="s">
        <v>52</v>
      </c>
      <c r="H374" s="5" t="s">
        <v>27</v>
      </c>
      <c r="I374" s="6">
        <v>140711</v>
      </c>
      <c r="J374" s="6">
        <f>IF(D374="Thu",I374,0)</f>
        <v>0</v>
      </c>
      <c r="K374" s="6">
        <f>IF(D374="Chi",I374,0)</f>
        <v>140711</v>
      </c>
      <c r="L374" s="6" t="e">
        <f>L373+J374-K374</f>
        <v>#VALUE!</v>
      </c>
      <c r="M374" s="6">
        <f ca="1">IFERROR(__xludf.DUMMYFUNCTION("SUM(FILTER(J:J, H:H=""Tiền mặt"")) - SUM(FILTER(K:K, H:H=""Tiền mặt""))
"),959000)</f>
        <v>959000</v>
      </c>
      <c r="N374" s="6">
        <f ca="1">IFERROR(__xludf.DUMMYFUNCTION("SUM(FILTER(J:J, H:H=""Chuyển khoản"")) - SUM(FILTER(K:K, H:H=""Chuyển khoản""))
"),4468984)</f>
        <v>4468984</v>
      </c>
      <c r="O374" s="5"/>
      <c r="P374" s="5"/>
      <c r="Q374" s="5"/>
      <c r="R374" s="5"/>
      <c r="S374" s="5"/>
    </row>
    <row r="375" spans="1:19" ht="15.75" customHeight="1" x14ac:dyDescent="0.2">
      <c r="A375" s="3">
        <v>46155</v>
      </c>
      <c r="B375" s="4" t="str">
        <f>IF(A375="","","PC-"&amp;TEXT(A375,"mm/yyyy")&amp;"-"&amp;TEXT(COUNTIFS($A$2:A375,"&gt;="&amp;EOMONTH(A375,-1)+1,$A$2:A375,"&lt;="&amp;EOMONTH(A375,0)),"000"))</f>
        <v>PC-05/2026-171</v>
      </c>
      <c r="C375" s="5" t="s">
        <v>1235</v>
      </c>
      <c r="D375" s="5" t="s">
        <v>29</v>
      </c>
      <c r="E375" s="5" t="s">
        <v>51</v>
      </c>
      <c r="F375" s="5"/>
      <c r="G375" s="5" t="s">
        <v>52</v>
      </c>
      <c r="H375" s="5" t="s">
        <v>27</v>
      </c>
      <c r="I375" s="6">
        <v>97240</v>
      </c>
      <c r="J375" s="6">
        <f>IF(D375="Thu",I375,0)</f>
        <v>0</v>
      </c>
      <c r="K375" s="6">
        <f>IF(D375="Chi",I375,0)</f>
        <v>97240</v>
      </c>
      <c r="L375" s="6" t="e">
        <f>L374+J375-K375</f>
        <v>#VALUE!</v>
      </c>
      <c r="M375" s="6">
        <f ca="1">IFERROR(__xludf.DUMMYFUNCTION("SUM(FILTER(J:J, H:H=""Tiền mặt"")) - SUM(FILTER(K:K, H:H=""Tiền mặt""))
"),959000)</f>
        <v>959000</v>
      </c>
      <c r="N375" s="6">
        <f ca="1">IFERROR(__xludf.DUMMYFUNCTION("SUM(FILTER(J:J, H:H=""Chuyển khoản"")) - SUM(FILTER(K:K, H:H=""Chuyển khoản""))
"),4468984)</f>
        <v>4468984</v>
      </c>
      <c r="O375" s="5"/>
      <c r="P375" s="5"/>
      <c r="Q375" s="5"/>
      <c r="R375" s="5"/>
      <c r="S375" s="5"/>
    </row>
    <row r="376" spans="1:19" ht="15.75" customHeight="1" x14ac:dyDescent="0.2">
      <c r="A376" s="3">
        <v>46155</v>
      </c>
      <c r="B376" s="4" t="str">
        <f>IF(A376="","","PC-"&amp;TEXT(A376,"mm/yyyy")&amp;"-"&amp;TEXT(COUNTIFS($A$2:A376,"&gt;="&amp;EOMONTH(A376,-1)+1,$A$2:A376,"&lt;="&amp;EOMONTH(A376,0)),"000"))</f>
        <v>PC-05/2026-172</v>
      </c>
      <c r="C376" s="5" t="s">
        <v>68</v>
      </c>
      <c r="D376" s="5" t="s">
        <v>20</v>
      </c>
      <c r="E376" s="5" t="s">
        <v>21</v>
      </c>
      <c r="F376" s="5"/>
      <c r="G376" s="5" t="s">
        <v>1236</v>
      </c>
      <c r="H376" s="5" t="s">
        <v>23</v>
      </c>
      <c r="I376" s="6">
        <v>800000</v>
      </c>
      <c r="J376" s="6">
        <f>IF(D376="Thu",I376,0)</f>
        <v>800000</v>
      </c>
      <c r="K376" s="6">
        <f>IF(D376="Chi",I376,0)</f>
        <v>0</v>
      </c>
      <c r="L376" s="6" t="e">
        <f>L375+J376-K376</f>
        <v>#VALUE!</v>
      </c>
      <c r="M376" s="6">
        <f ca="1">IFERROR(__xludf.DUMMYFUNCTION("SUM(FILTER(J:J, H:H=""Tiền mặt"")) - SUM(FILTER(K:K, H:H=""Tiền mặt""))
"),959000)</f>
        <v>959000</v>
      </c>
      <c r="N376" s="6">
        <f ca="1">IFERROR(__xludf.DUMMYFUNCTION("SUM(FILTER(J:J, H:H=""Chuyển khoản"")) - SUM(FILTER(K:K, H:H=""Chuyển khoản""))
"),4468984)</f>
        <v>4468984</v>
      </c>
      <c r="O376" s="5"/>
      <c r="P376" s="5"/>
      <c r="Q376" s="5"/>
      <c r="R376" s="5"/>
      <c r="S376" s="5"/>
    </row>
    <row r="377" spans="1:19" ht="15.75" customHeight="1" x14ac:dyDescent="0.2">
      <c r="A377" s="3">
        <v>46155</v>
      </c>
      <c r="B377" s="4" t="str">
        <f>IF(A377="","","PC-"&amp;TEXT(A377,"mm/yyyy")&amp;"-"&amp;TEXT(COUNTIFS($A$2:A377,"&gt;="&amp;EOMONTH(A377,-1)+1,$A$2:A377,"&lt;="&amp;EOMONTH(A377,0)),"000"))</f>
        <v>PC-05/2026-173</v>
      </c>
      <c r="C377" s="5" t="s">
        <v>1237</v>
      </c>
      <c r="D377" s="5" t="s">
        <v>29</v>
      </c>
      <c r="E377" s="5" t="s">
        <v>41</v>
      </c>
      <c r="F377" s="5"/>
      <c r="G377" s="5" t="s">
        <v>539</v>
      </c>
      <c r="H377" s="5" t="s">
        <v>23</v>
      </c>
      <c r="I377" s="6">
        <v>100000</v>
      </c>
      <c r="J377" s="6">
        <f>IF(D377="Thu",I377,0)</f>
        <v>0</v>
      </c>
      <c r="K377" s="6">
        <f>IF(D377="Chi",I377,0)</f>
        <v>100000</v>
      </c>
      <c r="L377" s="6" t="e">
        <f>L376+J377-K377</f>
        <v>#VALUE!</v>
      </c>
      <c r="M377" s="6">
        <f ca="1">IFERROR(__xludf.DUMMYFUNCTION("SUM(FILTER(J:J, H:H=""Tiền mặt"")) - SUM(FILTER(K:K, H:H=""Tiền mặt""))
"),959000)</f>
        <v>959000</v>
      </c>
      <c r="N377" s="6">
        <f ca="1">IFERROR(__xludf.DUMMYFUNCTION("SUM(FILTER(J:J, H:H=""Chuyển khoản"")) - SUM(FILTER(K:K, H:H=""Chuyển khoản""))
"),4468984)</f>
        <v>4468984</v>
      </c>
      <c r="O377" s="5"/>
      <c r="P377" s="5"/>
      <c r="Q377" s="5"/>
      <c r="R377" s="5"/>
      <c r="S377" s="5"/>
    </row>
    <row r="378" spans="1:19" ht="15.75" customHeight="1" x14ac:dyDescent="0.2">
      <c r="A378" s="3">
        <v>46155</v>
      </c>
      <c r="B378" s="4" t="str">
        <f>IF(A378="","","PC-"&amp;TEXT(A378,"mm/yyyy")&amp;"-"&amp;TEXT(COUNTIFS($A$2:A378,"&gt;="&amp;EOMONTH(A378,-1)+1,$A$2:A378,"&lt;="&amp;EOMONTH(A378,0)),"000"))</f>
        <v>PC-05/2026-174</v>
      </c>
      <c r="C378" s="5" t="s">
        <v>1238</v>
      </c>
      <c r="D378" s="5" t="s">
        <v>29</v>
      </c>
      <c r="E378" s="5" t="s">
        <v>674</v>
      </c>
      <c r="F378" s="5"/>
      <c r="G378" s="5" t="s">
        <v>37</v>
      </c>
      <c r="H378" s="5" t="s">
        <v>27</v>
      </c>
      <c r="I378" s="6">
        <v>30000</v>
      </c>
      <c r="J378" s="6">
        <f>IF(D378="Thu",I378,0)</f>
        <v>0</v>
      </c>
      <c r="K378" s="6">
        <f>IF(D378="Chi",I378,0)</f>
        <v>30000</v>
      </c>
      <c r="L378" s="6" t="e">
        <f>L377+J378-K378</f>
        <v>#VALUE!</v>
      </c>
      <c r="M378" s="6">
        <f ca="1">IFERROR(__xludf.DUMMYFUNCTION("SUM(FILTER(J:J, H:H=""Tiền mặt"")) - SUM(FILTER(K:K, H:H=""Tiền mặt""))
"),959000)</f>
        <v>959000</v>
      </c>
      <c r="N378" s="6">
        <f ca="1">IFERROR(__xludf.DUMMYFUNCTION("SUM(FILTER(J:J, H:H=""Chuyển khoản"")) - SUM(FILTER(K:K, H:H=""Chuyển khoản""))
"),4468984)</f>
        <v>4468984</v>
      </c>
      <c r="O378" s="5"/>
      <c r="P378" s="5"/>
      <c r="Q378" s="5"/>
      <c r="R378" s="5"/>
      <c r="S378" s="5"/>
    </row>
    <row r="379" spans="1:19" ht="15.75" customHeight="1" x14ac:dyDescent="0.2">
      <c r="A379" s="3">
        <v>46155</v>
      </c>
      <c r="B379" s="4" t="str">
        <f>IF(A379="","","PC-"&amp;TEXT(A379,"mm/yyyy")&amp;"-"&amp;TEXT(COUNTIFS($A$2:A379,"&gt;="&amp;EOMONTH(A379,-1)+1,$A$2:A379,"&lt;="&amp;EOMONTH(A379,0)),"000"))</f>
        <v>PC-05/2026-175</v>
      </c>
      <c r="C379" s="5" t="s">
        <v>1239</v>
      </c>
      <c r="D379" s="5" t="s">
        <v>29</v>
      </c>
      <c r="E379" s="5" t="s">
        <v>429</v>
      </c>
      <c r="F379" s="5"/>
      <c r="G379" s="5" t="s">
        <v>37</v>
      </c>
      <c r="H379" s="5" t="s">
        <v>23</v>
      </c>
      <c r="I379" s="6">
        <v>5000</v>
      </c>
      <c r="J379" s="6">
        <f>IF(D379="Thu",I379,0)</f>
        <v>0</v>
      </c>
      <c r="K379" s="6">
        <f>IF(D379="Chi",I379,0)</f>
        <v>5000</v>
      </c>
      <c r="L379" s="6" t="e">
        <f>L378+J379-K379</f>
        <v>#VALUE!</v>
      </c>
      <c r="M379" s="6">
        <f ca="1">IFERROR(__xludf.DUMMYFUNCTION("SUM(FILTER(J:J, H:H=""Tiền mặt"")) - SUM(FILTER(K:K, H:H=""Tiền mặt""))
"),959000)</f>
        <v>959000</v>
      </c>
      <c r="N379" s="6">
        <f ca="1">IFERROR(__xludf.DUMMYFUNCTION("SUM(FILTER(J:J, H:H=""Chuyển khoản"")) - SUM(FILTER(K:K, H:H=""Chuyển khoản""))
"),4468984)</f>
        <v>4468984</v>
      </c>
      <c r="O379" s="5"/>
      <c r="P379" s="5"/>
      <c r="Q379" s="5"/>
      <c r="R379" s="5"/>
      <c r="S379" s="5"/>
    </row>
    <row r="380" spans="1:19" ht="15.75" customHeight="1" x14ac:dyDescent="0.2">
      <c r="A380" s="3">
        <v>46154</v>
      </c>
      <c r="B380" s="4" t="str">
        <f>IF(A380="","","PC-"&amp;TEXT(A380,"mm/yyyy")&amp;"-"&amp;TEXT(COUNTIFS($A$2:A380,"&gt;="&amp;EOMONTH(A380,-1)+1,$A$2:A380,"&lt;="&amp;EOMONTH(A380,0)),"000"))</f>
        <v>PC-05/2026-176</v>
      </c>
      <c r="C380" s="5" t="s">
        <v>1219</v>
      </c>
      <c r="D380" s="5" t="s">
        <v>29</v>
      </c>
      <c r="E380" s="5" t="s">
        <v>44</v>
      </c>
      <c r="F380" s="5"/>
      <c r="G380" s="5" t="s">
        <v>744</v>
      </c>
      <c r="H380" s="5" t="s">
        <v>23</v>
      </c>
      <c r="I380" s="6">
        <v>1500000</v>
      </c>
      <c r="J380" s="6">
        <f>IF(D380="Thu",I380,0)</f>
        <v>0</v>
      </c>
      <c r="K380" s="6">
        <f>IF(D380="Chi",I380,0)</f>
        <v>1500000</v>
      </c>
      <c r="L380" s="6" t="e">
        <f>L379+J380-K380</f>
        <v>#VALUE!</v>
      </c>
      <c r="M380" s="6">
        <f ca="1">IFERROR(__xludf.DUMMYFUNCTION("SUM(FILTER(J:J, H:H=""Tiền mặt"")) - SUM(FILTER(K:K, H:H=""Tiền mặt""))
"),959000)</f>
        <v>959000</v>
      </c>
      <c r="N380" s="6">
        <f ca="1">IFERROR(__xludf.DUMMYFUNCTION("SUM(FILTER(J:J, H:H=""Chuyển khoản"")) - SUM(FILTER(K:K, H:H=""Chuyển khoản""))
"),4468984)</f>
        <v>4468984</v>
      </c>
      <c r="O380" s="5"/>
      <c r="P380" s="5"/>
      <c r="Q380" s="5"/>
      <c r="R380" s="5"/>
      <c r="S380" s="5"/>
    </row>
    <row r="381" spans="1:19" ht="15.75" customHeight="1" x14ac:dyDescent="0.2">
      <c r="A381" s="3">
        <v>46154</v>
      </c>
      <c r="B381" s="4" t="str">
        <f>IF(A381="","","PC-"&amp;TEXT(A381,"mm/yyyy")&amp;"-"&amp;TEXT(COUNTIFS($A$2:A381,"&gt;="&amp;EOMONTH(A381,-1)+1,$A$2:A381,"&lt;="&amp;EOMONTH(A381,0)),"000"))</f>
        <v>PC-05/2026-177</v>
      </c>
      <c r="C381" s="5" t="s">
        <v>1220</v>
      </c>
      <c r="D381" s="5" t="s">
        <v>29</v>
      </c>
      <c r="E381" s="5" t="s">
        <v>44</v>
      </c>
      <c r="F381" s="5"/>
      <c r="G381" s="5" t="s">
        <v>744</v>
      </c>
      <c r="H381" s="5" t="s">
        <v>23</v>
      </c>
      <c r="I381" s="6">
        <v>1500000</v>
      </c>
      <c r="J381" s="6">
        <f>IF(D381="Thu",I381,0)</f>
        <v>0</v>
      </c>
      <c r="K381" s="6">
        <f>IF(D381="Chi",I381,0)</f>
        <v>1500000</v>
      </c>
      <c r="L381" s="6" t="e">
        <f>L380+J381-K381</f>
        <v>#VALUE!</v>
      </c>
      <c r="M381" s="6">
        <f ca="1">IFERROR(__xludf.DUMMYFUNCTION("SUM(FILTER(J:J, H:H=""Tiền mặt"")) - SUM(FILTER(K:K, H:H=""Tiền mặt""))
"),959000)</f>
        <v>959000</v>
      </c>
      <c r="N381" s="6">
        <f ca="1">IFERROR(__xludf.DUMMYFUNCTION("SUM(FILTER(J:J, H:H=""Chuyển khoản"")) - SUM(FILTER(K:K, H:H=""Chuyển khoản""))
"),4468984)</f>
        <v>4468984</v>
      </c>
      <c r="O381" s="5"/>
      <c r="P381" s="5"/>
      <c r="Q381" s="5"/>
      <c r="R381" s="5"/>
      <c r="S381" s="5"/>
    </row>
    <row r="382" spans="1:19" ht="15.75" customHeight="1" x14ac:dyDescent="0.2">
      <c r="A382" s="3">
        <v>46154</v>
      </c>
      <c r="B382" s="4" t="str">
        <f>IF(A382="","","PC-"&amp;TEXT(A382,"mm/yyyy")&amp;"-"&amp;TEXT(COUNTIFS($A$2:A382,"&gt;="&amp;EOMONTH(A382,-1)+1,$A$2:A382,"&lt;="&amp;EOMONTH(A382,0)),"000"))</f>
        <v>PC-05/2026-178</v>
      </c>
      <c r="C382" s="5" t="s">
        <v>1221</v>
      </c>
      <c r="D382" s="5" t="s">
        <v>29</v>
      </c>
      <c r="E382" s="5" t="s">
        <v>47</v>
      </c>
      <c r="F382" s="5"/>
      <c r="G382" s="5" t="s">
        <v>48</v>
      </c>
      <c r="H382" s="5" t="s">
        <v>23</v>
      </c>
      <c r="I382" s="6">
        <v>50000</v>
      </c>
      <c r="J382" s="6">
        <f>IF(D382="Thu",I382,0)</f>
        <v>0</v>
      </c>
      <c r="K382" s="6">
        <f>IF(D382="Chi",I382,0)</f>
        <v>50000</v>
      </c>
      <c r="L382" s="6" t="e">
        <f>L381+J382-K382</f>
        <v>#VALUE!</v>
      </c>
      <c r="M382" s="6">
        <f ca="1">IFERROR(__xludf.DUMMYFUNCTION("SUM(FILTER(J:J, H:H=""Tiền mặt"")) - SUM(FILTER(K:K, H:H=""Tiền mặt""))
"),959000)</f>
        <v>959000</v>
      </c>
      <c r="N382" s="6">
        <f ca="1">IFERROR(__xludf.DUMMYFUNCTION("SUM(FILTER(J:J, H:H=""Chuyển khoản"")) - SUM(FILTER(K:K, H:H=""Chuyển khoản""))
"),4468984)</f>
        <v>4468984</v>
      </c>
      <c r="O382" s="5"/>
      <c r="P382" s="5"/>
      <c r="Q382" s="5"/>
      <c r="R382" s="5"/>
      <c r="S382" s="5"/>
    </row>
    <row r="383" spans="1:19" ht="15.75" customHeight="1" x14ac:dyDescent="0.2">
      <c r="A383" s="3">
        <v>46154</v>
      </c>
      <c r="B383" s="4" t="str">
        <f>IF(A383="","","PC-"&amp;TEXT(A383,"mm/yyyy")&amp;"-"&amp;TEXT(COUNTIFS($A$2:A383,"&gt;="&amp;EOMONTH(A383,-1)+1,$A$2:A383,"&lt;="&amp;EOMONTH(A383,0)),"000"))</f>
        <v>PC-05/2026-179</v>
      </c>
      <c r="C383" s="5" t="s">
        <v>1222</v>
      </c>
      <c r="D383" s="5" t="s">
        <v>29</v>
      </c>
      <c r="E383" s="5" t="s">
        <v>41</v>
      </c>
      <c r="F383" s="5"/>
      <c r="G383" s="5" t="s">
        <v>82</v>
      </c>
      <c r="H383" s="5" t="s">
        <v>23</v>
      </c>
      <c r="I383" s="6">
        <v>100000</v>
      </c>
      <c r="J383" s="6">
        <f>IF(D383="Thu",I383,0)</f>
        <v>0</v>
      </c>
      <c r="K383" s="6">
        <f>IF(D383="Chi",I383,0)</f>
        <v>100000</v>
      </c>
      <c r="L383" s="6" t="e">
        <f>L382+J383-K383</f>
        <v>#VALUE!</v>
      </c>
      <c r="M383" s="6">
        <f ca="1">IFERROR(__xludf.DUMMYFUNCTION("SUM(FILTER(J:J, H:H=""Tiền mặt"")) - SUM(FILTER(K:K, H:H=""Tiền mặt""))
"),959000)</f>
        <v>959000</v>
      </c>
      <c r="N383" s="6">
        <f ca="1">IFERROR(__xludf.DUMMYFUNCTION("SUM(FILTER(J:J, H:H=""Chuyển khoản"")) - SUM(FILTER(K:K, H:H=""Chuyển khoản""))
"),4468984)</f>
        <v>4468984</v>
      </c>
      <c r="O383" s="5"/>
      <c r="P383" s="5"/>
      <c r="Q383" s="5"/>
      <c r="R383" s="5"/>
      <c r="S383" s="5"/>
    </row>
    <row r="384" spans="1:19" ht="15.75" customHeight="1" x14ac:dyDescent="0.2">
      <c r="A384" s="3">
        <v>46154</v>
      </c>
      <c r="B384" s="4" t="str">
        <f>IF(A384="","","PC-"&amp;TEXT(A384,"mm/yyyy")&amp;"-"&amp;TEXT(COUNTIFS($A$2:A384,"&gt;="&amp;EOMONTH(A384,-1)+1,$A$2:A384,"&lt;="&amp;EOMONTH(A384,0)),"000"))</f>
        <v>PC-05/2026-180</v>
      </c>
      <c r="C384" s="5" t="s">
        <v>1223</v>
      </c>
      <c r="D384" s="5" t="s">
        <v>29</v>
      </c>
      <c r="E384" s="5" t="s">
        <v>41</v>
      </c>
      <c r="F384" s="5"/>
      <c r="G384" s="5" t="s">
        <v>82</v>
      </c>
      <c r="H384" s="5" t="s">
        <v>23</v>
      </c>
      <c r="I384" s="6">
        <v>200000</v>
      </c>
      <c r="J384" s="6">
        <f>IF(D384="Thu",I384,0)</f>
        <v>0</v>
      </c>
      <c r="K384" s="6">
        <f>IF(D384="Chi",I384,0)</f>
        <v>200000</v>
      </c>
      <c r="L384" s="6" t="e">
        <f>L383+J384-K384</f>
        <v>#VALUE!</v>
      </c>
      <c r="M384" s="6">
        <f ca="1">IFERROR(__xludf.DUMMYFUNCTION("SUM(FILTER(J:J, H:H=""Tiền mặt"")) - SUM(FILTER(K:K, H:H=""Tiền mặt""))
"),959000)</f>
        <v>959000</v>
      </c>
      <c r="N384" s="6">
        <f ca="1">IFERROR(__xludf.DUMMYFUNCTION("SUM(FILTER(J:J, H:H=""Chuyển khoản"")) - SUM(FILTER(K:K, H:H=""Chuyển khoản""))
"),4468984)</f>
        <v>4468984</v>
      </c>
      <c r="O384" s="5"/>
      <c r="P384" s="5"/>
      <c r="Q384" s="5"/>
      <c r="R384" s="5"/>
      <c r="S384" s="5"/>
    </row>
    <row r="385" spans="1:19" ht="15.75" customHeight="1" x14ac:dyDescent="0.2">
      <c r="A385" s="3">
        <v>46154</v>
      </c>
      <c r="B385" s="4" t="str">
        <f>IF(A385="","","PC-"&amp;TEXT(A385,"mm/yyyy")&amp;"-"&amp;TEXT(COUNTIFS($A$2:A385,"&gt;="&amp;EOMONTH(A385,-1)+1,$A$2:A385,"&lt;="&amp;EOMONTH(A385,0)),"000"))</f>
        <v>PC-05/2026-181</v>
      </c>
      <c r="C385" s="5" t="s">
        <v>1224</v>
      </c>
      <c r="D385" s="5" t="s">
        <v>29</v>
      </c>
      <c r="E385" s="5" t="s">
        <v>674</v>
      </c>
      <c r="F385" s="5"/>
      <c r="G385" s="5" t="s">
        <v>37</v>
      </c>
      <c r="H385" s="5" t="s">
        <v>27</v>
      </c>
      <c r="I385" s="6">
        <v>250000</v>
      </c>
      <c r="J385" s="6">
        <f>IF(D385="Thu",I385,0)</f>
        <v>0</v>
      </c>
      <c r="K385" s="6">
        <f>IF(D385="Chi",I385,0)</f>
        <v>250000</v>
      </c>
      <c r="L385" s="6" t="e">
        <f>L384+J385-K385</f>
        <v>#VALUE!</v>
      </c>
      <c r="M385" s="6">
        <f ca="1">IFERROR(__xludf.DUMMYFUNCTION("SUM(FILTER(J:J, H:H=""Tiền mặt"")) - SUM(FILTER(K:K, H:H=""Tiền mặt""))
"),959000)</f>
        <v>959000</v>
      </c>
      <c r="N385" s="6">
        <f ca="1">IFERROR(__xludf.DUMMYFUNCTION("SUM(FILTER(J:J, H:H=""Chuyển khoản"")) - SUM(FILTER(K:K, H:H=""Chuyển khoản""))
"),4468984)</f>
        <v>4468984</v>
      </c>
      <c r="O385" s="5"/>
      <c r="P385" s="5"/>
      <c r="Q385" s="5"/>
      <c r="R385" s="5"/>
      <c r="S385" s="5"/>
    </row>
    <row r="386" spans="1:19" ht="15.75" customHeight="1" x14ac:dyDescent="0.2">
      <c r="A386" s="3">
        <v>46154</v>
      </c>
      <c r="B386" s="4" t="str">
        <f>IF(A386="","","PC-"&amp;TEXT(A386,"mm/yyyy")&amp;"-"&amp;TEXT(COUNTIFS($A$2:A386,"&gt;="&amp;EOMONTH(A386,-1)+1,$A$2:A386,"&lt;="&amp;EOMONTH(A386,0)),"000"))</f>
        <v>PC-05/2026-182</v>
      </c>
      <c r="C386" s="5" t="s">
        <v>1225</v>
      </c>
      <c r="D386" s="5" t="s">
        <v>29</v>
      </c>
      <c r="E386" s="5" t="s">
        <v>41</v>
      </c>
      <c r="F386" s="5"/>
      <c r="G386" s="5" t="s">
        <v>82</v>
      </c>
      <c r="H386" s="5" t="s">
        <v>23</v>
      </c>
      <c r="I386" s="6">
        <v>100000</v>
      </c>
      <c r="J386" s="6">
        <f>IF(D386="Thu",I386,0)</f>
        <v>0</v>
      </c>
      <c r="K386" s="6">
        <f>IF(D386="Chi",I386,0)</f>
        <v>100000</v>
      </c>
      <c r="L386" s="6" t="e">
        <f>L385+J386-K386</f>
        <v>#VALUE!</v>
      </c>
      <c r="M386" s="6">
        <f ca="1">IFERROR(__xludf.DUMMYFUNCTION("SUM(FILTER(J:J, H:H=""Tiền mặt"")) - SUM(FILTER(K:K, H:H=""Tiền mặt""))
"),959000)</f>
        <v>959000</v>
      </c>
      <c r="N386" s="6">
        <f ca="1">IFERROR(__xludf.DUMMYFUNCTION("SUM(FILTER(J:J, H:H=""Chuyển khoản"")) - SUM(FILTER(K:K, H:H=""Chuyển khoản""))
"),4468984)</f>
        <v>4468984</v>
      </c>
      <c r="O386" s="5"/>
      <c r="P386" s="5"/>
      <c r="Q386" s="5"/>
      <c r="R386" s="5"/>
      <c r="S386" s="5"/>
    </row>
    <row r="387" spans="1:19" ht="15.75" customHeight="1" x14ac:dyDescent="0.2">
      <c r="A387" s="3">
        <v>46153</v>
      </c>
      <c r="B387" s="4" t="str">
        <f>IF(A387="","","PC-"&amp;TEXT(A387,"mm/yyyy")&amp;"-"&amp;TEXT(COUNTIFS($A$2:A387,"&gt;="&amp;EOMONTH(A387,-1)+1,$A$2:A387,"&lt;="&amp;EOMONTH(A387,0)),"000"))</f>
        <v>PC-05/2026-183</v>
      </c>
      <c r="C387" s="5" t="s">
        <v>1208</v>
      </c>
      <c r="D387" s="5" t="s">
        <v>29</v>
      </c>
      <c r="E387" s="5" t="s">
        <v>44</v>
      </c>
      <c r="F387" s="5"/>
      <c r="G387" s="5" t="s">
        <v>718</v>
      </c>
      <c r="H387" s="5" t="s">
        <v>23</v>
      </c>
      <c r="I387" s="6">
        <v>2000000</v>
      </c>
      <c r="J387" s="6">
        <f>IF(D387="Thu",I387,0)</f>
        <v>0</v>
      </c>
      <c r="K387" s="6">
        <f>IF(D387="Chi",I387,0)</f>
        <v>2000000</v>
      </c>
      <c r="L387" s="6" t="e">
        <f>L386+J387-K387</f>
        <v>#VALUE!</v>
      </c>
      <c r="M387" s="6">
        <f ca="1">IFERROR(__xludf.DUMMYFUNCTION("SUM(FILTER(J:J, H:H=""Tiền mặt"")) - SUM(FILTER(K:K, H:H=""Tiền mặt""))
"),959000)</f>
        <v>959000</v>
      </c>
      <c r="N387" s="6">
        <f ca="1">IFERROR(__xludf.DUMMYFUNCTION("SUM(FILTER(J:J, H:H=""Chuyển khoản"")) - SUM(FILTER(K:K, H:H=""Chuyển khoản""))
"),4468984)</f>
        <v>4468984</v>
      </c>
      <c r="O387" s="5"/>
      <c r="P387" s="5"/>
      <c r="Q387" s="5"/>
      <c r="R387" s="5"/>
      <c r="S387" s="5"/>
    </row>
    <row r="388" spans="1:19" ht="15.75" customHeight="1" x14ac:dyDescent="0.2">
      <c r="A388" s="3">
        <v>46153</v>
      </c>
      <c r="B388" s="4" t="str">
        <f>IF(A388="","","PC-"&amp;TEXT(A388,"mm/yyyy")&amp;"-"&amp;TEXT(COUNTIFS($A$2:A388,"&gt;="&amp;EOMONTH(A388,-1)+1,$A$2:A388,"&lt;="&amp;EOMONTH(A388,0)),"000"))</f>
        <v>PC-05/2026-184</v>
      </c>
      <c r="C388" s="5" t="s">
        <v>1209</v>
      </c>
      <c r="D388" s="5" t="s">
        <v>29</v>
      </c>
      <c r="E388" s="5" t="s">
        <v>47</v>
      </c>
      <c r="F388" s="5"/>
      <c r="G388" s="5" t="s">
        <v>48</v>
      </c>
      <c r="H388" s="5" t="s">
        <v>23</v>
      </c>
      <c r="I388" s="6">
        <v>50000</v>
      </c>
      <c r="J388" s="6">
        <f>IF(D388="Thu",I388,0)</f>
        <v>0</v>
      </c>
      <c r="K388" s="6">
        <f>IF(D388="Chi",I388,0)</f>
        <v>50000</v>
      </c>
      <c r="L388" s="6" t="e">
        <f>L387+J388-K388</f>
        <v>#VALUE!</v>
      </c>
      <c r="M388" s="6">
        <f ca="1">IFERROR(__xludf.DUMMYFUNCTION("SUM(FILTER(J:J, H:H=""Tiền mặt"")) - SUM(FILTER(K:K, H:H=""Tiền mặt""))
"),959000)</f>
        <v>959000</v>
      </c>
      <c r="N388" s="6">
        <f ca="1">IFERROR(__xludf.DUMMYFUNCTION("SUM(FILTER(J:J, H:H=""Chuyển khoản"")) - SUM(FILTER(K:K, H:H=""Chuyển khoản""))
"),4468984)</f>
        <v>4468984</v>
      </c>
      <c r="O388" s="5"/>
      <c r="P388" s="5"/>
      <c r="Q388" s="5"/>
      <c r="R388" s="5"/>
      <c r="S388" s="5"/>
    </row>
    <row r="389" spans="1:19" ht="15.75" customHeight="1" x14ac:dyDescent="0.2">
      <c r="A389" s="3">
        <v>46153</v>
      </c>
      <c r="B389" s="4" t="str">
        <f>IF(A389="","","PC-"&amp;TEXT(A389,"mm/yyyy")&amp;"-"&amp;TEXT(COUNTIFS($A$2:A389,"&gt;="&amp;EOMONTH(A389,-1)+1,$A$2:A389,"&lt;="&amp;EOMONTH(A389,0)),"000"))</f>
        <v>PC-05/2026-185</v>
      </c>
      <c r="C389" s="7" t="s">
        <v>1210</v>
      </c>
      <c r="D389" s="5" t="s">
        <v>29</v>
      </c>
      <c r="E389" s="5" t="s">
        <v>41</v>
      </c>
      <c r="F389" s="5"/>
      <c r="G389" s="5" t="s">
        <v>82</v>
      </c>
      <c r="H389" s="5" t="s">
        <v>23</v>
      </c>
      <c r="I389" s="6">
        <v>100000</v>
      </c>
      <c r="J389" s="6">
        <f>IF(D389="Thu",I389,0)</f>
        <v>0</v>
      </c>
      <c r="K389" s="6">
        <f>IF(D389="Chi",I389,0)</f>
        <v>100000</v>
      </c>
      <c r="L389" s="6" t="e">
        <f>L388+J389-K389</f>
        <v>#VALUE!</v>
      </c>
      <c r="M389" s="6">
        <f ca="1">IFERROR(__xludf.DUMMYFUNCTION("SUM(FILTER(J:J, H:H=""Tiền mặt"")) - SUM(FILTER(K:K, H:H=""Tiền mặt""))
"),959000)</f>
        <v>959000</v>
      </c>
      <c r="N389" s="6">
        <f ca="1">IFERROR(__xludf.DUMMYFUNCTION("SUM(FILTER(J:J, H:H=""Chuyển khoản"")) - SUM(FILTER(K:K, H:H=""Chuyển khoản""))
"),4468984)</f>
        <v>4468984</v>
      </c>
      <c r="O389" s="5"/>
      <c r="P389" s="5"/>
      <c r="Q389" s="5"/>
      <c r="R389" s="5"/>
      <c r="S389" s="5"/>
    </row>
    <row r="390" spans="1:19" ht="15.75" customHeight="1" x14ac:dyDescent="0.2">
      <c r="A390" s="3">
        <v>46153</v>
      </c>
      <c r="B390" s="4" t="str">
        <f>IF(A390="","","PC-"&amp;TEXT(A390,"mm/yyyy")&amp;"-"&amp;TEXT(COUNTIFS($A$2:A390,"&gt;="&amp;EOMONTH(A390,-1)+1,$A$2:A390,"&lt;="&amp;EOMONTH(A390,0)),"000"))</f>
        <v>PC-05/2026-186</v>
      </c>
      <c r="C390" s="5" t="s">
        <v>1211</v>
      </c>
      <c r="D390" s="5" t="s">
        <v>29</v>
      </c>
      <c r="E390" s="5" t="s">
        <v>71</v>
      </c>
      <c r="F390" s="5"/>
      <c r="G390" s="5" t="s">
        <v>1212</v>
      </c>
      <c r="H390" s="5" t="s">
        <v>27</v>
      </c>
      <c r="I390" s="6">
        <v>18000</v>
      </c>
      <c r="J390" s="6">
        <f>IF(D390="Thu",I390,0)</f>
        <v>0</v>
      </c>
      <c r="K390" s="6">
        <f>IF(D390="Chi",I390,0)</f>
        <v>18000</v>
      </c>
      <c r="L390" s="6" t="e">
        <f>L389+J390-K390</f>
        <v>#VALUE!</v>
      </c>
      <c r="M390" s="6">
        <f ca="1">IFERROR(__xludf.DUMMYFUNCTION("SUM(FILTER(J:J, H:H=""Tiền mặt"")) - SUM(FILTER(K:K, H:H=""Tiền mặt""))
"),959000)</f>
        <v>959000</v>
      </c>
      <c r="N390" s="6">
        <f ca="1">IFERROR(__xludf.DUMMYFUNCTION("SUM(FILTER(J:J, H:H=""Chuyển khoản"")) - SUM(FILTER(K:K, H:H=""Chuyển khoản""))
"),4468984)</f>
        <v>4468984</v>
      </c>
      <c r="O390" s="5"/>
      <c r="P390" s="5"/>
      <c r="Q390" s="5"/>
      <c r="R390" s="5"/>
      <c r="S390" s="5"/>
    </row>
    <row r="391" spans="1:19" ht="15.75" customHeight="1" x14ac:dyDescent="0.2">
      <c r="A391" s="3">
        <v>46153</v>
      </c>
      <c r="B391" s="4" t="str">
        <f>IF(A391="","","PC-"&amp;TEXT(A391,"mm/yyyy")&amp;"-"&amp;TEXT(COUNTIFS($A$2:A391,"&gt;="&amp;EOMONTH(A391,-1)+1,$A$2:A391,"&lt;="&amp;EOMONTH(A391,0)),"000"))</f>
        <v>PC-05/2026-187</v>
      </c>
      <c r="C391" s="5" t="s">
        <v>1213</v>
      </c>
      <c r="D391" s="5" t="s">
        <v>29</v>
      </c>
      <c r="E391" s="5" t="s">
        <v>41</v>
      </c>
      <c r="F391" s="5"/>
      <c r="G391" s="5" t="s">
        <v>82</v>
      </c>
      <c r="H391" s="5" t="s">
        <v>23</v>
      </c>
      <c r="I391" s="6">
        <v>100000</v>
      </c>
      <c r="J391" s="6">
        <f>IF(D391="Thu",I391,0)</f>
        <v>0</v>
      </c>
      <c r="K391" s="6">
        <f>IF(D391="Chi",I391,0)</f>
        <v>100000</v>
      </c>
      <c r="L391" s="6" t="e">
        <f>L390+J391-K391</f>
        <v>#VALUE!</v>
      </c>
      <c r="M391" s="6">
        <f ca="1">IFERROR(__xludf.DUMMYFUNCTION("SUM(FILTER(J:J, H:H=""Tiền mặt"")) - SUM(FILTER(K:K, H:H=""Tiền mặt""))
"),959000)</f>
        <v>959000</v>
      </c>
      <c r="N391" s="6">
        <f ca="1">IFERROR(__xludf.DUMMYFUNCTION("SUM(FILTER(J:J, H:H=""Chuyển khoản"")) - SUM(FILTER(K:K, H:H=""Chuyển khoản""))
"),4468984)</f>
        <v>4468984</v>
      </c>
      <c r="O391" s="5"/>
      <c r="P391" s="5"/>
      <c r="Q391" s="5"/>
      <c r="R391" s="5"/>
      <c r="S391" s="5"/>
    </row>
    <row r="392" spans="1:19" ht="15.75" customHeight="1" x14ac:dyDescent="0.2">
      <c r="A392" s="3">
        <v>46153</v>
      </c>
      <c r="B392" s="4" t="str">
        <f>IF(A392="","","PC-"&amp;TEXT(A392,"mm/yyyy")&amp;"-"&amp;TEXT(COUNTIFS($A$2:A392,"&gt;="&amp;EOMONTH(A392,-1)+1,$A$2:A392,"&lt;="&amp;EOMONTH(A392,0)),"000"))</f>
        <v>PC-05/2026-188</v>
      </c>
      <c r="C392" s="5" t="s">
        <v>1214</v>
      </c>
      <c r="D392" s="5" t="s">
        <v>20</v>
      </c>
      <c r="E392" s="5" t="s">
        <v>21</v>
      </c>
      <c r="F392" s="5"/>
      <c r="G392" s="5" t="s">
        <v>22</v>
      </c>
      <c r="H392" s="5" t="s">
        <v>23</v>
      </c>
      <c r="I392" s="6">
        <v>10000000</v>
      </c>
      <c r="J392" s="6">
        <f>IF(D392="Thu",I392,0)</f>
        <v>10000000</v>
      </c>
      <c r="K392" s="6">
        <f>IF(D392="Chi",I392,0)</f>
        <v>0</v>
      </c>
      <c r="L392" s="6" t="e">
        <f>L391+J392-K392</f>
        <v>#VALUE!</v>
      </c>
      <c r="M392" s="6">
        <f ca="1">IFERROR(__xludf.DUMMYFUNCTION("SUM(FILTER(J:J, H:H=""Tiền mặt"")) - SUM(FILTER(K:K, H:H=""Tiền mặt""))
"),959000)</f>
        <v>959000</v>
      </c>
      <c r="N392" s="6">
        <f ca="1">IFERROR(__xludf.DUMMYFUNCTION("SUM(FILTER(J:J, H:H=""Chuyển khoản"")) - SUM(FILTER(K:K, H:H=""Chuyển khoản""))
"),4468984)</f>
        <v>4468984</v>
      </c>
      <c r="O392" s="5"/>
      <c r="P392" s="5"/>
      <c r="Q392" s="5"/>
      <c r="R392" s="5"/>
      <c r="S392" s="5"/>
    </row>
    <row r="393" spans="1:19" ht="15.75" customHeight="1" x14ac:dyDescent="0.2">
      <c r="A393" s="3">
        <v>46153</v>
      </c>
      <c r="B393" s="4" t="str">
        <f>IF(A393="","","PC-"&amp;TEXT(A393,"mm/yyyy")&amp;"-"&amp;TEXT(COUNTIFS($A$2:A393,"&gt;="&amp;EOMONTH(A393,-1)+1,$A$2:A393,"&lt;="&amp;EOMONTH(A393,0)),"000"))</f>
        <v>PC-05/2026-189</v>
      </c>
      <c r="C393" s="5" t="s">
        <v>1215</v>
      </c>
      <c r="D393" s="5" t="s">
        <v>29</v>
      </c>
      <c r="E393" s="5" t="s">
        <v>30</v>
      </c>
      <c r="F393" s="5"/>
      <c r="G393" s="5" t="s">
        <v>1175</v>
      </c>
      <c r="H393" s="5" t="s">
        <v>27</v>
      </c>
      <c r="I393" s="6">
        <v>115000</v>
      </c>
      <c r="J393" s="6">
        <f>IF(D393="Thu",I393,0)</f>
        <v>0</v>
      </c>
      <c r="K393" s="6">
        <f>IF(D393="Chi",I393,0)</f>
        <v>115000</v>
      </c>
      <c r="L393" s="6" t="e">
        <f>L392+J393-K393</f>
        <v>#VALUE!</v>
      </c>
      <c r="M393" s="6">
        <f ca="1">IFERROR(__xludf.DUMMYFUNCTION("SUM(FILTER(J:J, H:H=""Tiền mặt"")) - SUM(FILTER(K:K, H:H=""Tiền mặt""))
"),959000)</f>
        <v>959000</v>
      </c>
      <c r="N393" s="6">
        <f ca="1">IFERROR(__xludf.DUMMYFUNCTION("SUM(FILTER(J:J, H:H=""Chuyển khoản"")) - SUM(FILTER(K:K, H:H=""Chuyển khoản""))
"),4468984)</f>
        <v>4468984</v>
      </c>
      <c r="O393" s="5"/>
      <c r="P393" s="5"/>
      <c r="Q393" s="5"/>
      <c r="R393" s="5"/>
      <c r="S393" s="5"/>
    </row>
    <row r="394" spans="1:19" ht="15.75" customHeight="1" x14ac:dyDescent="0.2">
      <c r="A394" s="3">
        <v>46153</v>
      </c>
      <c r="B394" s="4" t="str">
        <f>IF(A394="","","PC-"&amp;TEXT(A394,"mm/yyyy")&amp;"-"&amp;TEXT(COUNTIFS($A$2:A394,"&gt;="&amp;EOMONTH(A394,-1)+1,$A$2:A394,"&lt;="&amp;EOMONTH(A394,0)),"000"))</f>
        <v>PC-05/2026-190</v>
      </c>
      <c r="C394" s="5" t="s">
        <v>1216</v>
      </c>
      <c r="D394" s="5" t="s">
        <v>29</v>
      </c>
      <c r="E394" s="5" t="s">
        <v>41</v>
      </c>
      <c r="F394" s="5"/>
      <c r="G394" s="5" t="s">
        <v>539</v>
      </c>
      <c r="H394" s="5" t="s">
        <v>23</v>
      </c>
      <c r="I394" s="6">
        <v>100000</v>
      </c>
      <c r="J394" s="6">
        <f>IF(D394="Thu",I394,0)</f>
        <v>0</v>
      </c>
      <c r="K394" s="6">
        <f>IF(D394="Chi",I394,0)</f>
        <v>100000</v>
      </c>
      <c r="L394" s="6" t="e">
        <f>L393+J394-K394</f>
        <v>#VALUE!</v>
      </c>
      <c r="M394" s="6">
        <f ca="1">IFERROR(__xludf.DUMMYFUNCTION("SUM(FILTER(J:J, H:H=""Tiền mặt"")) - SUM(FILTER(K:K, H:H=""Tiền mặt""))
"),959000)</f>
        <v>959000</v>
      </c>
      <c r="N394" s="6">
        <f ca="1">IFERROR(__xludf.DUMMYFUNCTION("SUM(FILTER(J:J, H:H=""Chuyển khoản"")) - SUM(FILTER(K:K, H:H=""Chuyển khoản""))
"),4468984)</f>
        <v>4468984</v>
      </c>
      <c r="O394" s="5"/>
      <c r="P394" s="5"/>
      <c r="Q394" s="5"/>
      <c r="R394" s="5"/>
      <c r="S394" s="5"/>
    </row>
    <row r="395" spans="1:19" ht="15.75" customHeight="1" x14ac:dyDescent="0.2">
      <c r="A395" s="3">
        <v>46153</v>
      </c>
      <c r="B395" s="4" t="str">
        <f>IF(A395="","","PC-"&amp;TEXT(A395,"mm/yyyy")&amp;"-"&amp;TEXT(COUNTIFS($A$2:A395,"&gt;="&amp;EOMONTH(A395,-1)+1,$A$2:A395,"&lt;="&amp;EOMONTH(A395,0)),"000"))</f>
        <v>PC-05/2026-191</v>
      </c>
      <c r="C395" s="5" t="s">
        <v>1217</v>
      </c>
      <c r="D395" s="5" t="s">
        <v>29</v>
      </c>
      <c r="E395" s="5" t="s">
        <v>64</v>
      </c>
      <c r="F395" s="5"/>
      <c r="G395" s="5" t="s">
        <v>482</v>
      </c>
      <c r="H395" s="5" t="s">
        <v>23</v>
      </c>
      <c r="I395" s="6">
        <v>300000</v>
      </c>
      <c r="J395" s="6">
        <f>IF(D395="Thu",I395,0)</f>
        <v>0</v>
      </c>
      <c r="K395" s="6">
        <f>IF(D395="Chi",I395,0)</f>
        <v>300000</v>
      </c>
      <c r="L395" s="6" t="e">
        <f>L394+J395-K395</f>
        <v>#VALUE!</v>
      </c>
      <c r="M395" s="6">
        <f ca="1">IFERROR(__xludf.DUMMYFUNCTION("SUM(FILTER(J:J, H:H=""Tiền mặt"")) - SUM(FILTER(K:K, H:H=""Tiền mặt""))
"),959000)</f>
        <v>959000</v>
      </c>
      <c r="N395" s="6">
        <f ca="1">IFERROR(__xludf.DUMMYFUNCTION("SUM(FILTER(J:J, H:H=""Chuyển khoản"")) - SUM(FILTER(K:K, H:H=""Chuyển khoản""))
"),4468984)</f>
        <v>4468984</v>
      </c>
      <c r="O395" s="5"/>
      <c r="P395" s="5"/>
      <c r="Q395" s="5"/>
      <c r="R395" s="5"/>
      <c r="S395" s="5"/>
    </row>
    <row r="396" spans="1:19" ht="15.75" customHeight="1" x14ac:dyDescent="0.2">
      <c r="A396" s="3">
        <v>46153</v>
      </c>
      <c r="B396" s="4" t="str">
        <f>IF(A396="","","PC-"&amp;TEXT(A396,"mm/yyyy")&amp;"-"&amp;TEXT(COUNTIFS($A$2:A396,"&gt;="&amp;EOMONTH(A396,-1)+1,$A$2:A396,"&lt;="&amp;EOMONTH(A396,0)),"000"))</f>
        <v>PC-05/2026-192</v>
      </c>
      <c r="C396" s="5" t="s">
        <v>1218</v>
      </c>
      <c r="D396" s="5" t="s">
        <v>29</v>
      </c>
      <c r="E396" s="5" t="s">
        <v>88</v>
      </c>
      <c r="F396" s="5"/>
      <c r="G396" s="5" t="s">
        <v>571</v>
      </c>
      <c r="H396" s="5" t="s">
        <v>23</v>
      </c>
      <c r="I396" s="6">
        <v>462000</v>
      </c>
      <c r="J396" s="6">
        <f>IF(D396="Thu",I396,0)</f>
        <v>0</v>
      </c>
      <c r="K396" s="6">
        <f>IF(D396="Chi",I396,0)</f>
        <v>462000</v>
      </c>
      <c r="L396" s="6" t="e">
        <f>L395+J396-K396</f>
        <v>#VALUE!</v>
      </c>
      <c r="M396" s="6">
        <f ca="1">IFERROR(__xludf.DUMMYFUNCTION("SUM(FILTER(J:J, H:H=""Tiền mặt"")) - SUM(FILTER(K:K, H:H=""Tiền mặt""))
"),959000)</f>
        <v>959000</v>
      </c>
      <c r="N396" s="6">
        <f ca="1">IFERROR(__xludf.DUMMYFUNCTION("SUM(FILTER(J:J, H:H=""Chuyển khoản"")) - SUM(FILTER(K:K, H:H=""Chuyển khoản""))
"),4468984)</f>
        <v>4468984</v>
      </c>
      <c r="O396" s="5"/>
      <c r="P396" s="5"/>
      <c r="Q396" s="5"/>
      <c r="R396" s="5"/>
      <c r="S396" s="5"/>
    </row>
    <row r="397" spans="1:19" ht="15.75" customHeight="1" x14ac:dyDescent="0.2">
      <c r="A397" s="3">
        <v>46151</v>
      </c>
      <c r="B397" s="4" t="str">
        <f>IF(A397="","","PC-"&amp;TEXT(A397,"mm/yyyy")&amp;"-"&amp;TEXT(COUNTIFS($A$2:A397,"&gt;="&amp;EOMONTH(A397,-1)+1,$A$2:A397,"&lt;="&amp;EOMONTH(A397,0)),"000"))</f>
        <v>PC-05/2026-193</v>
      </c>
      <c r="C397" s="5" t="s">
        <v>1205</v>
      </c>
      <c r="D397" s="5" t="s">
        <v>29</v>
      </c>
      <c r="E397" s="5" t="s">
        <v>51</v>
      </c>
      <c r="F397" s="5"/>
      <c r="G397" s="5" t="s">
        <v>52</v>
      </c>
      <c r="H397" s="5" t="s">
        <v>27</v>
      </c>
      <c r="I397" s="6">
        <v>92012</v>
      </c>
      <c r="J397" s="6">
        <f>IF(D397="Thu",I397,0)</f>
        <v>0</v>
      </c>
      <c r="K397" s="6">
        <f>IF(D397="Chi",I397,0)</f>
        <v>92012</v>
      </c>
      <c r="L397" s="6" t="e">
        <f>L396+J397-K397</f>
        <v>#VALUE!</v>
      </c>
      <c r="M397" s="6">
        <f ca="1">IFERROR(__xludf.DUMMYFUNCTION("SUM(FILTER(J:J, H:H=""Tiền mặt"")) - SUM(FILTER(K:K, H:H=""Tiền mặt""))
"),959000)</f>
        <v>959000</v>
      </c>
      <c r="N397" s="6">
        <f ca="1">IFERROR(__xludf.DUMMYFUNCTION("SUM(FILTER(J:J, H:H=""Chuyển khoản"")) - SUM(FILTER(K:K, H:H=""Chuyển khoản""))
"),4468984)</f>
        <v>4468984</v>
      </c>
      <c r="O397" s="5"/>
      <c r="P397" s="5"/>
      <c r="Q397" s="5"/>
      <c r="R397" s="5"/>
      <c r="S397" s="5"/>
    </row>
    <row r="398" spans="1:19" ht="15.75" customHeight="1" x14ac:dyDescent="0.2">
      <c r="A398" s="3">
        <v>46151</v>
      </c>
      <c r="B398" s="4" t="str">
        <f>IF(A398="","","PC-"&amp;TEXT(A398,"mm/yyyy")&amp;"-"&amp;TEXT(COUNTIFS($A$2:A398,"&gt;="&amp;EOMONTH(A398,-1)+1,$A$2:A398,"&lt;="&amp;EOMONTH(A398,0)),"000"))</f>
        <v>PC-05/2026-194</v>
      </c>
      <c r="C398" s="5" t="s">
        <v>1206</v>
      </c>
      <c r="D398" s="5" t="s">
        <v>29</v>
      </c>
      <c r="E398" s="5" t="s">
        <v>61</v>
      </c>
      <c r="F398" s="5"/>
      <c r="G398" s="5" t="s">
        <v>52</v>
      </c>
      <c r="H398" s="5" t="s">
        <v>27</v>
      </c>
      <c r="I398" s="6">
        <v>200000</v>
      </c>
      <c r="J398" s="6">
        <f>IF(D398="Thu",I398,0)</f>
        <v>0</v>
      </c>
      <c r="K398" s="6">
        <f>IF(D398="Chi",I398,0)</f>
        <v>200000</v>
      </c>
      <c r="L398" s="6" t="e">
        <f>L397+J398-K398</f>
        <v>#VALUE!</v>
      </c>
      <c r="M398" s="6">
        <f ca="1">IFERROR(__xludf.DUMMYFUNCTION("SUM(FILTER(J:J, H:H=""Tiền mặt"")) - SUM(FILTER(K:K, H:H=""Tiền mặt""))
"),959000)</f>
        <v>959000</v>
      </c>
      <c r="N398" s="6">
        <f ca="1">IFERROR(__xludf.DUMMYFUNCTION("SUM(FILTER(J:J, H:H=""Chuyển khoản"")) - SUM(FILTER(K:K, H:H=""Chuyển khoản""))
"),4468984)</f>
        <v>4468984</v>
      </c>
      <c r="O398" s="5"/>
      <c r="P398" s="5"/>
      <c r="Q398" s="5"/>
      <c r="R398" s="5"/>
      <c r="S398" s="5"/>
    </row>
    <row r="399" spans="1:19" ht="15.75" customHeight="1" x14ac:dyDescent="0.2">
      <c r="A399" s="3">
        <v>46151</v>
      </c>
      <c r="B399" s="4" t="str">
        <f>IF(A399="","","PC-"&amp;TEXT(A399,"mm/yyyy")&amp;"-"&amp;TEXT(COUNTIFS($A$2:A399,"&gt;="&amp;EOMONTH(A399,-1)+1,$A$2:A399,"&lt;="&amp;EOMONTH(A399,0)),"000"))</f>
        <v>PC-05/2026-195</v>
      </c>
      <c r="C399" s="5" t="s">
        <v>1207</v>
      </c>
      <c r="D399" s="5" t="s">
        <v>29</v>
      </c>
      <c r="E399" s="5" t="s">
        <v>153</v>
      </c>
      <c r="F399" s="5"/>
      <c r="G399" s="5" t="s">
        <v>72</v>
      </c>
      <c r="H399" s="5" t="s">
        <v>27</v>
      </c>
      <c r="I399" s="6">
        <v>214920</v>
      </c>
      <c r="J399" s="6">
        <f>IF(D399="Thu",I399,0)</f>
        <v>0</v>
      </c>
      <c r="K399" s="6">
        <f>IF(D399="Chi",I399,0)</f>
        <v>214920</v>
      </c>
      <c r="L399" s="6" t="e">
        <f>L398+J399-K399</f>
        <v>#VALUE!</v>
      </c>
      <c r="M399" s="6">
        <f ca="1">IFERROR(__xludf.DUMMYFUNCTION("SUM(FILTER(J:J, H:H=""Tiền mặt"")) - SUM(FILTER(K:K, H:H=""Tiền mặt""))
"),959000)</f>
        <v>959000</v>
      </c>
      <c r="N399" s="6">
        <f ca="1">IFERROR(__xludf.DUMMYFUNCTION("SUM(FILTER(J:J, H:H=""Chuyển khoản"")) - SUM(FILTER(K:K, H:H=""Chuyển khoản""))
"),4468984)</f>
        <v>4468984</v>
      </c>
      <c r="O399" s="5"/>
      <c r="P399" s="5"/>
      <c r="Q399" s="5"/>
      <c r="R399" s="5"/>
      <c r="S399" s="5"/>
    </row>
    <row r="400" spans="1:19" ht="15.75" customHeight="1" x14ac:dyDescent="0.2">
      <c r="A400" s="3">
        <v>46150</v>
      </c>
      <c r="B400" s="4" t="str">
        <f>IF(A400="","","PC-"&amp;TEXT(A400,"mm/yyyy")&amp;"-"&amp;TEXT(COUNTIFS($A$2:A400,"&gt;="&amp;EOMONTH(A400,-1)+1,$A$2:A400,"&lt;="&amp;EOMONTH(A400,0)),"000"))</f>
        <v>PC-05/2026-196</v>
      </c>
      <c r="C400" s="5" t="s">
        <v>1189</v>
      </c>
      <c r="D400" s="5" t="s">
        <v>29</v>
      </c>
      <c r="E400" s="5" t="s">
        <v>71</v>
      </c>
      <c r="F400" s="5"/>
      <c r="G400" s="5" t="s">
        <v>618</v>
      </c>
      <c r="H400" s="5" t="s">
        <v>27</v>
      </c>
      <c r="I400" s="6">
        <v>76000</v>
      </c>
      <c r="J400" s="6">
        <f>IF(D400="Thu",I400,0)</f>
        <v>0</v>
      </c>
      <c r="K400" s="6">
        <f>IF(D400="Chi",I400,0)</f>
        <v>76000</v>
      </c>
      <c r="L400" s="6" t="e">
        <f>L399+J400-K400</f>
        <v>#VALUE!</v>
      </c>
      <c r="M400" s="6">
        <f ca="1">IFERROR(__xludf.DUMMYFUNCTION("SUM(FILTER(J:J, H:H=""Tiền mặt"")) - SUM(FILTER(K:K, H:H=""Tiền mặt""))
"),959000)</f>
        <v>959000</v>
      </c>
      <c r="N400" s="6">
        <f ca="1">IFERROR(__xludf.DUMMYFUNCTION("SUM(FILTER(J:J, H:H=""Chuyển khoản"")) - SUM(FILTER(K:K, H:H=""Chuyển khoản""))
"),4468984)</f>
        <v>4468984</v>
      </c>
      <c r="O400" s="5"/>
      <c r="P400" s="5"/>
      <c r="Q400" s="5"/>
      <c r="R400" s="5"/>
      <c r="S400" s="5"/>
    </row>
    <row r="401" spans="1:19" ht="15.75" customHeight="1" x14ac:dyDescent="0.2">
      <c r="A401" s="3">
        <v>46150</v>
      </c>
      <c r="B401" s="4" t="str">
        <f>IF(A401="","","PC-"&amp;TEXT(A401,"mm/yyyy")&amp;"-"&amp;TEXT(COUNTIFS($A$2:A401,"&gt;="&amp;EOMONTH(A401,-1)+1,$A$2:A401,"&lt;="&amp;EOMONTH(A401,0)),"000"))</f>
        <v>PC-05/2026-197</v>
      </c>
      <c r="C401" s="5" t="s">
        <v>1190</v>
      </c>
      <c r="D401" s="5" t="s">
        <v>29</v>
      </c>
      <c r="E401" s="5" t="s">
        <v>71</v>
      </c>
      <c r="F401" s="5"/>
      <c r="G401" s="5" t="s">
        <v>1191</v>
      </c>
      <c r="H401" s="5" t="s">
        <v>27</v>
      </c>
      <c r="I401" s="6">
        <v>67000</v>
      </c>
      <c r="J401" s="6">
        <f>IF(D401="Thu",I401,0)</f>
        <v>0</v>
      </c>
      <c r="K401" s="6">
        <f>IF(D401="Chi",I401,0)</f>
        <v>67000</v>
      </c>
      <c r="L401" s="6" t="e">
        <f>L400+J401-K401</f>
        <v>#VALUE!</v>
      </c>
      <c r="M401" s="6">
        <f ca="1">IFERROR(__xludf.DUMMYFUNCTION("SUM(FILTER(J:J, H:H=""Tiền mặt"")) - SUM(FILTER(K:K, H:H=""Tiền mặt""))
"),959000)</f>
        <v>959000</v>
      </c>
      <c r="N401" s="6">
        <f ca="1">IFERROR(__xludf.DUMMYFUNCTION("SUM(FILTER(J:J, H:H=""Chuyển khoản"")) - SUM(FILTER(K:K, H:H=""Chuyển khoản""))
"),4468984)</f>
        <v>4468984</v>
      </c>
      <c r="O401" s="5"/>
      <c r="P401" s="5"/>
      <c r="Q401" s="5"/>
      <c r="R401" s="5"/>
      <c r="S401" s="5"/>
    </row>
    <row r="402" spans="1:19" ht="15.75" customHeight="1" x14ac:dyDescent="0.2">
      <c r="A402" s="3">
        <v>46150</v>
      </c>
      <c r="B402" s="4" t="str">
        <f>IF(A402="","","PC-"&amp;TEXT(A402,"mm/yyyy")&amp;"-"&amp;TEXT(COUNTIFS($A$2:A402,"&gt;="&amp;EOMONTH(A402,-1)+1,$A$2:A402,"&lt;="&amp;EOMONTH(A402,0)),"000"))</f>
        <v>PC-05/2026-198</v>
      </c>
      <c r="C402" s="5" t="s">
        <v>1192</v>
      </c>
      <c r="D402" s="5" t="s">
        <v>29</v>
      </c>
      <c r="E402" s="5" t="s">
        <v>674</v>
      </c>
      <c r="F402" s="5"/>
      <c r="G402" s="5" t="s">
        <v>37</v>
      </c>
      <c r="H402" s="5" t="s">
        <v>27</v>
      </c>
      <c r="I402" s="6">
        <v>320000</v>
      </c>
      <c r="J402" s="6">
        <f>IF(D402="Thu",I402,0)</f>
        <v>0</v>
      </c>
      <c r="K402" s="6">
        <f>IF(D402="Chi",I402,0)</f>
        <v>320000</v>
      </c>
      <c r="L402" s="6" t="e">
        <f>L401+J402-K402</f>
        <v>#VALUE!</v>
      </c>
      <c r="M402" s="6">
        <f ca="1">IFERROR(__xludf.DUMMYFUNCTION("SUM(FILTER(J:J, H:H=""Tiền mặt"")) - SUM(FILTER(K:K, H:H=""Tiền mặt""))
"),959000)</f>
        <v>959000</v>
      </c>
      <c r="N402" s="6">
        <f ca="1">IFERROR(__xludf.DUMMYFUNCTION("SUM(FILTER(J:J, H:H=""Chuyển khoản"")) - SUM(FILTER(K:K, H:H=""Chuyển khoản""))
"),4468984)</f>
        <v>4468984</v>
      </c>
      <c r="O402" s="5"/>
      <c r="P402" s="5"/>
      <c r="Q402" s="5"/>
      <c r="R402" s="5"/>
      <c r="S402" s="5"/>
    </row>
    <row r="403" spans="1:19" ht="15.75" customHeight="1" x14ac:dyDescent="0.2">
      <c r="A403" s="3">
        <v>46150</v>
      </c>
      <c r="B403" s="4" t="str">
        <f>IF(A403="","","PC-"&amp;TEXT(A403,"mm/yyyy")&amp;"-"&amp;TEXT(COUNTIFS($A$2:A403,"&gt;="&amp;EOMONTH(A403,-1)+1,$A$2:A403,"&lt;="&amp;EOMONTH(A403,0)),"000"))</f>
        <v>PC-05/2026-199</v>
      </c>
      <c r="C403" s="5" t="s">
        <v>1193</v>
      </c>
      <c r="D403" s="5" t="s">
        <v>29</v>
      </c>
      <c r="E403" s="5" t="s">
        <v>78</v>
      </c>
      <c r="F403" s="5"/>
      <c r="G403" s="5" t="s">
        <v>37</v>
      </c>
      <c r="H403" s="5" t="s">
        <v>27</v>
      </c>
      <c r="I403" s="6">
        <v>225000</v>
      </c>
      <c r="J403" s="6">
        <f>IF(D403="Thu",I403,0)</f>
        <v>0</v>
      </c>
      <c r="K403" s="6">
        <f>IF(D403="Chi",I403,0)</f>
        <v>225000</v>
      </c>
      <c r="L403" s="6" t="e">
        <f>L402+J403-K403</f>
        <v>#VALUE!</v>
      </c>
      <c r="M403" s="6">
        <f ca="1">IFERROR(__xludf.DUMMYFUNCTION("SUM(FILTER(J:J, H:H=""Tiền mặt"")) - SUM(FILTER(K:K, H:H=""Tiền mặt""))
"),959000)</f>
        <v>959000</v>
      </c>
      <c r="N403" s="6">
        <f ca="1">IFERROR(__xludf.DUMMYFUNCTION("SUM(FILTER(J:J, H:H=""Chuyển khoản"")) - SUM(FILTER(K:K, H:H=""Chuyển khoản""))
"),4468984)</f>
        <v>4468984</v>
      </c>
      <c r="O403" s="5"/>
      <c r="P403" s="5"/>
      <c r="Q403" s="5"/>
      <c r="R403" s="5"/>
      <c r="S403" s="5"/>
    </row>
    <row r="404" spans="1:19" ht="15.75" customHeight="1" x14ac:dyDescent="0.2">
      <c r="A404" s="3">
        <v>46150</v>
      </c>
      <c r="B404" s="4" t="str">
        <f>IF(A404="","","PC-"&amp;TEXT(A404,"mm/yyyy")&amp;"-"&amp;TEXT(COUNTIFS($A$2:A404,"&gt;="&amp;EOMONTH(A404,-1)+1,$A$2:A404,"&lt;="&amp;EOMONTH(A404,0)),"000"))</f>
        <v>PC-05/2026-200</v>
      </c>
      <c r="C404" s="5" t="s">
        <v>1194</v>
      </c>
      <c r="D404" s="5" t="s">
        <v>29</v>
      </c>
      <c r="E404" s="5" t="s">
        <v>41</v>
      </c>
      <c r="F404" s="5"/>
      <c r="G404" s="5" t="s">
        <v>82</v>
      </c>
      <c r="H404" s="5" t="s">
        <v>23</v>
      </c>
      <c r="I404" s="6">
        <v>100000</v>
      </c>
      <c r="J404" s="6">
        <f>IF(D404="Thu",I404,0)</f>
        <v>0</v>
      </c>
      <c r="K404" s="6">
        <f>IF(D404="Chi",I404,0)</f>
        <v>100000</v>
      </c>
      <c r="L404" s="6" t="e">
        <f>L403+J404-K404</f>
        <v>#VALUE!</v>
      </c>
      <c r="M404" s="6">
        <f ca="1">IFERROR(__xludf.DUMMYFUNCTION("SUM(FILTER(J:J, H:H=""Tiền mặt"")) - SUM(FILTER(K:K, H:H=""Tiền mặt""))
"),959000)</f>
        <v>959000</v>
      </c>
      <c r="N404" s="6">
        <f ca="1">IFERROR(__xludf.DUMMYFUNCTION("SUM(FILTER(J:J, H:H=""Chuyển khoản"")) - SUM(FILTER(K:K, H:H=""Chuyển khoản""))
"),4468984)</f>
        <v>4468984</v>
      </c>
      <c r="O404" s="5"/>
      <c r="P404" s="5"/>
      <c r="Q404" s="5"/>
      <c r="R404" s="5"/>
      <c r="S404" s="5"/>
    </row>
    <row r="405" spans="1:19" ht="15.75" customHeight="1" x14ac:dyDescent="0.2">
      <c r="A405" s="3">
        <v>46150</v>
      </c>
      <c r="B405" s="4" t="str">
        <f>IF(A405="","","PC-"&amp;TEXT(A405,"mm/yyyy")&amp;"-"&amp;TEXT(COUNTIFS($A$2:A405,"&gt;="&amp;EOMONTH(A405,-1)+1,$A$2:A405,"&lt;="&amp;EOMONTH(A405,0)),"000"))</f>
        <v>PC-05/2026-201</v>
      </c>
      <c r="C405" s="5" t="s">
        <v>1195</v>
      </c>
      <c r="D405" s="5" t="s">
        <v>29</v>
      </c>
      <c r="E405" s="5" t="s">
        <v>41</v>
      </c>
      <c r="F405" s="5"/>
      <c r="G405" s="5" t="s">
        <v>82</v>
      </c>
      <c r="H405" s="5" t="s">
        <v>23</v>
      </c>
      <c r="I405" s="6">
        <v>100000</v>
      </c>
      <c r="J405" s="6">
        <f>IF(D405="Thu",I405,0)</f>
        <v>0</v>
      </c>
      <c r="K405" s="6">
        <f>IF(D405="Chi",I405,0)</f>
        <v>100000</v>
      </c>
      <c r="L405" s="6" t="e">
        <f>L404+J405-K405</f>
        <v>#VALUE!</v>
      </c>
      <c r="M405" s="6">
        <f ca="1">IFERROR(__xludf.DUMMYFUNCTION("SUM(FILTER(J:J, H:H=""Tiền mặt"")) - SUM(FILTER(K:K, H:H=""Tiền mặt""))
"),959000)</f>
        <v>959000</v>
      </c>
      <c r="N405" s="6">
        <f ca="1">IFERROR(__xludf.DUMMYFUNCTION("SUM(FILTER(J:J, H:H=""Chuyển khoản"")) - SUM(FILTER(K:K, H:H=""Chuyển khoản""))
"),4468984)</f>
        <v>4468984</v>
      </c>
      <c r="O405" s="5"/>
      <c r="P405" s="5"/>
      <c r="Q405" s="5"/>
      <c r="R405" s="5"/>
      <c r="S405" s="5"/>
    </row>
    <row r="406" spans="1:19" ht="15.75" customHeight="1" x14ac:dyDescent="0.2">
      <c r="A406" s="3">
        <v>46150</v>
      </c>
      <c r="B406" s="4" t="str">
        <f>IF(A406="","","PC-"&amp;TEXT(A406,"mm/yyyy")&amp;"-"&amp;TEXT(COUNTIFS($A$2:A406,"&gt;="&amp;EOMONTH(A406,-1)+1,$A$2:A406,"&lt;="&amp;EOMONTH(A406,0)),"000"))</f>
        <v>PC-05/2026-202</v>
      </c>
      <c r="C406" s="5" t="s">
        <v>1196</v>
      </c>
      <c r="D406" s="5" t="s">
        <v>29</v>
      </c>
      <c r="E406" s="5" t="s">
        <v>41</v>
      </c>
      <c r="F406" s="5"/>
      <c r="G406" s="5" t="s">
        <v>82</v>
      </c>
      <c r="H406" s="5" t="s">
        <v>23</v>
      </c>
      <c r="I406" s="6">
        <v>100000</v>
      </c>
      <c r="J406" s="6">
        <f>IF(D406="Thu",I406,0)</f>
        <v>0</v>
      </c>
      <c r="K406" s="6">
        <f>IF(D406="Chi",I406,0)</f>
        <v>100000</v>
      </c>
      <c r="L406" s="6" t="e">
        <f>L405+J406-K406</f>
        <v>#VALUE!</v>
      </c>
      <c r="M406" s="6">
        <f ca="1">IFERROR(__xludf.DUMMYFUNCTION("SUM(FILTER(J:J, H:H=""Tiền mặt"")) - SUM(FILTER(K:K, H:H=""Tiền mặt""))
"),959000)</f>
        <v>959000</v>
      </c>
      <c r="N406" s="6">
        <f ca="1">IFERROR(__xludf.DUMMYFUNCTION("SUM(FILTER(J:J, H:H=""Chuyển khoản"")) - SUM(FILTER(K:K, H:H=""Chuyển khoản""))
"),4468984)</f>
        <v>4468984</v>
      </c>
      <c r="O406" s="5"/>
      <c r="P406" s="5"/>
      <c r="Q406" s="5"/>
      <c r="R406" s="5"/>
      <c r="S406" s="5"/>
    </row>
    <row r="407" spans="1:19" ht="15.75" customHeight="1" x14ac:dyDescent="0.2">
      <c r="A407" s="3">
        <v>46150</v>
      </c>
      <c r="B407" s="4" t="str">
        <f>IF(A407="","","PC-"&amp;TEXT(A407,"mm/yyyy")&amp;"-"&amp;TEXT(COUNTIFS($A$2:A407,"&gt;="&amp;EOMONTH(A407,-1)+1,$A$2:A407,"&lt;="&amp;EOMONTH(A407,0)),"000"))</f>
        <v>PC-05/2026-203</v>
      </c>
      <c r="C407" s="5" t="s">
        <v>1197</v>
      </c>
      <c r="D407" s="5" t="s">
        <v>29</v>
      </c>
      <c r="E407" s="5" t="s">
        <v>61</v>
      </c>
      <c r="F407" s="5"/>
      <c r="G407" s="5" t="s">
        <v>52</v>
      </c>
      <c r="H407" s="5" t="s">
        <v>27</v>
      </c>
      <c r="I407" s="6">
        <v>200000</v>
      </c>
      <c r="J407" s="6">
        <f>IF(D407="Thu",I407,0)</f>
        <v>0</v>
      </c>
      <c r="K407" s="6">
        <f>IF(D407="Chi",I407,0)</f>
        <v>200000</v>
      </c>
      <c r="L407" s="6" t="e">
        <f>L406+J407-K407</f>
        <v>#VALUE!</v>
      </c>
      <c r="M407" s="6">
        <f ca="1">IFERROR(__xludf.DUMMYFUNCTION("SUM(FILTER(J:J, H:H=""Tiền mặt"")) - SUM(FILTER(K:K, H:H=""Tiền mặt""))
"),959000)</f>
        <v>959000</v>
      </c>
      <c r="N407" s="6">
        <f ca="1">IFERROR(__xludf.DUMMYFUNCTION("SUM(FILTER(J:J, H:H=""Chuyển khoản"")) - SUM(FILTER(K:K, H:H=""Chuyển khoản""))
"),4468984)</f>
        <v>4468984</v>
      </c>
      <c r="O407" s="5"/>
      <c r="P407" s="5"/>
      <c r="Q407" s="5"/>
      <c r="R407" s="5"/>
      <c r="S407" s="5"/>
    </row>
    <row r="408" spans="1:19" ht="15.75" customHeight="1" x14ac:dyDescent="0.2">
      <c r="A408" s="3">
        <v>46150</v>
      </c>
      <c r="B408" s="4" t="str">
        <f>IF(A408="","","PC-"&amp;TEXT(A408,"mm/yyyy")&amp;"-"&amp;TEXT(COUNTIFS($A$2:A408,"&gt;="&amp;EOMONTH(A408,-1)+1,$A$2:A408,"&lt;="&amp;EOMONTH(A408,0)),"000"))</f>
        <v>PC-05/2026-204</v>
      </c>
      <c r="C408" s="5" t="s">
        <v>1198</v>
      </c>
      <c r="D408" s="5" t="s">
        <v>29</v>
      </c>
      <c r="E408" s="5" t="s">
        <v>44</v>
      </c>
      <c r="F408" s="5"/>
      <c r="G408" s="5" t="s">
        <v>99</v>
      </c>
      <c r="H408" s="5" t="s">
        <v>23</v>
      </c>
      <c r="I408" s="6">
        <v>1500000</v>
      </c>
      <c r="J408" s="6">
        <f>IF(D408="Thu",I408,0)</f>
        <v>0</v>
      </c>
      <c r="K408" s="6">
        <f>IF(D408="Chi",I408,0)</f>
        <v>1500000</v>
      </c>
      <c r="L408" s="6" t="e">
        <f>L407+J408-K408</f>
        <v>#VALUE!</v>
      </c>
      <c r="M408" s="6">
        <f ca="1">IFERROR(__xludf.DUMMYFUNCTION("SUM(FILTER(J:J, H:H=""Tiền mặt"")) - SUM(FILTER(K:K, H:H=""Tiền mặt""))
"),959000)</f>
        <v>959000</v>
      </c>
      <c r="N408" s="6">
        <f ca="1">IFERROR(__xludf.DUMMYFUNCTION("SUM(FILTER(J:J, H:H=""Chuyển khoản"")) - SUM(FILTER(K:K, H:H=""Chuyển khoản""))
"),4468984)</f>
        <v>4468984</v>
      </c>
      <c r="O408" s="5"/>
      <c r="P408" s="5"/>
      <c r="Q408" s="5"/>
      <c r="R408" s="5"/>
      <c r="S408" s="5"/>
    </row>
    <row r="409" spans="1:19" ht="15.75" customHeight="1" x14ac:dyDescent="0.2">
      <c r="A409" s="3">
        <v>46150</v>
      </c>
      <c r="B409" s="4" t="str">
        <f>IF(A409="","","PC-"&amp;TEXT(A409,"mm/yyyy")&amp;"-"&amp;TEXT(COUNTIFS($A$2:A409,"&gt;="&amp;EOMONTH(A409,-1)+1,$A$2:A409,"&lt;="&amp;EOMONTH(A409,0)),"000"))</f>
        <v>PC-05/2026-205</v>
      </c>
      <c r="C409" s="5" t="s">
        <v>1199</v>
      </c>
      <c r="D409" s="5" t="s">
        <v>29</v>
      </c>
      <c r="E409" s="5" t="s">
        <v>41</v>
      </c>
      <c r="F409" s="5"/>
      <c r="G409" s="5" t="s">
        <v>42</v>
      </c>
      <c r="H409" s="5" t="s">
        <v>23</v>
      </c>
      <c r="I409" s="6">
        <v>100000</v>
      </c>
      <c r="J409" s="6">
        <f>IF(D409="Thu",I409,0)</f>
        <v>0</v>
      </c>
      <c r="K409" s="6">
        <f>IF(D409="Chi",I409,0)</f>
        <v>100000</v>
      </c>
      <c r="L409" s="6" t="e">
        <f>L408+J409-K409</f>
        <v>#VALUE!</v>
      </c>
      <c r="M409" s="6">
        <f ca="1">IFERROR(__xludf.DUMMYFUNCTION("SUM(FILTER(J:J, H:H=""Tiền mặt"")) - SUM(FILTER(K:K, H:H=""Tiền mặt""))
"),959000)</f>
        <v>959000</v>
      </c>
      <c r="N409" s="6">
        <f ca="1">IFERROR(__xludf.DUMMYFUNCTION("SUM(FILTER(J:J, H:H=""Chuyển khoản"")) - SUM(FILTER(K:K, H:H=""Chuyển khoản""))
"),4468984)</f>
        <v>4468984</v>
      </c>
      <c r="O409" s="5"/>
      <c r="P409" s="5"/>
      <c r="Q409" s="5"/>
      <c r="R409" s="5"/>
      <c r="S409" s="5"/>
    </row>
    <row r="410" spans="1:19" ht="15.75" customHeight="1" x14ac:dyDescent="0.2">
      <c r="A410" s="3">
        <v>46150</v>
      </c>
      <c r="B410" s="4" t="str">
        <f>IF(A410="","","PC-"&amp;TEXT(A410,"mm/yyyy")&amp;"-"&amp;TEXT(COUNTIFS($A$2:A410,"&gt;="&amp;EOMONTH(A410,-1)+1,$A$2:A410,"&lt;="&amp;EOMONTH(A410,0)),"000"))</f>
        <v>PC-05/2026-206</v>
      </c>
      <c r="C410" s="5" t="s">
        <v>1200</v>
      </c>
      <c r="D410" s="5" t="s">
        <v>29</v>
      </c>
      <c r="E410" s="5" t="s">
        <v>64</v>
      </c>
      <c r="F410" s="5"/>
      <c r="G410" s="5" t="s">
        <v>1201</v>
      </c>
      <c r="H410" s="5" t="s">
        <v>23</v>
      </c>
      <c r="I410" s="6">
        <v>3000000</v>
      </c>
      <c r="J410" s="6">
        <f>IF(D410="Thu",I410,0)</f>
        <v>0</v>
      </c>
      <c r="K410" s="6">
        <f>IF(D410="Chi",I410,0)</f>
        <v>3000000</v>
      </c>
      <c r="L410" s="6" t="e">
        <f>L409+J410-K410</f>
        <v>#VALUE!</v>
      </c>
      <c r="M410" s="6">
        <f ca="1">IFERROR(__xludf.DUMMYFUNCTION("SUM(FILTER(J:J, H:H=""Tiền mặt"")) - SUM(FILTER(K:K, H:H=""Tiền mặt""))
"),959000)</f>
        <v>959000</v>
      </c>
      <c r="N410" s="6">
        <f ca="1">IFERROR(__xludf.DUMMYFUNCTION("SUM(FILTER(J:J, H:H=""Chuyển khoản"")) - SUM(FILTER(K:K, H:H=""Chuyển khoản""))
"),4468984)</f>
        <v>4468984</v>
      </c>
      <c r="O410" s="5"/>
      <c r="P410" s="5"/>
      <c r="Q410" s="5"/>
      <c r="R410" s="5"/>
      <c r="S410" s="5"/>
    </row>
    <row r="411" spans="1:19" ht="15.75" customHeight="1" x14ac:dyDescent="0.2">
      <c r="A411" s="3">
        <v>46150</v>
      </c>
      <c r="B411" s="4" t="str">
        <f>IF(A411="","","PC-"&amp;TEXT(A411,"mm/yyyy")&amp;"-"&amp;TEXT(COUNTIFS($A$2:A411,"&gt;="&amp;EOMONTH(A411,-1)+1,$A$2:A411,"&lt;="&amp;EOMONTH(A411,0)),"000"))</f>
        <v>PC-05/2026-207</v>
      </c>
      <c r="C411" s="5" t="s">
        <v>1202</v>
      </c>
      <c r="D411" s="5" t="s">
        <v>29</v>
      </c>
      <c r="E411" s="5" t="s">
        <v>41</v>
      </c>
      <c r="F411" s="5"/>
      <c r="G411" s="5" t="s">
        <v>82</v>
      </c>
      <c r="H411" s="5" t="s">
        <v>23</v>
      </c>
      <c r="I411" s="6">
        <v>100000</v>
      </c>
      <c r="J411" s="6">
        <f>IF(D411="Thu",I411,0)</f>
        <v>0</v>
      </c>
      <c r="K411" s="6">
        <f>IF(D411="Chi",I411,0)</f>
        <v>100000</v>
      </c>
      <c r="L411" s="6" t="e">
        <f>L410+J411-K411</f>
        <v>#VALUE!</v>
      </c>
      <c r="M411" s="6">
        <f ca="1">IFERROR(__xludf.DUMMYFUNCTION("SUM(FILTER(J:J, H:H=""Tiền mặt"")) - SUM(FILTER(K:K, H:H=""Tiền mặt""))
"),959000)</f>
        <v>959000</v>
      </c>
      <c r="N411" s="6">
        <f ca="1">IFERROR(__xludf.DUMMYFUNCTION("SUM(FILTER(J:J, H:H=""Chuyển khoản"")) - SUM(FILTER(K:K, H:H=""Chuyển khoản""))
"),4468984)</f>
        <v>4468984</v>
      </c>
      <c r="O411" s="5"/>
      <c r="P411" s="5"/>
      <c r="Q411" s="5"/>
      <c r="R411" s="5"/>
      <c r="S411" s="5"/>
    </row>
    <row r="412" spans="1:19" ht="15.75" customHeight="1" x14ac:dyDescent="0.2">
      <c r="A412" s="3">
        <v>46150</v>
      </c>
      <c r="B412" s="4" t="str">
        <f>IF(A412="","","PC-"&amp;TEXT(A412,"mm/yyyy")&amp;"-"&amp;TEXT(COUNTIFS($A$2:A412,"&gt;="&amp;EOMONTH(A412,-1)+1,$A$2:A412,"&lt;="&amp;EOMONTH(A412,0)),"000"))</f>
        <v>PC-05/2026-208</v>
      </c>
      <c r="C412" s="5" t="s">
        <v>1203</v>
      </c>
      <c r="D412" s="5" t="s">
        <v>29</v>
      </c>
      <c r="E412" s="5" t="s">
        <v>30</v>
      </c>
      <c r="F412" s="5"/>
      <c r="G412" s="5" t="s">
        <v>1204</v>
      </c>
      <c r="H412" s="5" t="s">
        <v>27</v>
      </c>
      <c r="I412" s="6">
        <v>2777000</v>
      </c>
      <c r="J412" s="6">
        <f>IF(D412="Thu",I412,0)</f>
        <v>0</v>
      </c>
      <c r="K412" s="6">
        <f>IF(D412="Chi",I412,0)</f>
        <v>2777000</v>
      </c>
      <c r="L412" s="6" t="e">
        <f>L411+J412-K412</f>
        <v>#VALUE!</v>
      </c>
      <c r="M412" s="6">
        <f ca="1">IFERROR(__xludf.DUMMYFUNCTION("SUM(FILTER(J:J, H:H=""Tiền mặt"")) - SUM(FILTER(K:K, H:H=""Tiền mặt""))
"),959000)</f>
        <v>959000</v>
      </c>
      <c r="N412" s="6">
        <f ca="1">IFERROR(__xludf.DUMMYFUNCTION("SUM(FILTER(J:J, H:H=""Chuyển khoản"")) - SUM(FILTER(K:K, H:H=""Chuyển khoản""))
"),4468984)</f>
        <v>4468984</v>
      </c>
      <c r="O412" s="5"/>
      <c r="P412" s="5"/>
      <c r="Q412" s="5"/>
      <c r="R412" s="5"/>
      <c r="S412" s="5"/>
    </row>
    <row r="413" spans="1:19" ht="15.75" customHeight="1" x14ac:dyDescent="0.2">
      <c r="A413" s="3">
        <v>46149</v>
      </c>
      <c r="B413" s="4" t="str">
        <f>IF(A413="","","PC-"&amp;TEXT(A413,"mm/yyyy")&amp;"-"&amp;TEXT(COUNTIFS($A$2:A413,"&gt;="&amp;EOMONTH(A413,-1)+1,$A$2:A413,"&lt;="&amp;EOMONTH(A413,0)),"000"))</f>
        <v>PC-05/2026-209</v>
      </c>
      <c r="C413" s="7" t="s">
        <v>1158</v>
      </c>
      <c r="D413" s="5" t="s">
        <v>29</v>
      </c>
      <c r="E413" s="5" t="s">
        <v>41</v>
      </c>
      <c r="F413" s="5"/>
      <c r="G413" s="5" t="s">
        <v>82</v>
      </c>
      <c r="H413" s="5" t="s">
        <v>23</v>
      </c>
      <c r="I413" s="6">
        <v>100000</v>
      </c>
      <c r="J413" s="6">
        <f>IF(D413="Thu",I413,0)</f>
        <v>0</v>
      </c>
      <c r="K413" s="6">
        <f>IF(D413="Chi",I413,0)</f>
        <v>100000</v>
      </c>
      <c r="L413" s="6" t="e">
        <f>L412+J413-K413</f>
        <v>#VALUE!</v>
      </c>
      <c r="M413" s="6">
        <f ca="1">IFERROR(__xludf.DUMMYFUNCTION("SUM(FILTER(J:J, H:H=""Tiền mặt"")) - SUM(FILTER(K:K, H:H=""Tiền mặt""))
"),959000)</f>
        <v>959000</v>
      </c>
      <c r="N413" s="6">
        <f ca="1">IFERROR(__xludf.DUMMYFUNCTION("SUM(FILTER(J:J, H:H=""Chuyển khoản"")) - SUM(FILTER(K:K, H:H=""Chuyển khoản""))
"),4468984)</f>
        <v>4468984</v>
      </c>
      <c r="O413" s="5"/>
      <c r="P413" s="5"/>
      <c r="Q413" s="5"/>
      <c r="R413" s="5"/>
      <c r="S413" s="5"/>
    </row>
    <row r="414" spans="1:19" ht="15.75" customHeight="1" x14ac:dyDescent="0.2">
      <c r="A414" s="3">
        <v>46149</v>
      </c>
      <c r="B414" s="4" t="str">
        <f>IF(A414="","","PC-"&amp;TEXT(A414,"mm/yyyy")&amp;"-"&amp;TEXT(COUNTIFS($A$2:A414,"&gt;="&amp;EOMONTH(A414,-1)+1,$A$2:A414,"&lt;="&amp;EOMONTH(A414,0)),"000"))</f>
        <v>PC-05/2026-210</v>
      </c>
      <c r="C414" s="5" t="s">
        <v>1159</v>
      </c>
      <c r="D414" s="5" t="s">
        <v>29</v>
      </c>
      <c r="E414" s="5" t="s">
        <v>41</v>
      </c>
      <c r="F414" s="5"/>
      <c r="G414" s="5" t="s">
        <v>1160</v>
      </c>
      <c r="H414" s="5" t="s">
        <v>23</v>
      </c>
      <c r="I414" s="6">
        <v>100000</v>
      </c>
      <c r="J414" s="6">
        <f>IF(D414="Thu",I414,0)</f>
        <v>0</v>
      </c>
      <c r="K414" s="6">
        <f>IF(D414="Chi",I414,0)</f>
        <v>100000</v>
      </c>
      <c r="L414" s="6" t="e">
        <f>L413+J414-K414</f>
        <v>#VALUE!</v>
      </c>
      <c r="M414" s="6">
        <f ca="1">IFERROR(__xludf.DUMMYFUNCTION("SUM(FILTER(J:J, H:H=""Tiền mặt"")) - SUM(FILTER(K:K, H:H=""Tiền mặt""))
"),959000)</f>
        <v>959000</v>
      </c>
      <c r="N414" s="6">
        <f ca="1">IFERROR(__xludf.DUMMYFUNCTION("SUM(FILTER(J:J, H:H=""Chuyển khoản"")) - SUM(FILTER(K:K, H:H=""Chuyển khoản""))
"),4468984)</f>
        <v>4468984</v>
      </c>
      <c r="O414" s="5"/>
      <c r="P414" s="5"/>
      <c r="Q414" s="5"/>
      <c r="R414" s="5"/>
      <c r="S414" s="5"/>
    </row>
    <row r="415" spans="1:19" ht="15.75" customHeight="1" x14ac:dyDescent="0.2">
      <c r="A415" s="3">
        <v>46149</v>
      </c>
      <c r="B415" s="4" t="str">
        <f>IF(A415="","","PC-"&amp;TEXT(A415,"mm/yyyy")&amp;"-"&amp;TEXT(COUNTIFS($A$2:A415,"&gt;="&amp;EOMONTH(A415,-1)+1,$A$2:A415,"&lt;="&amp;EOMONTH(A415,0)),"000"))</f>
        <v>PC-05/2026-211</v>
      </c>
      <c r="C415" s="7" t="s">
        <v>1161</v>
      </c>
      <c r="D415" s="5" t="s">
        <v>29</v>
      </c>
      <c r="E415" s="5" t="s">
        <v>41</v>
      </c>
      <c r="F415" s="5"/>
      <c r="G415" s="5" t="s">
        <v>432</v>
      </c>
      <c r="H415" s="5" t="s">
        <v>23</v>
      </c>
      <c r="I415" s="6">
        <v>100000</v>
      </c>
      <c r="J415" s="6">
        <f>IF(D415="Thu",I415,0)</f>
        <v>0</v>
      </c>
      <c r="K415" s="6">
        <f>IF(D415="Chi",I415,0)</f>
        <v>100000</v>
      </c>
      <c r="L415" s="6" t="e">
        <f>L414+J415-K415</f>
        <v>#VALUE!</v>
      </c>
      <c r="M415" s="6">
        <f ca="1">IFERROR(__xludf.DUMMYFUNCTION("SUM(FILTER(J:J, H:H=""Tiền mặt"")) - SUM(FILTER(K:K, H:H=""Tiền mặt""))
"),959000)</f>
        <v>959000</v>
      </c>
      <c r="N415" s="6">
        <f ca="1">IFERROR(__xludf.DUMMYFUNCTION("SUM(FILTER(J:J, H:H=""Chuyển khoản"")) - SUM(FILTER(K:K, H:H=""Chuyển khoản""))
"),4468984)</f>
        <v>4468984</v>
      </c>
      <c r="O415" s="5"/>
      <c r="P415" s="5"/>
      <c r="Q415" s="5"/>
      <c r="R415" s="5"/>
      <c r="S415" s="5"/>
    </row>
    <row r="416" spans="1:19" ht="15.75" customHeight="1" x14ac:dyDescent="0.2">
      <c r="A416" s="3">
        <v>46149</v>
      </c>
      <c r="B416" s="4" t="str">
        <f>IF(A416="","","PC-"&amp;TEXT(A416,"mm/yyyy")&amp;"-"&amp;TEXT(COUNTIFS($A$2:A416,"&gt;="&amp;EOMONTH(A416,-1)+1,$A$2:A416,"&lt;="&amp;EOMONTH(A416,0)),"000"))</f>
        <v>PC-05/2026-212</v>
      </c>
      <c r="C416" s="5" t="s">
        <v>1162</v>
      </c>
      <c r="D416" s="5" t="s">
        <v>29</v>
      </c>
      <c r="E416" s="5" t="s">
        <v>41</v>
      </c>
      <c r="F416" s="5"/>
      <c r="G416" s="5" t="s">
        <v>1163</v>
      </c>
      <c r="H416" s="5" t="s">
        <v>23</v>
      </c>
      <c r="I416" s="6">
        <v>100000</v>
      </c>
      <c r="J416" s="6">
        <f>IF(D416="Thu",I416,0)</f>
        <v>0</v>
      </c>
      <c r="K416" s="6">
        <f>IF(D416="Chi",I416,0)</f>
        <v>100000</v>
      </c>
      <c r="L416" s="6" t="e">
        <f>L415+J416-K416</f>
        <v>#VALUE!</v>
      </c>
      <c r="M416" s="6">
        <f ca="1">IFERROR(__xludf.DUMMYFUNCTION("SUM(FILTER(J:J, H:H=""Tiền mặt"")) - SUM(FILTER(K:K, H:H=""Tiền mặt""))
"),959000)</f>
        <v>959000</v>
      </c>
      <c r="N416" s="6">
        <f ca="1">IFERROR(__xludf.DUMMYFUNCTION("SUM(FILTER(J:J, H:H=""Chuyển khoản"")) - SUM(FILTER(K:K, H:H=""Chuyển khoản""))
"),4468984)</f>
        <v>4468984</v>
      </c>
      <c r="O416" s="5"/>
      <c r="P416" s="5"/>
      <c r="Q416" s="5"/>
      <c r="R416" s="5"/>
      <c r="S416" s="5"/>
    </row>
    <row r="417" spans="1:19" ht="15.75" customHeight="1" x14ac:dyDescent="0.2">
      <c r="A417" s="3">
        <v>46149</v>
      </c>
      <c r="B417" s="4" t="str">
        <f>IF(A417="","","PC-"&amp;TEXT(A417,"mm/yyyy")&amp;"-"&amp;TEXT(COUNTIFS($A$2:A417,"&gt;="&amp;EOMONTH(A417,-1)+1,$A$2:A417,"&lt;="&amp;EOMONTH(A417,0)),"000"))</f>
        <v>PC-05/2026-213</v>
      </c>
      <c r="C417" s="5" t="s">
        <v>1164</v>
      </c>
      <c r="D417" s="5" t="s">
        <v>29</v>
      </c>
      <c r="E417" s="5" t="s">
        <v>41</v>
      </c>
      <c r="F417" s="5"/>
      <c r="G417" s="5" t="s">
        <v>1163</v>
      </c>
      <c r="H417" s="5" t="s">
        <v>23</v>
      </c>
      <c r="I417" s="6">
        <v>100000</v>
      </c>
      <c r="J417" s="6">
        <f>IF(D417="Thu",I417,0)</f>
        <v>0</v>
      </c>
      <c r="K417" s="6">
        <f>IF(D417="Chi",I417,0)</f>
        <v>100000</v>
      </c>
      <c r="L417" s="6" t="e">
        <f>L416+J417-K417</f>
        <v>#VALUE!</v>
      </c>
      <c r="M417" s="6">
        <f ca="1">IFERROR(__xludf.DUMMYFUNCTION("SUM(FILTER(J:J, H:H=""Tiền mặt"")) - SUM(FILTER(K:K, H:H=""Tiền mặt""))
"),959000)</f>
        <v>959000</v>
      </c>
      <c r="N417" s="6">
        <f ca="1">IFERROR(__xludf.DUMMYFUNCTION("SUM(FILTER(J:J, H:H=""Chuyển khoản"")) - SUM(FILTER(K:K, H:H=""Chuyển khoản""))
"),4468984)</f>
        <v>4468984</v>
      </c>
      <c r="O417" s="5"/>
      <c r="P417" s="5"/>
      <c r="Q417" s="5"/>
      <c r="R417" s="5"/>
      <c r="S417" s="5"/>
    </row>
    <row r="418" spans="1:19" ht="15.75" customHeight="1" x14ac:dyDescent="0.2">
      <c r="A418" s="3">
        <v>46149</v>
      </c>
      <c r="B418" s="4" t="str">
        <f>IF(A418="","","PC-"&amp;TEXT(A418,"mm/yyyy")&amp;"-"&amp;TEXT(COUNTIFS($A$2:A418,"&gt;="&amp;EOMONTH(A418,-1)+1,$A$2:A418,"&lt;="&amp;EOMONTH(A418,0)),"000"))</f>
        <v>PC-05/2026-214</v>
      </c>
      <c r="C418" s="5" t="s">
        <v>657</v>
      </c>
      <c r="D418" s="5" t="s">
        <v>29</v>
      </c>
      <c r="E418" s="5" t="s">
        <v>36</v>
      </c>
      <c r="F418" s="5"/>
      <c r="G418" s="5" t="s">
        <v>282</v>
      </c>
      <c r="H418" s="5" t="s">
        <v>27</v>
      </c>
      <c r="I418" s="6">
        <v>240000</v>
      </c>
      <c r="J418" s="6">
        <f>IF(D418="Thu",I418,0)</f>
        <v>0</v>
      </c>
      <c r="K418" s="6">
        <f>IF(D418="Chi",I418,0)</f>
        <v>240000</v>
      </c>
      <c r="L418" s="6" t="e">
        <f>L417+J418-K418</f>
        <v>#VALUE!</v>
      </c>
      <c r="M418" s="6">
        <f ca="1">IFERROR(__xludf.DUMMYFUNCTION("SUM(FILTER(J:J, H:H=""Tiền mặt"")) - SUM(FILTER(K:K, H:H=""Tiền mặt""))
"),959000)</f>
        <v>959000</v>
      </c>
      <c r="N418" s="6">
        <f ca="1">IFERROR(__xludf.DUMMYFUNCTION("SUM(FILTER(J:J, H:H=""Chuyển khoản"")) - SUM(FILTER(K:K, H:H=""Chuyển khoản""))
"),4468984)</f>
        <v>4468984</v>
      </c>
      <c r="O418" s="5"/>
      <c r="P418" s="5"/>
      <c r="Q418" s="5"/>
      <c r="R418" s="5"/>
      <c r="S418" s="5"/>
    </row>
    <row r="419" spans="1:19" ht="15.75" customHeight="1" x14ac:dyDescent="0.2">
      <c r="A419" s="3">
        <v>46149</v>
      </c>
      <c r="B419" s="4" t="str">
        <f>IF(A419="","","PC-"&amp;TEXT(A419,"mm/yyyy")&amp;"-"&amp;TEXT(COUNTIFS($A$2:A419,"&gt;="&amp;EOMONTH(A419,-1)+1,$A$2:A419,"&lt;="&amp;EOMONTH(A419,0)),"000"))</f>
        <v>PC-05/2026-215</v>
      </c>
      <c r="C419" s="5" t="s">
        <v>1165</v>
      </c>
      <c r="D419" s="5" t="s">
        <v>29</v>
      </c>
      <c r="E419" s="5" t="s">
        <v>78</v>
      </c>
      <c r="F419" s="5"/>
      <c r="G419" s="5" t="s">
        <v>72</v>
      </c>
      <c r="H419" s="5" t="s">
        <v>27</v>
      </c>
      <c r="I419" s="6">
        <v>825000</v>
      </c>
      <c r="J419" s="6">
        <f>IF(D419="Thu",I419,0)</f>
        <v>0</v>
      </c>
      <c r="K419" s="6">
        <f>IF(D419="Chi",I419,0)</f>
        <v>825000</v>
      </c>
      <c r="L419" s="6" t="e">
        <f>L418+J419-K419</f>
        <v>#VALUE!</v>
      </c>
      <c r="M419" s="6">
        <f ca="1">IFERROR(__xludf.DUMMYFUNCTION("SUM(FILTER(J:J, H:H=""Tiền mặt"")) - SUM(FILTER(K:K, H:H=""Tiền mặt""))
"),959000)</f>
        <v>959000</v>
      </c>
      <c r="N419" s="6">
        <f ca="1">IFERROR(__xludf.DUMMYFUNCTION("SUM(FILTER(J:J, H:H=""Chuyển khoản"")) - SUM(FILTER(K:K, H:H=""Chuyển khoản""))
"),4468984)</f>
        <v>4468984</v>
      </c>
      <c r="O419" s="5"/>
      <c r="P419" s="5"/>
      <c r="Q419" s="5"/>
      <c r="R419" s="5"/>
      <c r="S419" s="5"/>
    </row>
    <row r="420" spans="1:19" ht="15.75" customHeight="1" x14ac:dyDescent="0.2">
      <c r="A420" s="3">
        <v>46149</v>
      </c>
      <c r="B420" s="4" t="str">
        <f>IF(A420="","","PC-"&amp;TEXT(A420,"mm/yyyy")&amp;"-"&amp;TEXT(COUNTIFS($A$2:A420,"&gt;="&amp;EOMONTH(A420,-1)+1,$A$2:A420,"&lt;="&amp;EOMONTH(A420,0)),"000"))</f>
        <v>PC-05/2026-216</v>
      </c>
      <c r="C420" s="5" t="s">
        <v>1166</v>
      </c>
      <c r="D420" s="5" t="s">
        <v>29</v>
      </c>
      <c r="E420" s="5" t="s">
        <v>41</v>
      </c>
      <c r="F420" s="5"/>
      <c r="G420" s="5" t="s">
        <v>84</v>
      </c>
      <c r="H420" s="5" t="s">
        <v>23</v>
      </c>
      <c r="I420" s="6">
        <v>100000</v>
      </c>
      <c r="J420" s="6">
        <f>IF(D420="Thu",I420,0)</f>
        <v>0</v>
      </c>
      <c r="K420" s="6">
        <f>IF(D420="Chi",I420,0)</f>
        <v>100000</v>
      </c>
      <c r="L420" s="6" t="e">
        <f>L419+J420-K420</f>
        <v>#VALUE!</v>
      </c>
      <c r="M420" s="6">
        <f ca="1">IFERROR(__xludf.DUMMYFUNCTION("SUM(FILTER(J:J, H:H=""Tiền mặt"")) - SUM(FILTER(K:K, H:H=""Tiền mặt""))
"),959000)</f>
        <v>959000</v>
      </c>
      <c r="N420" s="6">
        <f ca="1">IFERROR(__xludf.DUMMYFUNCTION("SUM(FILTER(J:J, H:H=""Chuyển khoản"")) - SUM(FILTER(K:K, H:H=""Chuyển khoản""))
"),4468984)</f>
        <v>4468984</v>
      </c>
      <c r="O420" s="5"/>
      <c r="P420" s="5"/>
      <c r="Q420" s="5"/>
      <c r="R420" s="5"/>
      <c r="S420" s="5"/>
    </row>
    <row r="421" spans="1:19" ht="15.75" customHeight="1" x14ac:dyDescent="0.2">
      <c r="A421" s="3">
        <v>46149</v>
      </c>
      <c r="B421" s="4" t="str">
        <f>IF(A421="","","PC-"&amp;TEXT(A421,"mm/yyyy")&amp;"-"&amp;TEXT(COUNTIFS($A$2:A421,"&gt;="&amp;EOMONTH(A421,-1)+1,$A$2:A421,"&lt;="&amp;EOMONTH(A421,0)),"000"))</f>
        <v>PC-05/2026-217</v>
      </c>
      <c r="C421" s="5" t="s">
        <v>1167</v>
      </c>
      <c r="D421" s="5" t="s">
        <v>20</v>
      </c>
      <c r="E421" s="5" t="s">
        <v>21</v>
      </c>
      <c r="F421" s="5"/>
      <c r="G421" s="5" t="s">
        <v>22</v>
      </c>
      <c r="H421" s="5" t="s">
        <v>27</v>
      </c>
      <c r="I421" s="6">
        <v>10000000</v>
      </c>
      <c r="J421" s="6">
        <f>IF(D421="Thu",I421,0)</f>
        <v>10000000</v>
      </c>
      <c r="K421" s="6">
        <f>IF(D421="Chi",I421,0)</f>
        <v>0</v>
      </c>
      <c r="L421" s="6" t="e">
        <f>L420+J421-K421</f>
        <v>#VALUE!</v>
      </c>
      <c r="M421" s="6">
        <f ca="1">IFERROR(__xludf.DUMMYFUNCTION("SUM(FILTER(J:J, H:H=""Tiền mặt"")) - SUM(FILTER(K:K, H:H=""Tiền mặt""))
"),959000)</f>
        <v>959000</v>
      </c>
      <c r="N421" s="6">
        <f ca="1">IFERROR(__xludf.DUMMYFUNCTION("SUM(FILTER(J:J, H:H=""Chuyển khoản"")) - SUM(FILTER(K:K, H:H=""Chuyển khoản""))
"),4468984)</f>
        <v>4468984</v>
      </c>
      <c r="O421" s="5"/>
      <c r="P421" s="5"/>
      <c r="Q421" s="5"/>
      <c r="R421" s="5"/>
      <c r="S421" s="5"/>
    </row>
    <row r="422" spans="1:19" ht="15.75" customHeight="1" x14ac:dyDescent="0.2">
      <c r="A422" s="3">
        <v>46149</v>
      </c>
      <c r="B422" s="4" t="str">
        <f>IF(A422="","","PC-"&amp;TEXT(A422,"mm/yyyy")&amp;"-"&amp;TEXT(COUNTIFS($A$2:A422,"&gt;="&amp;EOMONTH(A422,-1)+1,$A$2:A422,"&lt;="&amp;EOMONTH(A422,0)),"000"))</f>
        <v>PC-05/2026-218</v>
      </c>
      <c r="C422" s="5" t="s">
        <v>1168</v>
      </c>
      <c r="D422" s="5" t="s">
        <v>29</v>
      </c>
      <c r="E422" s="5" t="s">
        <v>141</v>
      </c>
      <c r="F422" s="5"/>
      <c r="G422" s="5" t="s">
        <v>52</v>
      </c>
      <c r="H422" s="5" t="s">
        <v>27</v>
      </c>
      <c r="I422" s="6">
        <v>1710000</v>
      </c>
      <c r="J422" s="6">
        <f>IF(D422="Thu",I422,0)</f>
        <v>0</v>
      </c>
      <c r="K422" s="6">
        <f>IF(D422="Chi",I422,0)</f>
        <v>1710000</v>
      </c>
      <c r="L422" s="6" t="e">
        <f>L421+J422-K422</f>
        <v>#VALUE!</v>
      </c>
      <c r="M422" s="6">
        <f ca="1">IFERROR(__xludf.DUMMYFUNCTION("SUM(FILTER(J:J, H:H=""Tiền mặt"")) - SUM(FILTER(K:K, H:H=""Tiền mặt""))
"),959000)</f>
        <v>959000</v>
      </c>
      <c r="N422" s="6">
        <f ca="1">IFERROR(__xludf.DUMMYFUNCTION("SUM(FILTER(J:J, H:H=""Chuyển khoản"")) - SUM(FILTER(K:K, H:H=""Chuyển khoản""))
"),4468984)</f>
        <v>4468984</v>
      </c>
      <c r="O422" s="5"/>
      <c r="P422" s="5"/>
      <c r="Q422" s="5"/>
      <c r="R422" s="5"/>
      <c r="S422" s="5"/>
    </row>
    <row r="423" spans="1:19" ht="15.75" customHeight="1" x14ac:dyDescent="0.2">
      <c r="A423" s="3">
        <v>46149</v>
      </c>
      <c r="B423" s="4" t="str">
        <f>IF(A423="","","PC-"&amp;TEXT(A423,"mm/yyyy")&amp;"-"&amp;TEXT(COUNTIFS($A$2:A423,"&gt;="&amp;EOMONTH(A423,-1)+1,$A$2:A423,"&lt;="&amp;EOMONTH(A423,0)),"000"))</f>
        <v>PC-05/2026-219</v>
      </c>
      <c r="C423" s="5" t="s">
        <v>1169</v>
      </c>
      <c r="D423" s="5" t="s">
        <v>29</v>
      </c>
      <c r="E423" s="5" t="s">
        <v>71</v>
      </c>
      <c r="F423" s="5"/>
      <c r="G423" s="5" t="s">
        <v>571</v>
      </c>
      <c r="H423" s="5" t="s">
        <v>27</v>
      </c>
      <c r="I423" s="6">
        <v>100000</v>
      </c>
      <c r="J423" s="6">
        <f>IF(D423="Thu",I423,0)</f>
        <v>0</v>
      </c>
      <c r="K423" s="6">
        <f>IF(D423="Chi",I423,0)</f>
        <v>100000</v>
      </c>
      <c r="L423" s="6" t="e">
        <f>L422+J423-K423</f>
        <v>#VALUE!</v>
      </c>
      <c r="M423" s="6">
        <f ca="1">IFERROR(__xludf.DUMMYFUNCTION("SUM(FILTER(J:J, H:H=""Tiền mặt"")) - SUM(FILTER(K:K, H:H=""Tiền mặt""))
"),959000)</f>
        <v>959000</v>
      </c>
      <c r="N423" s="6">
        <f ca="1">IFERROR(__xludf.DUMMYFUNCTION("SUM(FILTER(J:J, H:H=""Chuyển khoản"")) - SUM(FILTER(K:K, H:H=""Chuyển khoản""))
"),4468984)</f>
        <v>4468984</v>
      </c>
      <c r="O423" s="5"/>
      <c r="P423" s="5"/>
      <c r="Q423" s="5"/>
      <c r="R423" s="5"/>
      <c r="S423" s="5"/>
    </row>
    <row r="424" spans="1:19" ht="15.75" customHeight="1" x14ac:dyDescent="0.2">
      <c r="A424" s="3">
        <v>46149</v>
      </c>
      <c r="B424" s="4" t="str">
        <f>IF(A424="","","PC-"&amp;TEXT(A424,"mm/yyyy")&amp;"-"&amp;TEXT(COUNTIFS($A$2:A424,"&gt;="&amp;EOMONTH(A424,-1)+1,$A$2:A424,"&lt;="&amp;EOMONTH(A424,0)),"000"))</f>
        <v>PC-05/2026-220</v>
      </c>
      <c r="C424" s="5" t="s">
        <v>1170</v>
      </c>
      <c r="D424" s="5" t="s">
        <v>29</v>
      </c>
      <c r="E424" s="5" t="s">
        <v>71</v>
      </c>
      <c r="F424" s="5"/>
      <c r="G424" s="5" t="s">
        <v>219</v>
      </c>
      <c r="H424" s="5" t="s">
        <v>27</v>
      </c>
      <c r="I424" s="6">
        <v>80000</v>
      </c>
      <c r="J424" s="6">
        <f>IF(D424="Thu",I424,0)</f>
        <v>0</v>
      </c>
      <c r="K424" s="6">
        <f>IF(D424="Chi",I424,0)</f>
        <v>80000</v>
      </c>
      <c r="L424" s="6" t="e">
        <f>L423+J424-K424</f>
        <v>#VALUE!</v>
      </c>
      <c r="M424" s="6">
        <f ca="1">IFERROR(__xludf.DUMMYFUNCTION("SUM(FILTER(J:J, H:H=""Tiền mặt"")) - SUM(FILTER(K:K, H:H=""Tiền mặt""))
"),959000)</f>
        <v>959000</v>
      </c>
      <c r="N424" s="6">
        <f ca="1">IFERROR(__xludf.DUMMYFUNCTION("SUM(FILTER(J:J, H:H=""Chuyển khoản"")) - SUM(FILTER(K:K, H:H=""Chuyển khoản""))
"),4468984)</f>
        <v>4468984</v>
      </c>
      <c r="O424" s="5"/>
      <c r="P424" s="5"/>
      <c r="Q424" s="5"/>
      <c r="R424" s="5"/>
      <c r="S424" s="5"/>
    </row>
    <row r="425" spans="1:19" ht="15.75" customHeight="1" x14ac:dyDescent="0.2">
      <c r="A425" s="3">
        <v>46149</v>
      </c>
      <c r="B425" s="4" t="str">
        <f>IF(A425="","","PC-"&amp;TEXT(A425,"mm/yyyy")&amp;"-"&amp;TEXT(COUNTIFS($A$2:A425,"&gt;="&amp;EOMONTH(A425,-1)+1,$A$2:A425,"&lt;="&amp;EOMONTH(A425,0)),"000"))</f>
        <v>PC-05/2026-221</v>
      </c>
      <c r="C425" s="5" t="s">
        <v>417</v>
      </c>
      <c r="D425" s="5" t="s">
        <v>29</v>
      </c>
      <c r="E425" s="5" t="s">
        <v>36</v>
      </c>
      <c r="F425" s="5"/>
      <c r="G425" s="5" t="s">
        <v>37</v>
      </c>
      <c r="H425" s="5" t="s">
        <v>23</v>
      </c>
      <c r="I425" s="6">
        <v>120000</v>
      </c>
      <c r="J425" s="6">
        <f>IF(D425="Thu",I425,0)</f>
        <v>0</v>
      </c>
      <c r="K425" s="6">
        <f>IF(D425="Chi",I425,0)</f>
        <v>120000</v>
      </c>
      <c r="L425" s="6" t="e">
        <f>L424+J425-K425</f>
        <v>#VALUE!</v>
      </c>
      <c r="M425" s="6">
        <f ca="1">IFERROR(__xludf.DUMMYFUNCTION("SUM(FILTER(J:J, H:H=""Tiền mặt"")) - SUM(FILTER(K:K, H:H=""Tiền mặt""))
"),959000)</f>
        <v>959000</v>
      </c>
      <c r="N425" s="6">
        <f ca="1">IFERROR(__xludf.DUMMYFUNCTION("SUM(FILTER(J:J, H:H=""Chuyển khoản"")) - SUM(FILTER(K:K, H:H=""Chuyển khoản""))
"),4468984)</f>
        <v>4468984</v>
      </c>
      <c r="O425" s="5"/>
      <c r="P425" s="5"/>
      <c r="Q425" s="5"/>
      <c r="R425" s="5"/>
      <c r="S425" s="5"/>
    </row>
    <row r="426" spans="1:19" ht="15.75" customHeight="1" x14ac:dyDescent="0.2">
      <c r="A426" s="3">
        <v>46149</v>
      </c>
      <c r="B426" s="4" t="str">
        <f>IF(A426="","","PC-"&amp;TEXT(A426,"mm/yyyy")&amp;"-"&amp;TEXT(COUNTIFS($A$2:A426,"&gt;="&amp;EOMONTH(A426,-1)+1,$A$2:A426,"&lt;="&amp;EOMONTH(A426,0)),"000"))</f>
        <v>PC-05/2026-222</v>
      </c>
      <c r="C426" s="5" t="s">
        <v>1171</v>
      </c>
      <c r="D426" s="5" t="s">
        <v>29</v>
      </c>
      <c r="E426" s="5" t="s">
        <v>41</v>
      </c>
      <c r="F426" s="5"/>
      <c r="G426" s="5" t="s">
        <v>82</v>
      </c>
      <c r="H426" s="5" t="s">
        <v>23</v>
      </c>
      <c r="I426" s="6">
        <v>100000</v>
      </c>
      <c r="J426" s="6">
        <f>IF(D426="Thu",I426,0)</f>
        <v>0</v>
      </c>
      <c r="K426" s="6">
        <f>IF(D426="Chi",I426,0)</f>
        <v>100000</v>
      </c>
      <c r="L426" s="6" t="e">
        <f>L425+J426-K426</f>
        <v>#VALUE!</v>
      </c>
      <c r="M426" s="6">
        <f ca="1">IFERROR(__xludf.DUMMYFUNCTION("SUM(FILTER(J:J, H:H=""Tiền mặt"")) - SUM(FILTER(K:K, H:H=""Tiền mặt""))
"),959000)</f>
        <v>959000</v>
      </c>
      <c r="N426" s="6">
        <f ca="1">IFERROR(__xludf.DUMMYFUNCTION("SUM(FILTER(J:J, H:H=""Chuyển khoản"")) - SUM(FILTER(K:K, H:H=""Chuyển khoản""))
"),4468984)</f>
        <v>4468984</v>
      </c>
      <c r="O426" s="5"/>
      <c r="P426" s="5"/>
      <c r="Q426" s="5"/>
      <c r="R426" s="5"/>
      <c r="S426" s="5"/>
    </row>
    <row r="427" spans="1:19" ht="15.75" customHeight="1" x14ac:dyDescent="0.2">
      <c r="A427" s="3">
        <v>46149</v>
      </c>
      <c r="B427" s="4" t="str">
        <f>IF(A427="","","PC-"&amp;TEXT(A427,"mm/yyyy")&amp;"-"&amp;TEXT(COUNTIFS($A$2:A427,"&gt;="&amp;EOMONTH(A427,-1)+1,$A$2:A427,"&lt;="&amp;EOMONTH(A427,0)),"000"))</f>
        <v>PC-05/2026-223</v>
      </c>
      <c r="C427" s="5" t="s">
        <v>1172</v>
      </c>
      <c r="D427" s="5" t="s">
        <v>29</v>
      </c>
      <c r="E427" s="5" t="s">
        <v>41</v>
      </c>
      <c r="F427" s="5"/>
      <c r="G427" s="5" t="s">
        <v>82</v>
      </c>
      <c r="H427" s="5" t="s">
        <v>23</v>
      </c>
      <c r="I427" s="6">
        <v>100000</v>
      </c>
      <c r="J427" s="6">
        <f>IF(D427="Thu",I427,0)</f>
        <v>0</v>
      </c>
      <c r="K427" s="6">
        <f>IF(D427="Chi",I427,0)</f>
        <v>100000</v>
      </c>
      <c r="L427" s="6" t="e">
        <f>L426+J427-K427</f>
        <v>#VALUE!</v>
      </c>
      <c r="M427" s="6">
        <f ca="1">IFERROR(__xludf.DUMMYFUNCTION("SUM(FILTER(J:J, H:H=""Tiền mặt"")) - SUM(FILTER(K:K, H:H=""Tiền mặt""))
"),959000)</f>
        <v>959000</v>
      </c>
      <c r="N427" s="6">
        <f ca="1">IFERROR(__xludf.DUMMYFUNCTION("SUM(FILTER(J:J, H:H=""Chuyển khoản"")) - SUM(FILTER(K:K, H:H=""Chuyển khoản""))
"),4468984)</f>
        <v>4468984</v>
      </c>
      <c r="O427" s="5"/>
      <c r="P427" s="5"/>
      <c r="Q427" s="5"/>
      <c r="R427" s="5"/>
      <c r="S427" s="5"/>
    </row>
    <row r="428" spans="1:19" ht="15.75" customHeight="1" x14ac:dyDescent="0.2">
      <c r="A428" s="3">
        <v>46149</v>
      </c>
      <c r="B428" s="4" t="str">
        <f>IF(A428="","","PC-"&amp;TEXT(A428,"mm/yyyy")&amp;"-"&amp;TEXT(COUNTIFS($A$2:A428,"&gt;="&amp;EOMONTH(A428,-1)+1,$A$2:A428,"&lt;="&amp;EOMONTH(A428,0)),"000"))</f>
        <v>PC-05/2026-224</v>
      </c>
      <c r="C428" s="5" t="s">
        <v>1173</v>
      </c>
      <c r="D428" s="5" t="s">
        <v>20</v>
      </c>
      <c r="E428" s="5" t="s">
        <v>21</v>
      </c>
      <c r="F428" s="5"/>
      <c r="G428" s="5" t="s">
        <v>22</v>
      </c>
      <c r="H428" s="5" t="s">
        <v>23</v>
      </c>
      <c r="I428" s="6">
        <v>15000000</v>
      </c>
      <c r="J428" s="6">
        <f>IF(D428="Thu",I428,0)</f>
        <v>15000000</v>
      </c>
      <c r="K428" s="6">
        <f>IF(D428="Chi",I428,0)</f>
        <v>0</v>
      </c>
      <c r="L428" s="6" t="e">
        <f>L427+J428-K428</f>
        <v>#VALUE!</v>
      </c>
      <c r="M428" s="6">
        <f ca="1">IFERROR(__xludf.DUMMYFUNCTION("SUM(FILTER(J:J, H:H=""Tiền mặt"")) - SUM(FILTER(K:K, H:H=""Tiền mặt""))
"),959000)</f>
        <v>959000</v>
      </c>
      <c r="N428" s="6">
        <f ca="1">IFERROR(__xludf.DUMMYFUNCTION("SUM(FILTER(J:J, H:H=""Chuyển khoản"")) - SUM(FILTER(K:K, H:H=""Chuyển khoản""))
"),4468984)</f>
        <v>4468984</v>
      </c>
      <c r="O428" s="5"/>
      <c r="P428" s="5"/>
      <c r="Q428" s="5"/>
      <c r="R428" s="5"/>
      <c r="S428" s="5"/>
    </row>
    <row r="429" spans="1:19" ht="15.75" customHeight="1" x14ac:dyDescent="0.2">
      <c r="A429" s="3">
        <v>46149</v>
      </c>
      <c r="B429" s="4" t="str">
        <f>IF(A429="","","PC-"&amp;TEXT(A429,"mm/yyyy")&amp;"-"&amp;TEXT(COUNTIFS($A$2:A429,"&gt;="&amp;EOMONTH(A429,-1)+1,$A$2:A429,"&lt;="&amp;EOMONTH(A429,0)),"000"))</f>
        <v>PC-05/2026-225</v>
      </c>
      <c r="C429" s="5" t="s">
        <v>1174</v>
      </c>
      <c r="D429" s="5" t="s">
        <v>29</v>
      </c>
      <c r="E429" s="5" t="s">
        <v>30</v>
      </c>
      <c r="F429" s="5"/>
      <c r="G429" s="5" t="s">
        <v>1175</v>
      </c>
      <c r="H429" s="5" t="s">
        <v>27</v>
      </c>
      <c r="I429" s="6">
        <v>2355000</v>
      </c>
      <c r="J429" s="6">
        <f>IF(D429="Thu",I429,0)</f>
        <v>0</v>
      </c>
      <c r="K429" s="6">
        <f>IF(D429="Chi",I429,0)</f>
        <v>2355000</v>
      </c>
      <c r="L429" s="6" t="e">
        <f>L428+J429-K429</f>
        <v>#VALUE!</v>
      </c>
      <c r="M429" s="6">
        <f ca="1">IFERROR(__xludf.DUMMYFUNCTION("SUM(FILTER(J:J, H:H=""Tiền mặt"")) - SUM(FILTER(K:K, H:H=""Tiền mặt""))
"),959000)</f>
        <v>959000</v>
      </c>
      <c r="N429" s="6">
        <f ca="1">IFERROR(__xludf.DUMMYFUNCTION("SUM(FILTER(J:J, H:H=""Chuyển khoản"")) - SUM(FILTER(K:K, H:H=""Chuyển khoản""))
"),4468984)</f>
        <v>4468984</v>
      </c>
      <c r="O429" s="5"/>
      <c r="P429" s="5"/>
      <c r="Q429" s="5"/>
      <c r="R429" s="5"/>
      <c r="S429" s="5"/>
    </row>
    <row r="430" spans="1:19" ht="15.75" customHeight="1" x14ac:dyDescent="0.2">
      <c r="A430" s="3">
        <v>46149</v>
      </c>
      <c r="B430" s="4" t="str">
        <f>IF(A430="","","PC-"&amp;TEXT(A430,"mm/yyyy")&amp;"-"&amp;TEXT(COUNTIFS($A$2:A430,"&gt;="&amp;EOMONTH(A430,-1)+1,$A$2:A430,"&lt;="&amp;EOMONTH(A430,0)),"000"))</f>
        <v>PC-05/2026-226</v>
      </c>
      <c r="C430" s="5" t="s">
        <v>1176</v>
      </c>
      <c r="D430" s="5" t="s">
        <v>29</v>
      </c>
      <c r="E430" s="5" t="s">
        <v>41</v>
      </c>
      <c r="F430" s="5"/>
      <c r="G430" s="5" t="s">
        <v>482</v>
      </c>
      <c r="H430" s="5" t="s">
        <v>23</v>
      </c>
      <c r="I430" s="6">
        <v>300000</v>
      </c>
      <c r="J430" s="6">
        <f>IF(D430="Thu",I430,0)</f>
        <v>0</v>
      </c>
      <c r="K430" s="6">
        <f>IF(D430="Chi",I430,0)</f>
        <v>300000</v>
      </c>
      <c r="L430" s="6" t="e">
        <f>L429+J430-K430</f>
        <v>#VALUE!</v>
      </c>
      <c r="M430" s="6">
        <f ca="1">IFERROR(__xludf.DUMMYFUNCTION("SUM(FILTER(J:J, H:H=""Tiền mặt"")) - SUM(FILTER(K:K, H:H=""Tiền mặt""))
"),959000)</f>
        <v>959000</v>
      </c>
      <c r="N430" s="6">
        <f ca="1">IFERROR(__xludf.DUMMYFUNCTION("SUM(FILTER(J:J, H:H=""Chuyển khoản"")) - SUM(FILTER(K:K, H:H=""Chuyển khoản""))
"),4468984)</f>
        <v>4468984</v>
      </c>
      <c r="O430" s="5"/>
      <c r="P430" s="5"/>
      <c r="Q430" s="5"/>
      <c r="R430" s="5"/>
      <c r="S430" s="5"/>
    </row>
    <row r="431" spans="1:19" ht="15.75" customHeight="1" x14ac:dyDescent="0.2">
      <c r="A431" s="3">
        <v>46149</v>
      </c>
      <c r="B431" s="4" t="str">
        <f>IF(A431="","","PC-"&amp;TEXT(A431,"mm/yyyy")&amp;"-"&amp;TEXT(COUNTIFS($A$2:A431,"&gt;="&amp;EOMONTH(A431,-1)+1,$A$2:A431,"&lt;="&amp;EOMONTH(A431,0)),"000"))</f>
        <v>PC-05/2026-227</v>
      </c>
      <c r="C431" s="5" t="s">
        <v>1177</v>
      </c>
      <c r="D431" s="5" t="s">
        <v>29</v>
      </c>
      <c r="E431" s="5" t="s">
        <v>88</v>
      </c>
      <c r="F431" s="5"/>
      <c r="G431" s="5" t="s">
        <v>571</v>
      </c>
      <c r="H431" s="5" t="s">
        <v>23</v>
      </c>
      <c r="I431" s="6">
        <v>63000</v>
      </c>
      <c r="J431" s="6">
        <f>IF(D431="Thu",I431,0)</f>
        <v>0</v>
      </c>
      <c r="K431" s="6">
        <f>IF(D431="Chi",I431,0)</f>
        <v>63000</v>
      </c>
      <c r="L431" s="6" t="e">
        <f>L430+J431-K431</f>
        <v>#VALUE!</v>
      </c>
      <c r="M431" s="6">
        <f ca="1">IFERROR(__xludf.DUMMYFUNCTION("SUM(FILTER(J:J, H:H=""Tiền mặt"")) - SUM(FILTER(K:K, H:H=""Tiền mặt""))
"),959000)</f>
        <v>959000</v>
      </c>
      <c r="N431" s="6">
        <f ca="1">IFERROR(__xludf.DUMMYFUNCTION("SUM(FILTER(J:J, H:H=""Chuyển khoản"")) - SUM(FILTER(K:K, H:H=""Chuyển khoản""))
"),4468984)</f>
        <v>4468984</v>
      </c>
      <c r="O431" s="5"/>
      <c r="P431" s="5"/>
      <c r="Q431" s="5"/>
      <c r="R431" s="5"/>
      <c r="S431" s="5"/>
    </row>
    <row r="432" spans="1:19" ht="15.75" customHeight="1" x14ac:dyDescent="0.2">
      <c r="A432" s="3">
        <v>46149</v>
      </c>
      <c r="B432" s="4" t="str">
        <f>IF(A432="","","PC-"&amp;TEXT(A432,"mm/yyyy")&amp;"-"&amp;TEXT(COUNTIFS($A$2:A432,"&gt;="&amp;EOMONTH(A432,-1)+1,$A$2:A432,"&lt;="&amp;EOMONTH(A432,0)),"000"))</f>
        <v>PC-05/2026-228</v>
      </c>
      <c r="C432" s="5" t="s">
        <v>1178</v>
      </c>
      <c r="D432" s="5" t="s">
        <v>29</v>
      </c>
      <c r="E432" s="5" t="s">
        <v>41</v>
      </c>
      <c r="F432" s="5"/>
      <c r="G432" s="5" t="s">
        <v>1179</v>
      </c>
      <c r="H432" s="5" t="s">
        <v>23</v>
      </c>
      <c r="I432" s="6">
        <v>200000</v>
      </c>
      <c r="J432" s="6">
        <f>IF(D432="Thu",I432,0)</f>
        <v>0</v>
      </c>
      <c r="K432" s="6">
        <f>IF(D432="Chi",I432,0)</f>
        <v>200000</v>
      </c>
      <c r="L432" s="6" t="e">
        <f>L431+J432-K432</f>
        <v>#VALUE!</v>
      </c>
      <c r="M432" s="6">
        <f ca="1">IFERROR(__xludf.DUMMYFUNCTION("SUM(FILTER(J:J, H:H=""Tiền mặt"")) - SUM(FILTER(K:K, H:H=""Tiền mặt""))
"),959000)</f>
        <v>959000</v>
      </c>
      <c r="N432" s="6">
        <f ca="1">IFERROR(__xludf.DUMMYFUNCTION("SUM(FILTER(J:J, H:H=""Chuyển khoản"")) - SUM(FILTER(K:K, H:H=""Chuyển khoản""))
"),4468984)</f>
        <v>4468984</v>
      </c>
      <c r="O432" s="5"/>
      <c r="P432" s="5"/>
      <c r="Q432" s="5"/>
      <c r="R432" s="5"/>
      <c r="S432" s="5"/>
    </row>
    <row r="433" spans="1:19" ht="15.75" customHeight="1" x14ac:dyDescent="0.2">
      <c r="A433" s="3">
        <v>46149</v>
      </c>
      <c r="B433" s="4" t="str">
        <f>IF(A433="","","PC-"&amp;TEXT(A433,"mm/yyyy")&amp;"-"&amp;TEXT(COUNTIFS($A$2:A433,"&gt;="&amp;EOMONTH(A433,-1)+1,$A$2:A433,"&lt;="&amp;EOMONTH(A433,0)),"000"))</f>
        <v>PC-05/2026-229</v>
      </c>
      <c r="C433" s="5" t="s">
        <v>1180</v>
      </c>
      <c r="D433" s="5" t="s">
        <v>29</v>
      </c>
      <c r="E433" s="5" t="s">
        <v>41</v>
      </c>
      <c r="F433" s="5"/>
      <c r="G433" s="5" t="s">
        <v>22</v>
      </c>
      <c r="H433" s="5" t="s">
        <v>23</v>
      </c>
      <c r="I433" s="6">
        <v>0</v>
      </c>
      <c r="J433" s="6">
        <f>IF(D433="Thu",I433,0)</f>
        <v>0</v>
      </c>
      <c r="K433" s="6">
        <f>IF(D433="Chi",I433,0)</f>
        <v>0</v>
      </c>
      <c r="L433" s="6" t="e">
        <f>L432+J433-K433</f>
        <v>#VALUE!</v>
      </c>
      <c r="M433" s="6">
        <f ca="1">IFERROR(__xludf.DUMMYFUNCTION("SUM(FILTER(J:J, H:H=""Tiền mặt"")) - SUM(FILTER(K:K, H:H=""Tiền mặt""))
"),959000)</f>
        <v>959000</v>
      </c>
      <c r="N433" s="6">
        <f ca="1">IFERROR(__xludf.DUMMYFUNCTION("SUM(FILTER(J:J, H:H=""Chuyển khoản"")) - SUM(FILTER(K:K, H:H=""Chuyển khoản""))
"),4468984)</f>
        <v>4468984</v>
      </c>
      <c r="O433" s="5"/>
      <c r="P433" s="5"/>
      <c r="Q433" s="5"/>
      <c r="R433" s="5"/>
      <c r="S433" s="5"/>
    </row>
    <row r="434" spans="1:19" ht="15.75" customHeight="1" x14ac:dyDescent="0.2">
      <c r="A434" s="3">
        <v>46149</v>
      </c>
      <c r="B434" s="4" t="str">
        <f>IF(A434="","","PC-"&amp;TEXT(A434,"mm/yyyy")&amp;"-"&amp;TEXT(COUNTIFS($A$2:A434,"&gt;="&amp;EOMONTH(A434,-1)+1,$A$2:A434,"&lt;="&amp;EOMONTH(A434,0)),"000"))</f>
        <v>PC-05/2026-230</v>
      </c>
      <c r="C434" s="5" t="s">
        <v>1181</v>
      </c>
      <c r="D434" s="5" t="s">
        <v>29</v>
      </c>
      <c r="E434" s="5" t="s">
        <v>41</v>
      </c>
      <c r="F434" s="5"/>
      <c r="G434" s="5" t="s">
        <v>22</v>
      </c>
      <c r="H434" s="5" t="s">
        <v>23</v>
      </c>
      <c r="I434" s="6">
        <v>0</v>
      </c>
      <c r="J434" s="6">
        <f>IF(D434="Thu",I434,0)</f>
        <v>0</v>
      </c>
      <c r="K434" s="6">
        <f>IF(D434="Chi",I434,0)</f>
        <v>0</v>
      </c>
      <c r="L434" s="6" t="e">
        <f>L433+J434-K434</f>
        <v>#VALUE!</v>
      </c>
      <c r="M434" s="6">
        <f ca="1">IFERROR(__xludf.DUMMYFUNCTION("SUM(FILTER(J:J, H:H=""Tiền mặt"")) - SUM(FILTER(K:K, H:H=""Tiền mặt""))
"),959000)</f>
        <v>959000</v>
      </c>
      <c r="N434" s="6">
        <f ca="1">IFERROR(__xludf.DUMMYFUNCTION("SUM(FILTER(J:J, H:H=""Chuyển khoản"")) - SUM(FILTER(K:K, H:H=""Chuyển khoản""))
"),4468984)</f>
        <v>4468984</v>
      </c>
      <c r="O434" s="5"/>
      <c r="P434" s="5"/>
      <c r="Q434" s="5"/>
      <c r="R434" s="5"/>
      <c r="S434" s="5"/>
    </row>
    <row r="435" spans="1:19" ht="15.75" customHeight="1" x14ac:dyDescent="0.2">
      <c r="A435" s="3">
        <v>46149</v>
      </c>
      <c r="B435" s="4" t="str">
        <f>IF(A435="","","PC-"&amp;TEXT(A435,"mm/yyyy")&amp;"-"&amp;TEXT(COUNTIFS($A$2:A435,"&gt;="&amp;EOMONTH(A435,-1)+1,$A$2:A435,"&lt;="&amp;EOMONTH(A435,0)),"000"))</f>
        <v>PC-05/2026-231</v>
      </c>
      <c r="C435" s="5" t="s">
        <v>1182</v>
      </c>
      <c r="D435" s="5" t="s">
        <v>29</v>
      </c>
      <c r="E435" s="5" t="s">
        <v>51</v>
      </c>
      <c r="F435" s="5"/>
      <c r="G435" s="5" t="s">
        <v>52</v>
      </c>
      <c r="H435" s="5" t="s">
        <v>27</v>
      </c>
      <c r="I435" s="6">
        <v>60500</v>
      </c>
      <c r="J435" s="6">
        <f>IF(D435="Thu",I435,0)</f>
        <v>0</v>
      </c>
      <c r="K435" s="6">
        <f>IF(D435="Chi",I435,0)</f>
        <v>60500</v>
      </c>
      <c r="L435" s="6" t="e">
        <f>L434+J435-K435</f>
        <v>#VALUE!</v>
      </c>
      <c r="M435" s="6">
        <f ca="1">IFERROR(__xludf.DUMMYFUNCTION("SUM(FILTER(J:J, H:H=""Tiền mặt"")) - SUM(FILTER(K:K, H:H=""Tiền mặt""))
"),959000)</f>
        <v>959000</v>
      </c>
      <c r="N435" s="6">
        <f ca="1">IFERROR(__xludf.DUMMYFUNCTION("SUM(FILTER(J:J, H:H=""Chuyển khoản"")) - SUM(FILTER(K:K, H:H=""Chuyển khoản""))
"),4468984)</f>
        <v>4468984</v>
      </c>
      <c r="O435" s="5"/>
      <c r="P435" s="5"/>
      <c r="Q435" s="5"/>
      <c r="R435" s="5"/>
      <c r="S435" s="5"/>
    </row>
    <row r="436" spans="1:19" ht="15.75" customHeight="1" x14ac:dyDescent="0.2">
      <c r="A436" s="3">
        <v>46149</v>
      </c>
      <c r="B436" s="4" t="str">
        <f>IF(A436="","","PC-"&amp;TEXT(A436,"mm/yyyy")&amp;"-"&amp;TEXT(COUNTIFS($A$2:A436,"&gt;="&amp;EOMONTH(A436,-1)+1,$A$2:A436,"&lt;="&amp;EOMONTH(A436,0)),"000"))</f>
        <v>PC-05/2026-232</v>
      </c>
      <c r="C436" s="5" t="s">
        <v>1183</v>
      </c>
      <c r="D436" s="5" t="s">
        <v>29</v>
      </c>
      <c r="E436" s="5" t="s">
        <v>41</v>
      </c>
      <c r="F436" s="5"/>
      <c r="G436" s="5" t="s">
        <v>82</v>
      </c>
      <c r="H436" s="5" t="s">
        <v>23</v>
      </c>
      <c r="I436" s="6">
        <v>100000</v>
      </c>
      <c r="J436" s="6">
        <f>IF(D436="Thu",I436,0)</f>
        <v>0</v>
      </c>
      <c r="K436" s="6">
        <f>IF(D436="Chi",I436,0)</f>
        <v>100000</v>
      </c>
      <c r="L436" s="6" t="e">
        <f>L435+J436-K436</f>
        <v>#VALUE!</v>
      </c>
      <c r="M436" s="6">
        <f ca="1">IFERROR(__xludf.DUMMYFUNCTION("SUM(FILTER(J:J, H:H=""Tiền mặt"")) - SUM(FILTER(K:K, H:H=""Tiền mặt""))
"),959000)</f>
        <v>959000</v>
      </c>
      <c r="N436" s="6">
        <f ca="1">IFERROR(__xludf.DUMMYFUNCTION("SUM(FILTER(J:J, H:H=""Chuyển khoản"")) - SUM(FILTER(K:K, H:H=""Chuyển khoản""))
"),4468984)</f>
        <v>4468984</v>
      </c>
      <c r="O436" s="5"/>
      <c r="P436" s="5"/>
      <c r="Q436" s="5"/>
      <c r="R436" s="5"/>
      <c r="S436" s="5"/>
    </row>
    <row r="437" spans="1:19" ht="15.75" customHeight="1" x14ac:dyDescent="0.2">
      <c r="A437" s="3">
        <v>46149</v>
      </c>
      <c r="B437" s="4" t="str">
        <f>IF(A437="","","PC-"&amp;TEXT(A437,"mm/yyyy")&amp;"-"&amp;TEXT(COUNTIFS($A$2:A437,"&gt;="&amp;EOMONTH(A437,-1)+1,$A$2:A437,"&lt;="&amp;EOMONTH(A437,0)),"000"))</f>
        <v>PC-05/2026-233</v>
      </c>
      <c r="C437" s="5" t="s">
        <v>1184</v>
      </c>
      <c r="D437" s="5" t="s">
        <v>29</v>
      </c>
      <c r="E437" s="5" t="s">
        <v>41</v>
      </c>
      <c r="F437" s="5"/>
      <c r="G437" s="5" t="s">
        <v>42</v>
      </c>
      <c r="H437" s="5" t="s">
        <v>23</v>
      </c>
      <c r="I437" s="6">
        <v>100000</v>
      </c>
      <c r="J437" s="6">
        <f>IF(D437="Thu",I437,0)</f>
        <v>0</v>
      </c>
      <c r="K437" s="6">
        <f>IF(D437="Chi",I437,0)</f>
        <v>100000</v>
      </c>
      <c r="L437" s="6" t="e">
        <f>L436+J437-K437</f>
        <v>#VALUE!</v>
      </c>
      <c r="M437" s="6">
        <f ca="1">IFERROR(__xludf.DUMMYFUNCTION("SUM(FILTER(J:J, H:H=""Tiền mặt"")) - SUM(FILTER(K:K, H:H=""Tiền mặt""))
"),959000)</f>
        <v>959000</v>
      </c>
      <c r="N437" s="6">
        <f ca="1">IFERROR(__xludf.DUMMYFUNCTION("SUM(FILTER(J:J, H:H=""Chuyển khoản"")) - SUM(FILTER(K:K, H:H=""Chuyển khoản""))
"),4468984)</f>
        <v>4468984</v>
      </c>
      <c r="O437" s="5"/>
      <c r="P437" s="5"/>
      <c r="Q437" s="5"/>
      <c r="R437" s="5"/>
      <c r="S437" s="5"/>
    </row>
    <row r="438" spans="1:19" ht="15.75" customHeight="1" x14ac:dyDescent="0.2">
      <c r="A438" s="3">
        <v>46149</v>
      </c>
      <c r="B438" s="4" t="str">
        <f>IF(A438="","","PC-"&amp;TEXT(A438,"mm/yyyy")&amp;"-"&amp;TEXT(COUNTIFS($A$2:A438,"&gt;="&amp;EOMONTH(A438,-1)+1,$A$2:A438,"&lt;="&amp;EOMONTH(A438,0)),"000"))</f>
        <v>PC-05/2026-234</v>
      </c>
      <c r="C438" s="5" t="s">
        <v>1185</v>
      </c>
      <c r="D438" s="5" t="s">
        <v>29</v>
      </c>
      <c r="E438" s="5" t="s">
        <v>36</v>
      </c>
      <c r="F438" s="5"/>
      <c r="G438" s="5" t="s">
        <v>72</v>
      </c>
      <c r="H438" s="5" t="s">
        <v>27</v>
      </c>
      <c r="I438" s="6">
        <v>93000</v>
      </c>
      <c r="J438" s="6">
        <f>IF(D438="Thu",I438,0)</f>
        <v>0</v>
      </c>
      <c r="K438" s="6">
        <f>IF(D438="Chi",I438,0)</f>
        <v>93000</v>
      </c>
      <c r="L438" s="6" t="e">
        <f>L437+J438-K438</f>
        <v>#VALUE!</v>
      </c>
      <c r="M438" s="6">
        <f ca="1">IFERROR(__xludf.DUMMYFUNCTION("SUM(FILTER(J:J, H:H=""Tiền mặt"")) - SUM(FILTER(K:K, H:H=""Tiền mặt""))
"),959000)</f>
        <v>959000</v>
      </c>
      <c r="N438" s="6">
        <f ca="1">IFERROR(__xludf.DUMMYFUNCTION("SUM(FILTER(J:J, H:H=""Chuyển khoản"")) - SUM(FILTER(K:K, H:H=""Chuyển khoản""))
"),4468984)</f>
        <v>4468984</v>
      </c>
      <c r="O438" s="5"/>
      <c r="P438" s="5"/>
      <c r="Q438" s="5"/>
      <c r="R438" s="5"/>
      <c r="S438" s="5"/>
    </row>
    <row r="439" spans="1:19" ht="15.75" customHeight="1" x14ac:dyDescent="0.2">
      <c r="A439" s="3">
        <v>46149</v>
      </c>
      <c r="B439" s="4" t="str">
        <f>IF(A439="","","PC-"&amp;TEXT(A439,"mm/yyyy")&amp;"-"&amp;TEXT(COUNTIFS($A$2:A439,"&gt;="&amp;EOMONTH(A439,-1)+1,$A$2:A439,"&lt;="&amp;EOMONTH(A439,0)),"000"))</f>
        <v>PC-05/2026-235</v>
      </c>
      <c r="C439" s="5" t="s">
        <v>1186</v>
      </c>
      <c r="D439" s="5" t="s">
        <v>29</v>
      </c>
      <c r="E439" s="5" t="s">
        <v>64</v>
      </c>
      <c r="F439" s="5"/>
      <c r="G439" s="5" t="s">
        <v>162</v>
      </c>
      <c r="H439" s="5" t="s">
        <v>23</v>
      </c>
      <c r="I439" s="6">
        <v>2000000</v>
      </c>
      <c r="J439" s="6">
        <f>IF(D439="Thu",I439,0)</f>
        <v>0</v>
      </c>
      <c r="K439" s="6">
        <f>IF(D439="Chi",I439,0)</f>
        <v>2000000</v>
      </c>
      <c r="L439" s="6" t="e">
        <f>L438+J439-K439</f>
        <v>#VALUE!</v>
      </c>
      <c r="M439" s="6">
        <f ca="1">IFERROR(__xludf.DUMMYFUNCTION("SUM(FILTER(J:J, H:H=""Tiền mặt"")) - SUM(FILTER(K:K, H:H=""Tiền mặt""))
"),959000)</f>
        <v>959000</v>
      </c>
      <c r="N439" s="6">
        <f ca="1">IFERROR(__xludf.DUMMYFUNCTION("SUM(FILTER(J:J, H:H=""Chuyển khoản"")) - SUM(FILTER(K:K, H:H=""Chuyển khoản""))
"),4468984)</f>
        <v>4468984</v>
      </c>
      <c r="O439" s="5"/>
      <c r="P439" s="5"/>
      <c r="Q439" s="5"/>
      <c r="R439" s="5"/>
      <c r="S439" s="5"/>
    </row>
    <row r="440" spans="1:19" ht="15.75" customHeight="1" x14ac:dyDescent="0.2">
      <c r="A440" s="3">
        <v>46149</v>
      </c>
      <c r="B440" s="4" t="str">
        <f>IF(A440="","","PC-"&amp;TEXT(A440,"mm/yyyy")&amp;"-"&amp;TEXT(COUNTIFS($A$2:A440,"&gt;="&amp;EOMONTH(A440,-1)+1,$A$2:A440,"&lt;="&amp;EOMONTH(A440,0)),"000"))</f>
        <v>PC-05/2026-236</v>
      </c>
      <c r="C440" s="5" t="s">
        <v>1187</v>
      </c>
      <c r="D440" s="5" t="s">
        <v>29</v>
      </c>
      <c r="E440" s="5" t="s">
        <v>71</v>
      </c>
      <c r="F440" s="5"/>
      <c r="G440" s="5" t="s">
        <v>219</v>
      </c>
      <c r="H440" s="5" t="s">
        <v>27</v>
      </c>
      <c r="I440" s="6">
        <v>74000</v>
      </c>
      <c r="J440" s="6">
        <f>IF(D440="Thu",I440,0)</f>
        <v>0</v>
      </c>
      <c r="K440" s="6">
        <f>IF(D440="Chi",I440,0)</f>
        <v>74000</v>
      </c>
      <c r="L440" s="6" t="e">
        <f>L439+J440-K440</f>
        <v>#VALUE!</v>
      </c>
      <c r="M440" s="6">
        <f ca="1">IFERROR(__xludf.DUMMYFUNCTION("SUM(FILTER(J:J, H:H=""Tiền mặt"")) - SUM(FILTER(K:K, H:H=""Tiền mặt""))
"),959000)</f>
        <v>959000</v>
      </c>
      <c r="N440" s="6">
        <f ca="1">IFERROR(__xludf.DUMMYFUNCTION("SUM(FILTER(J:J, H:H=""Chuyển khoản"")) - SUM(FILTER(K:K, H:H=""Chuyển khoản""))
"),4468984)</f>
        <v>4468984</v>
      </c>
      <c r="O440" s="5"/>
      <c r="P440" s="5"/>
      <c r="Q440" s="5"/>
      <c r="R440" s="5"/>
      <c r="S440" s="5"/>
    </row>
    <row r="441" spans="1:19" ht="15.75" customHeight="1" x14ac:dyDescent="0.2">
      <c r="A441" s="3">
        <v>46149</v>
      </c>
      <c r="B441" s="4" t="str">
        <f>IF(A441="","","PC-"&amp;TEXT(A441,"mm/yyyy")&amp;"-"&amp;TEXT(COUNTIFS($A$2:A441,"&gt;="&amp;EOMONTH(A441,-1)+1,$A$2:A441,"&lt;="&amp;EOMONTH(A441,0)),"000"))</f>
        <v>PC-05/2026-237</v>
      </c>
      <c r="C441" s="5" t="s">
        <v>1188</v>
      </c>
      <c r="D441" s="5" t="s">
        <v>29</v>
      </c>
      <c r="E441" s="5" t="s">
        <v>41</v>
      </c>
      <c r="F441" s="5"/>
      <c r="G441" s="5" t="s">
        <v>273</v>
      </c>
      <c r="H441" s="5" t="s">
        <v>23</v>
      </c>
      <c r="I441" s="6">
        <v>100000</v>
      </c>
      <c r="J441" s="6">
        <f>IF(D441="Thu",I441,0)</f>
        <v>0</v>
      </c>
      <c r="K441" s="6">
        <f>IF(D441="Chi",I441,0)</f>
        <v>100000</v>
      </c>
      <c r="L441" s="6" t="e">
        <f>L440+J441-K441</f>
        <v>#VALUE!</v>
      </c>
      <c r="M441" s="6">
        <f ca="1">IFERROR(__xludf.DUMMYFUNCTION("SUM(FILTER(J:J, H:H=""Tiền mặt"")) - SUM(FILTER(K:K, H:H=""Tiền mặt""))
"),959000)</f>
        <v>959000</v>
      </c>
      <c r="N441" s="6">
        <f ca="1">IFERROR(__xludf.DUMMYFUNCTION("SUM(FILTER(J:J, H:H=""Chuyển khoản"")) - SUM(FILTER(K:K, H:H=""Chuyển khoản""))
"),4468984)</f>
        <v>4468984</v>
      </c>
      <c r="O441" s="5"/>
      <c r="P441" s="5"/>
      <c r="Q441" s="5"/>
      <c r="R441" s="5"/>
      <c r="S441" s="5"/>
    </row>
    <row r="442" spans="1:19" ht="15.75" customHeight="1" x14ac:dyDescent="0.2">
      <c r="A442" s="3">
        <v>46148</v>
      </c>
      <c r="B442" s="4" t="str">
        <f>IF(A442="","","PC-"&amp;TEXT(A442,"mm/yyyy")&amp;"-"&amp;TEXT(COUNTIFS($A$2:A442,"&gt;="&amp;EOMONTH(A442,-1)+1,$A$2:A442,"&lt;="&amp;EOMONTH(A442,0)),"000"))</f>
        <v>PC-05/2026-238</v>
      </c>
      <c r="C442" s="5" t="s">
        <v>1141</v>
      </c>
      <c r="D442" s="5" t="s">
        <v>29</v>
      </c>
      <c r="E442" s="5" t="s">
        <v>36</v>
      </c>
      <c r="F442" s="5"/>
      <c r="G442" s="5" t="s">
        <v>37</v>
      </c>
      <c r="H442" s="5" t="s">
        <v>23</v>
      </c>
      <c r="I442" s="6">
        <v>35000</v>
      </c>
      <c r="J442" s="6">
        <f>IF(D442="Thu",I442,0)</f>
        <v>0</v>
      </c>
      <c r="K442" s="6">
        <f>IF(D442="Chi",I442,0)</f>
        <v>35000</v>
      </c>
      <c r="L442" s="6" t="e">
        <f>L441+J442-K442</f>
        <v>#VALUE!</v>
      </c>
      <c r="M442" s="6">
        <f ca="1">IFERROR(__xludf.DUMMYFUNCTION("SUM(FILTER(J:J, H:H=""Tiền mặt"")) - SUM(FILTER(K:K, H:H=""Tiền mặt""))
"),959000)</f>
        <v>959000</v>
      </c>
      <c r="N442" s="6">
        <f ca="1">IFERROR(__xludf.DUMMYFUNCTION("SUM(FILTER(J:J, H:H=""Chuyển khoản"")) - SUM(FILTER(K:K, H:H=""Chuyển khoản""))
"),4468984)</f>
        <v>4468984</v>
      </c>
      <c r="O442" s="5"/>
      <c r="P442" s="5"/>
      <c r="Q442" s="5"/>
      <c r="R442" s="5"/>
      <c r="S442" s="5"/>
    </row>
    <row r="443" spans="1:19" ht="15.75" customHeight="1" x14ac:dyDescent="0.2">
      <c r="A443" s="3">
        <v>46148</v>
      </c>
      <c r="B443" s="4" t="str">
        <f>IF(A443="","","PC-"&amp;TEXT(A443,"mm/yyyy")&amp;"-"&amp;TEXT(COUNTIFS($A$2:A443,"&gt;="&amp;EOMONTH(A443,-1)+1,$A$2:A443,"&lt;="&amp;EOMONTH(A443,0)),"000"))</f>
        <v>PC-05/2026-239</v>
      </c>
      <c r="C443" s="5" t="s">
        <v>1142</v>
      </c>
      <c r="D443" s="5" t="s">
        <v>29</v>
      </c>
      <c r="E443" s="5" t="s">
        <v>41</v>
      </c>
      <c r="F443" s="5"/>
      <c r="G443" s="5" t="s">
        <v>82</v>
      </c>
      <c r="H443" s="5" t="s">
        <v>23</v>
      </c>
      <c r="I443" s="6">
        <v>100000</v>
      </c>
      <c r="J443" s="6">
        <f>IF(D443="Thu",I443,0)</f>
        <v>0</v>
      </c>
      <c r="K443" s="6">
        <f>IF(D443="Chi",I443,0)</f>
        <v>100000</v>
      </c>
      <c r="L443" s="6" t="e">
        <f>L442+J443-K443</f>
        <v>#VALUE!</v>
      </c>
      <c r="M443" s="6">
        <f ca="1">IFERROR(__xludf.DUMMYFUNCTION("SUM(FILTER(J:J, H:H=""Tiền mặt"")) - SUM(FILTER(K:K, H:H=""Tiền mặt""))
"),959000)</f>
        <v>959000</v>
      </c>
      <c r="N443" s="6">
        <f ca="1">IFERROR(__xludf.DUMMYFUNCTION("SUM(FILTER(J:J, H:H=""Chuyển khoản"")) - SUM(FILTER(K:K, H:H=""Chuyển khoản""))
"),4468984)</f>
        <v>4468984</v>
      </c>
      <c r="O443" s="5"/>
      <c r="P443" s="5"/>
      <c r="Q443" s="5"/>
      <c r="R443" s="5"/>
      <c r="S443" s="5"/>
    </row>
    <row r="444" spans="1:19" ht="15.75" customHeight="1" x14ac:dyDescent="0.2">
      <c r="A444" s="3">
        <v>46148</v>
      </c>
      <c r="B444" s="4" t="str">
        <f>IF(A444="","","PC-"&amp;TEXT(A444,"mm/yyyy")&amp;"-"&amp;TEXT(COUNTIFS($A$2:A444,"&gt;="&amp;EOMONTH(A444,-1)+1,$A$2:A444,"&lt;="&amp;EOMONTH(A444,0)),"000"))</f>
        <v>PC-05/2026-240</v>
      </c>
      <c r="C444" s="7" t="s">
        <v>1143</v>
      </c>
      <c r="D444" s="5" t="s">
        <v>29</v>
      </c>
      <c r="E444" s="5" t="s">
        <v>674</v>
      </c>
      <c r="F444" s="5"/>
      <c r="G444" s="5" t="s">
        <v>37</v>
      </c>
      <c r="H444" s="5" t="s">
        <v>27</v>
      </c>
      <c r="I444" s="6">
        <v>2065000</v>
      </c>
      <c r="J444" s="6">
        <f>IF(D444="Thu",I444,0)</f>
        <v>0</v>
      </c>
      <c r="K444" s="6">
        <f>IF(D444="Chi",I444,0)</f>
        <v>2065000</v>
      </c>
      <c r="L444" s="6" t="e">
        <f>L443+J444-K444</f>
        <v>#VALUE!</v>
      </c>
      <c r="M444" s="6">
        <f ca="1">IFERROR(__xludf.DUMMYFUNCTION("SUM(FILTER(J:J, H:H=""Tiền mặt"")) - SUM(FILTER(K:K, H:H=""Tiền mặt""))
"),959000)</f>
        <v>959000</v>
      </c>
      <c r="N444" s="6">
        <f ca="1">IFERROR(__xludf.DUMMYFUNCTION("SUM(FILTER(J:J, H:H=""Chuyển khoản"")) - SUM(FILTER(K:K, H:H=""Chuyển khoản""))
"),4468984)</f>
        <v>4468984</v>
      </c>
      <c r="O444" s="5"/>
      <c r="P444" s="5"/>
      <c r="Q444" s="5"/>
      <c r="R444" s="5"/>
      <c r="S444" s="5"/>
    </row>
    <row r="445" spans="1:19" ht="15.75" customHeight="1" x14ac:dyDescent="0.2">
      <c r="A445" s="3">
        <v>46148</v>
      </c>
      <c r="B445" s="4" t="str">
        <f>IF(A445="","","PC-"&amp;TEXT(A445,"mm/yyyy")&amp;"-"&amp;TEXT(COUNTIFS($A$2:A445,"&gt;="&amp;EOMONTH(A445,-1)+1,$A$2:A445,"&lt;="&amp;EOMONTH(A445,0)),"000"))</f>
        <v>PC-05/2026-241</v>
      </c>
      <c r="C445" s="5" t="s">
        <v>716</v>
      </c>
      <c r="D445" s="5" t="s">
        <v>29</v>
      </c>
      <c r="E445" s="5" t="s">
        <v>78</v>
      </c>
      <c r="F445" s="5"/>
      <c r="G445" s="5" t="s">
        <v>72</v>
      </c>
      <c r="H445" s="5" t="s">
        <v>27</v>
      </c>
      <c r="I445" s="6">
        <v>583000</v>
      </c>
      <c r="J445" s="6">
        <f>IF(D445="Thu",I445,0)</f>
        <v>0</v>
      </c>
      <c r="K445" s="6">
        <f>IF(D445="Chi",I445,0)</f>
        <v>583000</v>
      </c>
      <c r="L445" s="6" t="e">
        <f>L444+J445-K445</f>
        <v>#VALUE!</v>
      </c>
      <c r="M445" s="6">
        <f ca="1">IFERROR(__xludf.DUMMYFUNCTION("SUM(FILTER(J:J, H:H=""Tiền mặt"")) - SUM(FILTER(K:K, H:H=""Tiền mặt""))
"),959000)</f>
        <v>959000</v>
      </c>
      <c r="N445" s="6">
        <f ca="1">IFERROR(__xludf.DUMMYFUNCTION("SUM(FILTER(J:J, H:H=""Chuyển khoản"")) - SUM(FILTER(K:K, H:H=""Chuyển khoản""))
"),4468984)</f>
        <v>4468984</v>
      </c>
      <c r="O445" s="5"/>
      <c r="P445" s="5"/>
      <c r="Q445" s="5"/>
      <c r="R445" s="5"/>
      <c r="S445" s="5"/>
    </row>
    <row r="446" spans="1:19" ht="15.75" customHeight="1" x14ac:dyDescent="0.2">
      <c r="A446" s="3">
        <v>46148</v>
      </c>
      <c r="B446" s="4" t="str">
        <f>IF(A446="","","PC-"&amp;TEXT(A446,"mm/yyyy")&amp;"-"&amp;TEXT(COUNTIFS($A$2:A446,"&gt;="&amp;EOMONTH(A446,-1)+1,$A$2:A446,"&lt;="&amp;EOMONTH(A446,0)),"000"))</f>
        <v>PC-05/2026-242</v>
      </c>
      <c r="C446" s="5" t="s">
        <v>715</v>
      </c>
      <c r="D446" s="5" t="s">
        <v>29</v>
      </c>
      <c r="E446" s="5" t="s">
        <v>78</v>
      </c>
      <c r="F446" s="5"/>
      <c r="G446" s="5" t="s">
        <v>72</v>
      </c>
      <c r="H446" s="5" t="s">
        <v>27</v>
      </c>
      <c r="I446" s="6">
        <v>454000</v>
      </c>
      <c r="J446" s="6">
        <f>IF(D446="Thu",I446,0)</f>
        <v>0</v>
      </c>
      <c r="K446" s="6">
        <f>IF(D446="Chi",I446,0)</f>
        <v>454000</v>
      </c>
      <c r="L446" s="6" t="e">
        <f>L445+J446-K446</f>
        <v>#VALUE!</v>
      </c>
      <c r="M446" s="6">
        <f ca="1">IFERROR(__xludf.DUMMYFUNCTION("SUM(FILTER(J:J, H:H=""Tiền mặt"")) - SUM(FILTER(K:K, H:H=""Tiền mặt""))
"),959000)</f>
        <v>959000</v>
      </c>
      <c r="N446" s="6">
        <f ca="1">IFERROR(__xludf.DUMMYFUNCTION("SUM(FILTER(J:J, H:H=""Chuyển khoản"")) - SUM(FILTER(K:K, H:H=""Chuyển khoản""))
"),4468984)</f>
        <v>4468984</v>
      </c>
      <c r="O446" s="5"/>
      <c r="P446" s="5"/>
      <c r="Q446" s="5"/>
      <c r="R446" s="5"/>
      <c r="S446" s="5"/>
    </row>
    <row r="447" spans="1:19" ht="15.75" customHeight="1" x14ac:dyDescent="0.2">
      <c r="A447" s="3">
        <v>46148</v>
      </c>
      <c r="B447" s="4" t="str">
        <f>IF(A447="","","PC-"&amp;TEXT(A447,"mm/yyyy")&amp;"-"&amp;TEXT(COUNTIFS($A$2:A447,"&gt;="&amp;EOMONTH(A447,-1)+1,$A$2:A447,"&lt;="&amp;EOMONTH(A447,0)),"000"))</f>
        <v>PC-05/2026-243</v>
      </c>
      <c r="C447" s="5" t="s">
        <v>1144</v>
      </c>
      <c r="D447" s="5" t="s">
        <v>29</v>
      </c>
      <c r="E447" s="5" t="s">
        <v>44</v>
      </c>
      <c r="F447" s="5"/>
      <c r="G447" s="5" t="s">
        <v>99</v>
      </c>
      <c r="H447" s="5" t="s">
        <v>23</v>
      </c>
      <c r="I447" s="6">
        <v>1500000</v>
      </c>
      <c r="J447" s="6">
        <f>IF(D447="Thu",I447,0)</f>
        <v>0</v>
      </c>
      <c r="K447" s="6">
        <f>IF(D447="Chi",I447,0)</f>
        <v>1500000</v>
      </c>
      <c r="L447" s="6" t="e">
        <f>L446+J447-K447</f>
        <v>#VALUE!</v>
      </c>
      <c r="M447" s="6">
        <f ca="1">IFERROR(__xludf.DUMMYFUNCTION("SUM(FILTER(J:J, H:H=""Tiền mặt"")) - SUM(FILTER(K:K, H:H=""Tiền mặt""))
"),959000)</f>
        <v>959000</v>
      </c>
      <c r="N447" s="6">
        <f ca="1">IFERROR(__xludf.DUMMYFUNCTION("SUM(FILTER(J:J, H:H=""Chuyển khoản"")) - SUM(FILTER(K:K, H:H=""Chuyển khoản""))
"),4468984)</f>
        <v>4468984</v>
      </c>
      <c r="O447" s="5"/>
      <c r="P447" s="5"/>
      <c r="Q447" s="5"/>
      <c r="R447" s="5"/>
      <c r="S447" s="5"/>
    </row>
    <row r="448" spans="1:19" ht="15.75" customHeight="1" x14ac:dyDescent="0.2">
      <c r="A448" s="3">
        <v>46148</v>
      </c>
      <c r="B448" s="4" t="str">
        <f>IF(A448="","","PC-"&amp;TEXT(A448,"mm/yyyy")&amp;"-"&amp;TEXT(COUNTIFS($A$2:A448,"&gt;="&amp;EOMONTH(A448,-1)+1,$A$2:A448,"&lt;="&amp;EOMONTH(A448,0)),"000"))</f>
        <v>PC-05/2026-244</v>
      </c>
      <c r="C448" s="5" t="s">
        <v>1145</v>
      </c>
      <c r="D448" s="5" t="s">
        <v>29</v>
      </c>
      <c r="E448" s="5" t="s">
        <v>41</v>
      </c>
      <c r="F448" s="5"/>
      <c r="G448" s="5" t="s">
        <v>82</v>
      </c>
      <c r="H448" s="5" t="s">
        <v>23</v>
      </c>
      <c r="I448" s="6">
        <v>100000</v>
      </c>
      <c r="J448" s="6">
        <f>IF(D448="Thu",I448,0)</f>
        <v>0</v>
      </c>
      <c r="K448" s="6">
        <f>IF(D448="Chi",I448,0)</f>
        <v>100000</v>
      </c>
      <c r="L448" s="6" t="e">
        <f>L447+J448-K448</f>
        <v>#VALUE!</v>
      </c>
      <c r="M448" s="6">
        <f ca="1">IFERROR(__xludf.DUMMYFUNCTION("SUM(FILTER(J:J, H:H=""Tiền mặt"")) - SUM(FILTER(K:K, H:H=""Tiền mặt""))
"),959000)</f>
        <v>959000</v>
      </c>
      <c r="N448" s="6">
        <f ca="1">IFERROR(__xludf.DUMMYFUNCTION("SUM(FILTER(J:J, H:H=""Chuyển khoản"")) - SUM(FILTER(K:K, H:H=""Chuyển khoản""))
"),4468984)</f>
        <v>4468984</v>
      </c>
      <c r="O448" s="5"/>
      <c r="P448" s="5"/>
      <c r="Q448" s="5"/>
      <c r="R448" s="5"/>
      <c r="S448" s="5"/>
    </row>
    <row r="449" spans="1:19" ht="15.75" customHeight="1" x14ac:dyDescent="0.2">
      <c r="A449" s="3">
        <v>46148</v>
      </c>
      <c r="B449" s="4" t="str">
        <f>IF(A449="","","PC-"&amp;TEXT(A449,"mm/yyyy")&amp;"-"&amp;TEXT(COUNTIFS($A$2:A449,"&gt;="&amp;EOMONTH(A449,-1)+1,$A$2:A449,"&lt;="&amp;EOMONTH(A449,0)),"000"))</f>
        <v>PC-05/2026-245</v>
      </c>
      <c r="C449" s="5" t="s">
        <v>1146</v>
      </c>
      <c r="D449" s="5" t="s">
        <v>29</v>
      </c>
      <c r="E449" s="5" t="s">
        <v>51</v>
      </c>
      <c r="F449" s="5"/>
      <c r="G449" s="5" t="s">
        <v>52</v>
      </c>
      <c r="H449" s="5" t="s">
        <v>27</v>
      </c>
      <c r="I449" s="6">
        <v>60500</v>
      </c>
      <c r="J449" s="6">
        <f>IF(D449="Thu",I449,0)</f>
        <v>0</v>
      </c>
      <c r="K449" s="6">
        <f>IF(D449="Chi",I449,0)</f>
        <v>60500</v>
      </c>
      <c r="L449" s="6" t="e">
        <f>L448+J449-K449</f>
        <v>#VALUE!</v>
      </c>
      <c r="M449" s="6">
        <f ca="1">IFERROR(__xludf.DUMMYFUNCTION("SUM(FILTER(J:J, H:H=""Tiền mặt"")) - SUM(FILTER(K:K, H:H=""Tiền mặt""))
"),959000)</f>
        <v>959000</v>
      </c>
      <c r="N449" s="6">
        <f ca="1">IFERROR(__xludf.DUMMYFUNCTION("SUM(FILTER(J:J, H:H=""Chuyển khoản"")) - SUM(FILTER(K:K, H:H=""Chuyển khoản""))
"),4468984)</f>
        <v>4468984</v>
      </c>
      <c r="O449" s="5"/>
      <c r="P449" s="5"/>
      <c r="Q449" s="5"/>
      <c r="R449" s="5"/>
      <c r="S449" s="5"/>
    </row>
    <row r="450" spans="1:19" ht="15.75" customHeight="1" x14ac:dyDescent="0.2">
      <c r="A450" s="3">
        <v>46148</v>
      </c>
      <c r="B450" s="4" t="str">
        <f>IF(A450="","","PC-"&amp;TEXT(A450,"mm/yyyy")&amp;"-"&amp;TEXT(COUNTIFS($A$2:A450,"&gt;="&amp;EOMONTH(A450,-1)+1,$A$2:A450,"&lt;="&amp;EOMONTH(A450,0)),"000"))</f>
        <v>PC-05/2026-246</v>
      </c>
      <c r="C450" s="5" t="s">
        <v>1147</v>
      </c>
      <c r="D450" s="5" t="s">
        <v>29</v>
      </c>
      <c r="E450" s="5" t="s">
        <v>51</v>
      </c>
      <c r="F450" s="5"/>
      <c r="G450" s="5" t="s">
        <v>52</v>
      </c>
      <c r="H450" s="5" t="s">
        <v>27</v>
      </c>
      <c r="I450" s="6">
        <v>226342</v>
      </c>
      <c r="J450" s="6">
        <f>IF(D450="Thu",I450,0)</f>
        <v>0</v>
      </c>
      <c r="K450" s="6">
        <f>IF(D450="Chi",I450,0)</f>
        <v>226342</v>
      </c>
      <c r="L450" s="6" t="e">
        <f>L449+J450-K450</f>
        <v>#VALUE!</v>
      </c>
      <c r="M450" s="6">
        <f ca="1">IFERROR(__xludf.DUMMYFUNCTION("SUM(FILTER(J:J, H:H=""Tiền mặt"")) - SUM(FILTER(K:K, H:H=""Tiền mặt""))
"),959000)</f>
        <v>959000</v>
      </c>
      <c r="N450" s="6">
        <f ca="1">IFERROR(__xludf.DUMMYFUNCTION("SUM(FILTER(J:J, H:H=""Chuyển khoản"")) - SUM(FILTER(K:K, H:H=""Chuyển khoản""))
"),4468984)</f>
        <v>4468984</v>
      </c>
      <c r="O450" s="5"/>
      <c r="P450" s="5"/>
      <c r="Q450" s="5"/>
      <c r="R450" s="5"/>
      <c r="S450" s="5"/>
    </row>
    <row r="451" spans="1:19" ht="15.75" customHeight="1" x14ac:dyDescent="0.2">
      <c r="A451" s="3">
        <v>46148</v>
      </c>
      <c r="B451" s="4" t="str">
        <f>IF(A451="","","PC-"&amp;TEXT(A451,"mm/yyyy")&amp;"-"&amp;TEXT(COUNTIFS($A$2:A451,"&gt;="&amp;EOMONTH(A451,-1)+1,$A$2:A451,"&lt;="&amp;EOMONTH(A451,0)),"000"))</f>
        <v>PC-05/2026-247</v>
      </c>
      <c r="C451" s="5" t="s">
        <v>1148</v>
      </c>
      <c r="D451" s="5" t="s">
        <v>29</v>
      </c>
      <c r="E451" s="5" t="s">
        <v>51</v>
      </c>
      <c r="F451" s="5"/>
      <c r="G451" s="5" t="s">
        <v>52</v>
      </c>
      <c r="H451" s="5" t="s">
        <v>27</v>
      </c>
      <c r="I451" s="6">
        <v>86900</v>
      </c>
      <c r="J451" s="6">
        <f>IF(D451="Thu",I451,0)</f>
        <v>0</v>
      </c>
      <c r="K451" s="6">
        <f>IF(D451="Chi",I451,0)</f>
        <v>86900</v>
      </c>
      <c r="L451" s="6" t="e">
        <f>L450+J451-K451</f>
        <v>#VALUE!</v>
      </c>
      <c r="M451" s="6">
        <f ca="1">IFERROR(__xludf.DUMMYFUNCTION("SUM(FILTER(J:J, H:H=""Tiền mặt"")) - SUM(FILTER(K:K, H:H=""Tiền mặt""))
"),959000)</f>
        <v>959000</v>
      </c>
      <c r="N451" s="6">
        <f ca="1">IFERROR(__xludf.DUMMYFUNCTION("SUM(FILTER(J:J, H:H=""Chuyển khoản"")) - SUM(FILTER(K:K, H:H=""Chuyển khoản""))
"),4468984)</f>
        <v>4468984</v>
      </c>
      <c r="O451" s="5"/>
      <c r="P451" s="5"/>
      <c r="Q451" s="5"/>
      <c r="R451" s="5"/>
      <c r="S451" s="5"/>
    </row>
    <row r="452" spans="1:19" ht="15.75" customHeight="1" x14ac:dyDescent="0.2">
      <c r="A452" s="3">
        <v>46148</v>
      </c>
      <c r="B452" s="4" t="str">
        <f>IF(A452="","","PC-"&amp;TEXT(A452,"mm/yyyy")&amp;"-"&amp;TEXT(COUNTIFS($A$2:A452,"&gt;="&amp;EOMONTH(A452,-1)+1,$A$2:A452,"&lt;="&amp;EOMONTH(A452,0)),"000"))</f>
        <v>PC-05/2026-248</v>
      </c>
      <c r="C452" s="5" t="s">
        <v>1149</v>
      </c>
      <c r="D452" s="5" t="s">
        <v>29</v>
      </c>
      <c r="E452" s="5" t="s">
        <v>41</v>
      </c>
      <c r="F452" s="5"/>
      <c r="G452" s="5" t="s">
        <v>82</v>
      </c>
      <c r="H452" s="5" t="s">
        <v>23</v>
      </c>
      <c r="I452" s="6">
        <v>100000</v>
      </c>
      <c r="J452" s="6">
        <f>IF(D452="Thu",I452,0)</f>
        <v>0</v>
      </c>
      <c r="K452" s="6">
        <f>IF(D452="Chi",I452,0)</f>
        <v>100000</v>
      </c>
      <c r="L452" s="6" t="e">
        <f>L451+J452-K452</f>
        <v>#VALUE!</v>
      </c>
      <c r="M452" s="6">
        <f ca="1">IFERROR(__xludf.DUMMYFUNCTION("SUM(FILTER(J:J, H:H=""Tiền mặt"")) - SUM(FILTER(K:K, H:H=""Tiền mặt""))
"),959000)</f>
        <v>959000</v>
      </c>
      <c r="N452" s="6">
        <f ca="1">IFERROR(__xludf.DUMMYFUNCTION("SUM(FILTER(J:J, H:H=""Chuyển khoản"")) - SUM(FILTER(K:K, H:H=""Chuyển khoản""))
"),4468984)</f>
        <v>4468984</v>
      </c>
      <c r="O452" s="5"/>
      <c r="P452" s="5"/>
      <c r="Q452" s="5"/>
      <c r="R452" s="5"/>
      <c r="S452" s="5"/>
    </row>
    <row r="453" spans="1:19" ht="15.75" customHeight="1" x14ac:dyDescent="0.2">
      <c r="A453" s="3">
        <v>46148</v>
      </c>
      <c r="B453" s="4" t="str">
        <f>IF(A453="","","PC-"&amp;TEXT(A453,"mm/yyyy")&amp;"-"&amp;TEXT(COUNTIFS($A$2:A453,"&gt;="&amp;EOMONTH(A453,-1)+1,$A$2:A453,"&lt;="&amp;EOMONTH(A453,0)),"000"))</f>
        <v>PC-05/2026-249</v>
      </c>
      <c r="C453" s="5" t="s">
        <v>1150</v>
      </c>
      <c r="D453" s="5" t="s">
        <v>29</v>
      </c>
      <c r="E453" s="5" t="s">
        <v>44</v>
      </c>
      <c r="F453" s="5"/>
      <c r="G453" s="5" t="s">
        <v>681</v>
      </c>
      <c r="H453" s="5" t="s">
        <v>23</v>
      </c>
      <c r="I453" s="6">
        <v>1500000</v>
      </c>
      <c r="J453" s="6">
        <f>IF(D453="Thu",I453,0)</f>
        <v>0</v>
      </c>
      <c r="K453" s="6">
        <f>IF(D453="Chi",I453,0)</f>
        <v>1500000</v>
      </c>
      <c r="L453" s="6" t="e">
        <f>L452+J453-K453</f>
        <v>#VALUE!</v>
      </c>
      <c r="M453" s="6">
        <f ca="1">IFERROR(__xludf.DUMMYFUNCTION("SUM(FILTER(J:J, H:H=""Tiền mặt"")) - SUM(FILTER(K:K, H:H=""Tiền mặt""))
"),959000)</f>
        <v>959000</v>
      </c>
      <c r="N453" s="6">
        <f ca="1">IFERROR(__xludf.DUMMYFUNCTION("SUM(FILTER(J:J, H:H=""Chuyển khoản"")) - SUM(FILTER(K:K, H:H=""Chuyển khoản""))
"),4468984)</f>
        <v>4468984</v>
      </c>
      <c r="O453" s="5"/>
      <c r="P453" s="5"/>
      <c r="Q453" s="5"/>
      <c r="R453" s="5"/>
      <c r="S453" s="5"/>
    </row>
    <row r="454" spans="1:19" ht="15.75" customHeight="1" x14ac:dyDescent="0.2">
      <c r="A454" s="3">
        <v>46148</v>
      </c>
      <c r="B454" s="4" t="str">
        <f>IF(A454="","","PC-"&amp;TEXT(A454,"mm/yyyy")&amp;"-"&amp;TEXT(COUNTIFS($A$2:A454,"&gt;="&amp;EOMONTH(A454,-1)+1,$A$2:A454,"&lt;="&amp;EOMONTH(A454,0)),"000"))</f>
        <v>PC-05/2026-250</v>
      </c>
      <c r="C454" s="5" t="s">
        <v>1151</v>
      </c>
      <c r="D454" s="5" t="s">
        <v>29</v>
      </c>
      <c r="E454" s="5" t="s">
        <v>47</v>
      </c>
      <c r="F454" s="5"/>
      <c r="G454" s="5" t="s">
        <v>48</v>
      </c>
      <c r="H454" s="5" t="s">
        <v>23</v>
      </c>
      <c r="I454" s="6">
        <v>50000</v>
      </c>
      <c r="J454" s="6">
        <f>IF(D454="Thu",I454,0)</f>
        <v>0</v>
      </c>
      <c r="K454" s="6">
        <f>IF(D454="Chi",I454,0)</f>
        <v>50000</v>
      </c>
      <c r="L454" s="6" t="e">
        <f>L453+J454-K454</f>
        <v>#VALUE!</v>
      </c>
      <c r="M454" s="6">
        <f ca="1">IFERROR(__xludf.DUMMYFUNCTION("SUM(FILTER(J:J, H:H=""Tiền mặt"")) - SUM(FILTER(K:K, H:H=""Tiền mặt""))
"),959000)</f>
        <v>959000</v>
      </c>
      <c r="N454" s="6">
        <f ca="1">IFERROR(__xludf.DUMMYFUNCTION("SUM(FILTER(J:J, H:H=""Chuyển khoản"")) - SUM(FILTER(K:K, H:H=""Chuyển khoản""))
"),4468984)</f>
        <v>4468984</v>
      </c>
      <c r="O454" s="5"/>
      <c r="P454" s="5"/>
      <c r="Q454" s="5"/>
      <c r="R454" s="5"/>
      <c r="S454" s="5"/>
    </row>
    <row r="455" spans="1:19" ht="15.75" customHeight="1" x14ac:dyDescent="0.2">
      <c r="A455" s="3">
        <v>46148</v>
      </c>
      <c r="B455" s="4" t="str">
        <f>IF(A455="","","PC-"&amp;TEXT(A455,"mm/yyyy")&amp;"-"&amp;TEXT(COUNTIFS($A$2:A455,"&gt;="&amp;EOMONTH(A455,-1)+1,$A$2:A455,"&lt;="&amp;EOMONTH(A455,0)),"000"))</f>
        <v>PC-05/2026-251</v>
      </c>
      <c r="C455" s="7" t="s">
        <v>1152</v>
      </c>
      <c r="D455" s="5" t="s">
        <v>29</v>
      </c>
      <c r="E455" s="5" t="s">
        <v>674</v>
      </c>
      <c r="F455" s="5"/>
      <c r="G455" s="5" t="s">
        <v>571</v>
      </c>
      <c r="H455" s="5" t="s">
        <v>23</v>
      </c>
      <c r="I455" s="6">
        <v>660000</v>
      </c>
      <c r="J455" s="6">
        <f>IF(D455="Thu",I455,0)</f>
        <v>0</v>
      </c>
      <c r="K455" s="6">
        <f>IF(D455="Chi",I455,0)</f>
        <v>660000</v>
      </c>
      <c r="L455" s="6" t="e">
        <f>L454+J455-K455</f>
        <v>#VALUE!</v>
      </c>
      <c r="M455" s="6">
        <f ca="1">IFERROR(__xludf.DUMMYFUNCTION("SUM(FILTER(J:J, H:H=""Tiền mặt"")) - SUM(FILTER(K:K, H:H=""Tiền mặt""))
"),959000)</f>
        <v>959000</v>
      </c>
      <c r="N455" s="6">
        <f ca="1">IFERROR(__xludf.DUMMYFUNCTION("SUM(FILTER(J:J, H:H=""Chuyển khoản"")) - SUM(FILTER(K:K, H:H=""Chuyển khoản""))
"),4468984)</f>
        <v>4468984</v>
      </c>
      <c r="O455" s="5"/>
      <c r="P455" s="5"/>
      <c r="Q455" s="5"/>
      <c r="R455" s="5"/>
      <c r="S455" s="5"/>
    </row>
    <row r="456" spans="1:19" ht="15.75" customHeight="1" x14ac:dyDescent="0.2">
      <c r="A456" s="3">
        <v>46148</v>
      </c>
      <c r="B456" s="4" t="str">
        <f>IF(A456="","","PC-"&amp;TEXT(A456,"mm/yyyy")&amp;"-"&amp;TEXT(COUNTIFS($A$2:A456,"&gt;="&amp;EOMONTH(A456,-1)+1,$A$2:A456,"&lt;="&amp;EOMONTH(A456,0)),"000"))</f>
        <v>PC-05/2026-252</v>
      </c>
      <c r="C456" s="5" t="s">
        <v>1153</v>
      </c>
      <c r="D456" s="5" t="s">
        <v>29</v>
      </c>
      <c r="E456" s="5" t="s">
        <v>41</v>
      </c>
      <c r="F456" s="5"/>
      <c r="G456" s="5" t="s">
        <v>82</v>
      </c>
      <c r="H456" s="5" t="s">
        <v>23</v>
      </c>
      <c r="I456" s="6">
        <v>100000</v>
      </c>
      <c r="J456" s="6">
        <f>IF(D456="Thu",I456,0)</f>
        <v>0</v>
      </c>
      <c r="K456" s="6">
        <f>IF(D456="Chi",I456,0)</f>
        <v>100000</v>
      </c>
      <c r="L456" s="6" t="e">
        <f>L455+J456-K456</f>
        <v>#VALUE!</v>
      </c>
      <c r="M456" s="6">
        <f ca="1">IFERROR(__xludf.DUMMYFUNCTION("SUM(FILTER(J:J, H:H=""Tiền mặt"")) - SUM(FILTER(K:K, H:H=""Tiền mặt""))
"),959000)</f>
        <v>959000</v>
      </c>
      <c r="N456" s="6">
        <f ca="1">IFERROR(__xludf.DUMMYFUNCTION("SUM(FILTER(J:J, H:H=""Chuyển khoản"")) - SUM(FILTER(K:K, H:H=""Chuyển khoản""))
"),4468984)</f>
        <v>4468984</v>
      </c>
      <c r="O456" s="5"/>
      <c r="P456" s="5"/>
      <c r="Q456" s="5"/>
      <c r="R456" s="5"/>
      <c r="S456" s="5"/>
    </row>
    <row r="457" spans="1:19" ht="15.75" customHeight="1" x14ac:dyDescent="0.2">
      <c r="A457" s="3">
        <v>46148</v>
      </c>
      <c r="B457" s="4" t="str">
        <f>IF(A457="","","PC-"&amp;TEXT(A457,"mm/yyyy")&amp;"-"&amp;TEXT(COUNTIFS($A$2:A457,"&gt;="&amp;EOMONTH(A457,-1)+1,$A$2:A457,"&lt;="&amp;EOMONTH(A457,0)),"000"))</f>
        <v>PC-05/2026-253</v>
      </c>
      <c r="C457" s="7" t="s">
        <v>1154</v>
      </c>
      <c r="D457" s="5" t="s">
        <v>29</v>
      </c>
      <c r="E457" s="5" t="s">
        <v>41</v>
      </c>
      <c r="F457" s="5"/>
      <c r="G457" s="5" t="s">
        <v>82</v>
      </c>
      <c r="H457" s="5" t="s">
        <v>23</v>
      </c>
      <c r="I457" s="6">
        <v>200000</v>
      </c>
      <c r="J457" s="6">
        <f>IF(D457="Thu",I457,0)</f>
        <v>0</v>
      </c>
      <c r="K457" s="6">
        <f>IF(D457="Chi",I457,0)</f>
        <v>200000</v>
      </c>
      <c r="L457" s="6" t="e">
        <f>L456+J457-K457</f>
        <v>#VALUE!</v>
      </c>
      <c r="M457" s="6">
        <f ca="1">IFERROR(__xludf.DUMMYFUNCTION("SUM(FILTER(J:J, H:H=""Tiền mặt"")) - SUM(FILTER(K:K, H:H=""Tiền mặt""))
"),959000)</f>
        <v>959000</v>
      </c>
      <c r="N457" s="6">
        <f ca="1">IFERROR(__xludf.DUMMYFUNCTION("SUM(FILTER(J:J, H:H=""Chuyển khoản"")) - SUM(FILTER(K:K, H:H=""Chuyển khoản""))
"),4468984)</f>
        <v>4468984</v>
      </c>
      <c r="O457" s="5"/>
      <c r="P457" s="5"/>
      <c r="Q457" s="5"/>
      <c r="R457" s="5"/>
      <c r="S457" s="5"/>
    </row>
    <row r="458" spans="1:19" ht="15.75" customHeight="1" x14ac:dyDescent="0.2">
      <c r="A458" s="3">
        <v>46148</v>
      </c>
      <c r="B458" s="4" t="str">
        <f>IF(A458="","","PC-"&amp;TEXT(A458,"mm/yyyy")&amp;"-"&amp;TEXT(COUNTIFS($A$2:A458,"&gt;="&amp;EOMONTH(A458,-1)+1,$A$2:A458,"&lt;="&amp;EOMONTH(A458,0)),"000"))</f>
        <v>PC-05/2026-254</v>
      </c>
      <c r="C458" s="5" t="s">
        <v>1155</v>
      </c>
      <c r="D458" s="5" t="s">
        <v>29</v>
      </c>
      <c r="E458" s="5" t="s">
        <v>41</v>
      </c>
      <c r="F458" s="5"/>
      <c r="G458" s="5" t="s">
        <v>82</v>
      </c>
      <c r="H458" s="5" t="s">
        <v>23</v>
      </c>
      <c r="I458" s="6">
        <v>100000</v>
      </c>
      <c r="J458" s="6">
        <f>IF(D458="Thu",I458,0)</f>
        <v>0</v>
      </c>
      <c r="K458" s="6">
        <f>IF(D458="Chi",I458,0)</f>
        <v>100000</v>
      </c>
      <c r="L458" s="6" t="e">
        <f>L457+J458-K458</f>
        <v>#VALUE!</v>
      </c>
      <c r="M458" s="6">
        <f ca="1">IFERROR(__xludf.DUMMYFUNCTION("SUM(FILTER(J:J, H:H=""Tiền mặt"")) - SUM(FILTER(K:K, H:H=""Tiền mặt""))
"),959000)</f>
        <v>959000</v>
      </c>
      <c r="N458" s="6">
        <f ca="1">IFERROR(__xludf.DUMMYFUNCTION("SUM(FILTER(J:J, H:H=""Chuyển khoản"")) - SUM(FILTER(K:K, H:H=""Chuyển khoản""))
"),4468984)</f>
        <v>4468984</v>
      </c>
      <c r="O458" s="5"/>
      <c r="P458" s="5"/>
      <c r="Q458" s="5"/>
      <c r="R458" s="5"/>
      <c r="S458" s="5"/>
    </row>
    <row r="459" spans="1:19" ht="15.75" customHeight="1" x14ac:dyDescent="0.2">
      <c r="A459" s="3">
        <v>46148</v>
      </c>
      <c r="B459" s="4" t="str">
        <f>IF(A459="","","PC-"&amp;TEXT(A459,"mm/yyyy")&amp;"-"&amp;TEXT(COUNTIFS($A$2:A459,"&gt;="&amp;EOMONTH(A459,-1)+1,$A$2:A459,"&lt;="&amp;EOMONTH(A459,0)),"000"))</f>
        <v>PC-05/2026-255</v>
      </c>
      <c r="C459" s="5" t="s">
        <v>1156</v>
      </c>
      <c r="D459" s="5" t="s">
        <v>29</v>
      </c>
      <c r="E459" s="5" t="s">
        <v>346</v>
      </c>
      <c r="F459" s="5"/>
      <c r="G459" s="5" t="s">
        <v>347</v>
      </c>
      <c r="H459" s="5" t="s">
        <v>27</v>
      </c>
      <c r="I459" s="6">
        <v>1000000</v>
      </c>
      <c r="J459" s="6">
        <f>IF(D459="Thu",I459,0)</f>
        <v>0</v>
      </c>
      <c r="K459" s="6">
        <f>IF(D459="Chi",I459,0)</f>
        <v>1000000</v>
      </c>
      <c r="L459" s="6" t="e">
        <f>L458+J459-K459</f>
        <v>#VALUE!</v>
      </c>
      <c r="M459" s="6">
        <f ca="1">IFERROR(__xludf.DUMMYFUNCTION("SUM(FILTER(J:J, H:H=""Tiền mặt"")) - SUM(FILTER(K:K, H:H=""Tiền mặt""))
"),959000)</f>
        <v>959000</v>
      </c>
      <c r="N459" s="6">
        <f ca="1">IFERROR(__xludf.DUMMYFUNCTION("SUM(FILTER(J:J, H:H=""Chuyển khoản"")) - SUM(FILTER(K:K, H:H=""Chuyển khoản""))
"),4468984)</f>
        <v>4468984</v>
      </c>
      <c r="O459" s="5"/>
      <c r="P459" s="5"/>
      <c r="Q459" s="5"/>
      <c r="R459" s="5"/>
      <c r="S459" s="5"/>
    </row>
    <row r="460" spans="1:19" ht="15.75" customHeight="1" x14ac:dyDescent="0.2">
      <c r="A460" s="3">
        <v>46148</v>
      </c>
      <c r="B460" s="4" t="str">
        <f>IF(A460="","","PC-"&amp;TEXT(A460,"mm/yyyy")&amp;"-"&amp;TEXT(COUNTIFS($A$2:A460,"&gt;="&amp;EOMONTH(A460,-1)+1,$A$2:A460,"&lt;="&amp;EOMONTH(A460,0)),"000"))</f>
        <v>PC-05/2026-256</v>
      </c>
      <c r="C460" s="5" t="s">
        <v>1157</v>
      </c>
      <c r="D460" s="5" t="s">
        <v>29</v>
      </c>
      <c r="E460" s="5" t="s">
        <v>71</v>
      </c>
      <c r="F460" s="5"/>
      <c r="G460" s="5" t="s">
        <v>912</v>
      </c>
      <c r="H460" s="5" t="s">
        <v>27</v>
      </c>
      <c r="I460" s="6">
        <v>62000</v>
      </c>
      <c r="J460" s="6">
        <f>IF(D460="Thu",I460,0)</f>
        <v>0</v>
      </c>
      <c r="K460" s="6">
        <f>IF(D460="Chi",I460,0)</f>
        <v>62000</v>
      </c>
      <c r="L460" s="6" t="e">
        <f>L459+J460-K460</f>
        <v>#VALUE!</v>
      </c>
      <c r="M460" s="6">
        <f ca="1">IFERROR(__xludf.DUMMYFUNCTION("SUM(FILTER(J:J, H:H=""Tiền mặt"")) - SUM(FILTER(K:K, H:H=""Tiền mặt""))
"),959000)</f>
        <v>959000</v>
      </c>
      <c r="N460" s="6">
        <f ca="1">IFERROR(__xludf.DUMMYFUNCTION("SUM(FILTER(J:J, H:H=""Chuyển khoản"")) - SUM(FILTER(K:K, H:H=""Chuyển khoản""))
"),4468984)</f>
        <v>4468984</v>
      </c>
      <c r="O460" s="5"/>
      <c r="P460" s="5"/>
      <c r="Q460" s="5"/>
      <c r="R460" s="5"/>
      <c r="S460" s="5"/>
    </row>
    <row r="461" spans="1:19" ht="15.75" customHeight="1" x14ac:dyDescent="0.2">
      <c r="A461" s="3">
        <v>46147</v>
      </c>
      <c r="B461" s="4" t="str">
        <f>IF(A461="","","PC-"&amp;TEXT(A461,"mm/yyyy")&amp;"-"&amp;TEXT(COUNTIFS($A$2:A461,"&gt;="&amp;EOMONTH(A461,-1)+1,$A$2:A461,"&lt;="&amp;EOMONTH(A461,0)),"000"))</f>
        <v>PC-05/2026-257</v>
      </c>
      <c r="C461" s="5" t="s">
        <v>1130</v>
      </c>
      <c r="D461" s="5" t="s">
        <v>29</v>
      </c>
      <c r="E461" s="5" t="s">
        <v>33</v>
      </c>
      <c r="F461" s="5"/>
      <c r="G461" s="5" t="s">
        <v>486</v>
      </c>
      <c r="H461" s="5" t="s">
        <v>27</v>
      </c>
      <c r="I461" s="6">
        <v>1280000</v>
      </c>
      <c r="J461" s="6">
        <f>IF(D461="Thu",I461,0)</f>
        <v>0</v>
      </c>
      <c r="K461" s="6">
        <f>IF(D461="Chi",I461,0)</f>
        <v>1280000</v>
      </c>
      <c r="L461" s="6" t="e">
        <f>L460+J461-K461</f>
        <v>#VALUE!</v>
      </c>
      <c r="M461" s="6">
        <f ca="1">IFERROR(__xludf.DUMMYFUNCTION("SUM(FILTER(J:J, H:H=""Tiền mặt"")) - SUM(FILTER(K:K, H:H=""Tiền mặt""))
"),959000)</f>
        <v>959000</v>
      </c>
      <c r="N461" s="6">
        <f ca="1">IFERROR(__xludf.DUMMYFUNCTION("SUM(FILTER(J:J, H:H=""Chuyển khoản"")) - SUM(FILTER(K:K, H:H=""Chuyển khoản""))
"),4468984)</f>
        <v>4468984</v>
      </c>
      <c r="O461" s="5"/>
      <c r="P461" s="5"/>
      <c r="Q461" s="5"/>
      <c r="R461" s="5"/>
      <c r="S461" s="5"/>
    </row>
    <row r="462" spans="1:19" ht="15.75" customHeight="1" x14ac:dyDescent="0.2">
      <c r="A462" s="3">
        <v>46147</v>
      </c>
      <c r="B462" s="4" t="str">
        <f>IF(A462="","","PC-"&amp;TEXT(A462,"mm/yyyy")&amp;"-"&amp;TEXT(COUNTIFS($A$2:A462,"&gt;="&amp;EOMONTH(A462,-1)+1,$A$2:A462,"&lt;="&amp;EOMONTH(A462,0)),"000"))</f>
        <v>PC-05/2026-258</v>
      </c>
      <c r="C462" s="5" t="s">
        <v>1131</v>
      </c>
      <c r="D462" s="5" t="s">
        <v>29</v>
      </c>
      <c r="E462" s="5" t="s">
        <v>41</v>
      </c>
      <c r="F462" s="5"/>
      <c r="G462" s="5" t="s">
        <v>42</v>
      </c>
      <c r="H462" s="5" t="s">
        <v>23</v>
      </c>
      <c r="I462" s="6">
        <v>100000</v>
      </c>
      <c r="J462" s="6">
        <f>IF(D462="Thu",I462,0)</f>
        <v>0</v>
      </c>
      <c r="K462" s="6">
        <f>IF(D462="Chi",I462,0)</f>
        <v>100000</v>
      </c>
      <c r="L462" s="6" t="e">
        <f>L461+J462-K462</f>
        <v>#VALUE!</v>
      </c>
      <c r="M462" s="6">
        <f ca="1">IFERROR(__xludf.DUMMYFUNCTION("SUM(FILTER(J:J, H:H=""Tiền mặt"")) - SUM(FILTER(K:K, H:H=""Tiền mặt""))
"),959000)</f>
        <v>959000</v>
      </c>
      <c r="N462" s="6">
        <f ca="1">IFERROR(__xludf.DUMMYFUNCTION("SUM(FILTER(J:J, H:H=""Chuyển khoản"")) - SUM(FILTER(K:K, H:H=""Chuyển khoản""))
"),4468984)</f>
        <v>4468984</v>
      </c>
      <c r="O462" s="5"/>
      <c r="P462" s="5"/>
      <c r="Q462" s="5"/>
      <c r="R462" s="5"/>
      <c r="S462" s="5"/>
    </row>
    <row r="463" spans="1:19" ht="15.75" customHeight="1" x14ac:dyDescent="0.2">
      <c r="A463" s="3">
        <v>46147</v>
      </c>
      <c r="B463" s="4" t="str">
        <f>IF(A463="","","PC-"&amp;TEXT(A463,"mm/yyyy")&amp;"-"&amp;TEXT(COUNTIFS($A$2:A463,"&gt;="&amp;EOMONTH(A463,-1)+1,$A$2:A463,"&lt;="&amp;EOMONTH(A463,0)),"000"))</f>
        <v>PC-05/2026-259</v>
      </c>
      <c r="C463" s="5" t="s">
        <v>1132</v>
      </c>
      <c r="D463" s="5" t="s">
        <v>29</v>
      </c>
      <c r="E463" s="5" t="s">
        <v>36</v>
      </c>
      <c r="F463" s="5"/>
      <c r="G463" s="5" t="s">
        <v>37</v>
      </c>
      <c r="H463" s="5" t="s">
        <v>23</v>
      </c>
      <c r="I463" s="6">
        <v>38000</v>
      </c>
      <c r="J463" s="6">
        <f>IF(D463="Thu",I463,0)</f>
        <v>0</v>
      </c>
      <c r="K463" s="6">
        <f>IF(D463="Chi",I463,0)</f>
        <v>38000</v>
      </c>
      <c r="L463" s="6" t="e">
        <f>L462+J463-K463</f>
        <v>#VALUE!</v>
      </c>
      <c r="M463" s="6">
        <f ca="1">IFERROR(__xludf.DUMMYFUNCTION("SUM(FILTER(J:J, H:H=""Tiền mặt"")) - SUM(FILTER(K:K, H:H=""Tiền mặt""))
"),959000)</f>
        <v>959000</v>
      </c>
      <c r="N463" s="6">
        <f ca="1">IFERROR(__xludf.DUMMYFUNCTION("SUM(FILTER(J:J, H:H=""Chuyển khoản"")) - SUM(FILTER(K:K, H:H=""Chuyển khoản""))
"),4468984)</f>
        <v>4468984</v>
      </c>
      <c r="O463" s="5"/>
      <c r="P463" s="5"/>
      <c r="Q463" s="5"/>
      <c r="R463" s="5"/>
      <c r="S463" s="5"/>
    </row>
    <row r="464" spans="1:19" ht="15.75" customHeight="1" x14ac:dyDescent="0.2">
      <c r="A464" s="3">
        <v>46147</v>
      </c>
      <c r="B464" s="4" t="str">
        <f>IF(A464="","","PC-"&amp;TEXT(A464,"mm/yyyy")&amp;"-"&amp;TEXT(COUNTIFS($A$2:A464,"&gt;="&amp;EOMONTH(A464,-1)+1,$A$2:A464,"&lt;="&amp;EOMONTH(A464,0)),"000"))</f>
        <v>PC-05/2026-260</v>
      </c>
      <c r="C464" s="5" t="s">
        <v>1133</v>
      </c>
      <c r="D464" s="5" t="s">
        <v>29</v>
      </c>
      <c r="E464" s="5" t="s">
        <v>41</v>
      </c>
      <c r="F464" s="5"/>
      <c r="G464" s="5" t="s">
        <v>82</v>
      </c>
      <c r="H464" s="5" t="s">
        <v>23</v>
      </c>
      <c r="I464" s="6">
        <v>100000</v>
      </c>
      <c r="J464" s="6">
        <f>IF(D464="Thu",I464,0)</f>
        <v>0</v>
      </c>
      <c r="K464" s="6">
        <f>IF(D464="Chi",I464,0)</f>
        <v>100000</v>
      </c>
      <c r="L464" s="6" t="e">
        <f>L463+J464-K464</f>
        <v>#VALUE!</v>
      </c>
      <c r="M464" s="6">
        <f ca="1">IFERROR(__xludf.DUMMYFUNCTION("SUM(FILTER(J:J, H:H=""Tiền mặt"")) - SUM(FILTER(K:K, H:H=""Tiền mặt""))
"),959000)</f>
        <v>959000</v>
      </c>
      <c r="N464" s="6">
        <f ca="1">IFERROR(__xludf.DUMMYFUNCTION("SUM(FILTER(J:J, H:H=""Chuyển khoản"")) - SUM(FILTER(K:K, H:H=""Chuyển khoản""))
"),4468984)</f>
        <v>4468984</v>
      </c>
      <c r="O464" s="5"/>
      <c r="P464" s="5"/>
      <c r="Q464" s="5"/>
      <c r="R464" s="5"/>
      <c r="S464" s="5"/>
    </row>
    <row r="465" spans="1:19" ht="15.75" customHeight="1" x14ac:dyDescent="0.2">
      <c r="A465" s="3">
        <v>46147</v>
      </c>
      <c r="B465" s="4" t="str">
        <f>IF(A465="","","PC-"&amp;TEXT(A465,"mm/yyyy")&amp;"-"&amp;TEXT(COUNTIFS($A$2:A465,"&gt;="&amp;EOMONTH(A465,-1)+1,$A$2:A465,"&lt;="&amp;EOMONTH(A465,0)),"000"))</f>
        <v>PC-05/2026-261</v>
      </c>
      <c r="C465" s="5" t="s">
        <v>1134</v>
      </c>
      <c r="D465" s="5" t="s">
        <v>29</v>
      </c>
      <c r="E465" s="5" t="s">
        <v>41</v>
      </c>
      <c r="F465" s="5"/>
      <c r="G465" s="5" t="s">
        <v>42</v>
      </c>
      <c r="H465" s="5" t="s">
        <v>23</v>
      </c>
      <c r="I465" s="6">
        <v>100000</v>
      </c>
      <c r="J465" s="6">
        <f>IF(D465="Thu",I465,0)</f>
        <v>0</v>
      </c>
      <c r="K465" s="6">
        <f>IF(D465="Chi",I465,0)</f>
        <v>100000</v>
      </c>
      <c r="L465" s="6" t="e">
        <f>L464+J465-K465</f>
        <v>#VALUE!</v>
      </c>
      <c r="M465" s="6">
        <f ca="1">IFERROR(__xludf.DUMMYFUNCTION("SUM(FILTER(J:J, H:H=""Tiền mặt"")) - SUM(FILTER(K:K, H:H=""Tiền mặt""))
"),959000)</f>
        <v>959000</v>
      </c>
      <c r="N465" s="6">
        <f ca="1">IFERROR(__xludf.DUMMYFUNCTION("SUM(FILTER(J:J, H:H=""Chuyển khoản"")) - SUM(FILTER(K:K, H:H=""Chuyển khoản""))
"),4468984)</f>
        <v>4468984</v>
      </c>
      <c r="O465" s="5"/>
      <c r="P465" s="5"/>
      <c r="Q465" s="5"/>
      <c r="R465" s="5"/>
      <c r="S465" s="5"/>
    </row>
    <row r="466" spans="1:19" ht="15.75" customHeight="1" x14ac:dyDescent="0.2">
      <c r="A466" s="3">
        <v>46147</v>
      </c>
      <c r="B466" s="4" t="str">
        <f>IF(A466="","","PC-"&amp;TEXT(A466,"mm/yyyy")&amp;"-"&amp;TEXT(COUNTIFS($A$2:A466,"&gt;="&amp;EOMONTH(A466,-1)+1,$A$2:A466,"&lt;="&amp;EOMONTH(A466,0)),"000"))</f>
        <v>PC-05/2026-262</v>
      </c>
      <c r="C466" s="5" t="s">
        <v>1135</v>
      </c>
      <c r="D466" s="5" t="s">
        <v>20</v>
      </c>
      <c r="E466" s="5" t="s">
        <v>21</v>
      </c>
      <c r="F466" s="5"/>
      <c r="G466" s="5" t="s">
        <v>22</v>
      </c>
      <c r="H466" s="5" t="s">
        <v>23</v>
      </c>
      <c r="I466" s="6">
        <v>5000000</v>
      </c>
      <c r="J466" s="6">
        <f>IF(D466="Thu",I466,0)</f>
        <v>5000000</v>
      </c>
      <c r="K466" s="6">
        <f>IF(D466="Chi",I466,0)</f>
        <v>0</v>
      </c>
      <c r="L466" s="6" t="e">
        <f>L465+J466-K466</f>
        <v>#VALUE!</v>
      </c>
      <c r="M466" s="6">
        <f ca="1">IFERROR(__xludf.DUMMYFUNCTION("SUM(FILTER(J:J, H:H=""Tiền mặt"")) - SUM(FILTER(K:K, H:H=""Tiền mặt""))
"),959000)</f>
        <v>959000</v>
      </c>
      <c r="N466" s="6">
        <f ca="1">IFERROR(__xludf.DUMMYFUNCTION("SUM(FILTER(J:J, H:H=""Chuyển khoản"")) - SUM(FILTER(K:K, H:H=""Chuyển khoản""))
"),4468984)</f>
        <v>4468984</v>
      </c>
      <c r="O466" s="5"/>
      <c r="P466" s="5"/>
      <c r="Q466" s="5"/>
      <c r="R466" s="5"/>
      <c r="S466" s="5"/>
    </row>
    <row r="467" spans="1:19" ht="15.75" customHeight="1" x14ac:dyDescent="0.2">
      <c r="A467" s="3">
        <v>46147</v>
      </c>
      <c r="B467" s="4" t="str">
        <f>IF(A467="","","PC-"&amp;TEXT(A467,"mm/yyyy")&amp;"-"&amp;TEXT(COUNTIFS($A$2:A467,"&gt;="&amp;EOMONTH(A467,-1)+1,$A$2:A467,"&lt;="&amp;EOMONTH(A467,0)),"000"))</f>
        <v>PC-05/2026-263</v>
      </c>
      <c r="C467" s="5" t="s">
        <v>1136</v>
      </c>
      <c r="D467" s="5" t="s">
        <v>29</v>
      </c>
      <c r="E467" s="5" t="s">
        <v>44</v>
      </c>
      <c r="F467" s="5"/>
      <c r="G467" s="5" t="s">
        <v>744</v>
      </c>
      <c r="H467" s="5" t="s">
        <v>23</v>
      </c>
      <c r="I467" s="6">
        <v>2000000</v>
      </c>
      <c r="J467" s="6">
        <f>IF(D467="Thu",I467,0)</f>
        <v>0</v>
      </c>
      <c r="K467" s="6">
        <f>IF(D467="Chi",I467,0)</f>
        <v>2000000</v>
      </c>
      <c r="L467" s="6" t="e">
        <f>L466+J467-K467</f>
        <v>#VALUE!</v>
      </c>
      <c r="M467" s="6">
        <f ca="1">IFERROR(__xludf.DUMMYFUNCTION("SUM(FILTER(J:J, H:H=""Tiền mặt"")) - SUM(FILTER(K:K, H:H=""Tiền mặt""))
"),959000)</f>
        <v>959000</v>
      </c>
      <c r="N467" s="6">
        <f ca="1">IFERROR(__xludf.DUMMYFUNCTION("SUM(FILTER(J:J, H:H=""Chuyển khoản"")) - SUM(FILTER(K:K, H:H=""Chuyển khoản""))
"),4468984)</f>
        <v>4468984</v>
      </c>
      <c r="O467" s="5"/>
      <c r="P467" s="5"/>
      <c r="Q467" s="5"/>
      <c r="R467" s="5"/>
      <c r="S467" s="5"/>
    </row>
    <row r="468" spans="1:19" ht="15.75" customHeight="1" x14ac:dyDescent="0.2">
      <c r="A468" s="3">
        <v>46147</v>
      </c>
      <c r="B468" s="4" t="str">
        <f>IF(A468="","","PC-"&amp;TEXT(A468,"mm/yyyy")&amp;"-"&amp;TEXT(COUNTIFS($A$2:A468,"&gt;="&amp;EOMONTH(A468,-1)+1,$A$2:A468,"&lt;="&amp;EOMONTH(A468,0)),"000"))</f>
        <v>PC-05/2026-264</v>
      </c>
      <c r="C468" s="5" t="s">
        <v>1137</v>
      </c>
      <c r="D468" s="5" t="s">
        <v>29</v>
      </c>
      <c r="E468" s="5" t="s">
        <v>47</v>
      </c>
      <c r="F468" s="5"/>
      <c r="G468" s="5" t="s">
        <v>48</v>
      </c>
      <c r="H468" s="5" t="s">
        <v>23</v>
      </c>
      <c r="I468" s="6">
        <v>50000</v>
      </c>
      <c r="J468" s="6">
        <f>IF(D468="Thu",I468,0)</f>
        <v>0</v>
      </c>
      <c r="K468" s="6">
        <f>IF(D468="Chi",I468,0)</f>
        <v>50000</v>
      </c>
      <c r="L468" s="6" t="e">
        <f>L467+J468-K468</f>
        <v>#VALUE!</v>
      </c>
      <c r="M468" s="6">
        <f ca="1">IFERROR(__xludf.DUMMYFUNCTION("SUM(FILTER(J:J, H:H=""Tiền mặt"")) - SUM(FILTER(K:K, H:H=""Tiền mặt""))
"),959000)</f>
        <v>959000</v>
      </c>
      <c r="N468" s="6">
        <f ca="1">IFERROR(__xludf.DUMMYFUNCTION("SUM(FILTER(J:J, H:H=""Chuyển khoản"")) - SUM(FILTER(K:K, H:H=""Chuyển khoản""))
"),4468984)</f>
        <v>4468984</v>
      </c>
      <c r="O468" s="5"/>
      <c r="P468" s="5"/>
      <c r="Q468" s="5"/>
      <c r="R468" s="5"/>
      <c r="S468" s="5"/>
    </row>
    <row r="469" spans="1:19" ht="15.75" customHeight="1" x14ac:dyDescent="0.2">
      <c r="A469" s="3">
        <v>46147</v>
      </c>
      <c r="B469" s="4" t="str">
        <f>IF(A469="","","PC-"&amp;TEXT(A469,"mm/yyyy")&amp;"-"&amp;TEXT(COUNTIFS($A$2:A469,"&gt;="&amp;EOMONTH(A469,-1)+1,$A$2:A469,"&lt;="&amp;EOMONTH(A469,0)),"000"))</f>
        <v>PC-05/2026-265</v>
      </c>
      <c r="C469" s="5" t="s">
        <v>1138</v>
      </c>
      <c r="D469" s="5" t="s">
        <v>20</v>
      </c>
      <c r="E469" s="5" t="s">
        <v>21</v>
      </c>
      <c r="F469" s="5"/>
      <c r="G469" s="5" t="s">
        <v>1139</v>
      </c>
      <c r="H469" s="5" t="s">
        <v>23</v>
      </c>
      <c r="I469" s="6">
        <v>1200000</v>
      </c>
      <c r="J469" s="6">
        <f>IF(D469="Thu",I469,0)</f>
        <v>1200000</v>
      </c>
      <c r="K469" s="6">
        <f>IF(D469="Chi",I469,0)</f>
        <v>0</v>
      </c>
      <c r="L469" s="6" t="e">
        <f>L468+J469-K469</f>
        <v>#VALUE!</v>
      </c>
      <c r="M469" s="6">
        <f ca="1">IFERROR(__xludf.DUMMYFUNCTION("SUM(FILTER(J:J, H:H=""Tiền mặt"")) - SUM(FILTER(K:K, H:H=""Tiền mặt""))
"),959000)</f>
        <v>959000</v>
      </c>
      <c r="N469" s="6">
        <f ca="1">IFERROR(__xludf.DUMMYFUNCTION("SUM(FILTER(J:J, H:H=""Chuyển khoản"")) - SUM(FILTER(K:K, H:H=""Chuyển khoản""))
"),4468984)</f>
        <v>4468984</v>
      </c>
      <c r="O469" s="5"/>
      <c r="P469" s="5"/>
      <c r="Q469" s="5"/>
      <c r="R469" s="5"/>
      <c r="S469" s="5"/>
    </row>
    <row r="470" spans="1:19" ht="15.75" customHeight="1" x14ac:dyDescent="0.2">
      <c r="A470" s="3">
        <v>46147</v>
      </c>
      <c r="B470" s="4" t="str">
        <f>IF(A470="","","PC-"&amp;TEXT(A470,"mm/yyyy")&amp;"-"&amp;TEXT(COUNTIFS($A$2:A470,"&gt;="&amp;EOMONTH(A470,-1)+1,$A$2:A470,"&lt;="&amp;EOMONTH(A470,0)),"000"))</f>
        <v>PC-05/2026-266</v>
      </c>
      <c r="C470" s="5" t="s">
        <v>1140</v>
      </c>
      <c r="D470" s="5" t="s">
        <v>29</v>
      </c>
      <c r="E470" s="5" t="s">
        <v>674</v>
      </c>
      <c r="F470" s="5"/>
      <c r="G470" s="5" t="s">
        <v>571</v>
      </c>
      <c r="H470" s="5" t="s">
        <v>23</v>
      </c>
      <c r="I470" s="6">
        <v>1615000</v>
      </c>
      <c r="J470" s="6">
        <f>IF(D470="Thu",I470,0)</f>
        <v>0</v>
      </c>
      <c r="K470" s="6">
        <f>IF(D470="Chi",I470,0)</f>
        <v>1615000</v>
      </c>
      <c r="L470" s="6" t="e">
        <f>L469+J470-K470</f>
        <v>#VALUE!</v>
      </c>
      <c r="M470" s="6">
        <f ca="1">IFERROR(__xludf.DUMMYFUNCTION("SUM(FILTER(J:J, H:H=""Tiền mặt"")) - SUM(FILTER(K:K, H:H=""Tiền mặt""))
"),959000)</f>
        <v>959000</v>
      </c>
      <c r="N470" s="6">
        <f ca="1">IFERROR(__xludf.DUMMYFUNCTION("SUM(FILTER(J:J, H:H=""Chuyển khoản"")) - SUM(FILTER(K:K, H:H=""Chuyển khoản""))
"),4468984)</f>
        <v>4468984</v>
      </c>
      <c r="O470" s="5"/>
      <c r="P470" s="5"/>
      <c r="Q470" s="5"/>
      <c r="R470" s="5"/>
      <c r="S470" s="5"/>
    </row>
    <row r="471" spans="1:19" ht="15.75" customHeight="1" x14ac:dyDescent="0.2">
      <c r="A471" s="3">
        <v>46146</v>
      </c>
      <c r="B471" s="4" t="str">
        <f>IF(A471="","","PC-"&amp;TEXT(A471,"mm/yyyy")&amp;"-"&amp;TEXT(COUNTIFS($A$2:A471,"&gt;="&amp;EOMONTH(A471,-1)+1,$A$2:A471,"&lt;="&amp;EOMONTH(A471,0)),"000"))</f>
        <v>PC-05/2026-267</v>
      </c>
      <c r="C471" s="5" t="s">
        <v>1104</v>
      </c>
      <c r="D471" s="5" t="s">
        <v>20</v>
      </c>
      <c r="E471" s="5" t="s">
        <v>21</v>
      </c>
      <c r="F471" s="5"/>
      <c r="G471" s="5" t="s">
        <v>22</v>
      </c>
      <c r="H471" s="5" t="s">
        <v>23</v>
      </c>
      <c r="I471" s="6">
        <v>3500000</v>
      </c>
      <c r="J471" s="6">
        <f>IF(D471="Thu",I471,0)</f>
        <v>3500000</v>
      </c>
      <c r="K471" s="6">
        <f>IF(D471="Chi",I471,0)</f>
        <v>0</v>
      </c>
      <c r="L471" s="6" t="e">
        <f>L470+J471-K471</f>
        <v>#VALUE!</v>
      </c>
      <c r="M471" s="6">
        <f ca="1">IFERROR(__xludf.DUMMYFUNCTION("SUM(FILTER(J:J, H:H=""Tiền mặt"")) - SUM(FILTER(K:K, H:H=""Tiền mặt""))
"),959000)</f>
        <v>959000</v>
      </c>
      <c r="N471" s="6">
        <f ca="1">IFERROR(__xludf.DUMMYFUNCTION("SUM(FILTER(J:J, H:H=""Chuyển khoản"")) - SUM(FILTER(K:K, H:H=""Chuyển khoản""))
"),4468984)</f>
        <v>4468984</v>
      </c>
      <c r="O471" s="5"/>
      <c r="P471" s="5"/>
      <c r="Q471" s="5"/>
      <c r="R471" s="5"/>
      <c r="S471" s="5"/>
    </row>
    <row r="472" spans="1:19" ht="15.75" customHeight="1" x14ac:dyDescent="0.2">
      <c r="A472" s="3">
        <v>46146</v>
      </c>
      <c r="B472" s="4" t="str">
        <f>IF(A472="","","PC-"&amp;TEXT(A472,"mm/yyyy")&amp;"-"&amp;TEXT(COUNTIFS($A$2:A472,"&gt;="&amp;EOMONTH(A472,-1)+1,$A$2:A472,"&lt;="&amp;EOMONTH(A472,0)),"000"))</f>
        <v>PC-05/2026-268</v>
      </c>
      <c r="C472" s="5" t="s">
        <v>1105</v>
      </c>
      <c r="D472" s="5" t="s">
        <v>29</v>
      </c>
      <c r="E472" s="5" t="s">
        <v>44</v>
      </c>
      <c r="F472" s="5"/>
      <c r="G472" s="5" t="s">
        <v>432</v>
      </c>
      <c r="H472" s="5" t="s">
        <v>23</v>
      </c>
      <c r="I472" s="6">
        <v>1500000</v>
      </c>
      <c r="J472" s="6">
        <f>IF(D472="Thu",I472,0)</f>
        <v>0</v>
      </c>
      <c r="K472" s="6">
        <f>IF(D472="Chi",I472,0)</f>
        <v>1500000</v>
      </c>
      <c r="L472" s="6" t="e">
        <f>L471+J472-K472</f>
        <v>#VALUE!</v>
      </c>
      <c r="M472" s="6">
        <f ca="1">IFERROR(__xludf.DUMMYFUNCTION("SUM(FILTER(J:J, H:H=""Tiền mặt"")) - SUM(FILTER(K:K, H:H=""Tiền mặt""))
"),959000)</f>
        <v>959000</v>
      </c>
      <c r="N472" s="6">
        <f ca="1">IFERROR(__xludf.DUMMYFUNCTION("SUM(FILTER(J:J, H:H=""Chuyển khoản"")) - SUM(FILTER(K:K, H:H=""Chuyển khoản""))
"),4468984)</f>
        <v>4468984</v>
      </c>
      <c r="O472" s="5"/>
      <c r="P472" s="5"/>
      <c r="Q472" s="5"/>
      <c r="R472" s="5"/>
      <c r="S472" s="5"/>
    </row>
    <row r="473" spans="1:19" ht="15.75" customHeight="1" x14ac:dyDescent="0.2">
      <c r="A473" s="3">
        <v>46146</v>
      </c>
      <c r="B473" s="4" t="str">
        <f>IF(A473="","","PC-"&amp;TEXT(A473,"mm/yyyy")&amp;"-"&amp;TEXT(COUNTIFS($A$2:A473,"&gt;="&amp;EOMONTH(A473,-1)+1,$A$2:A473,"&lt;="&amp;EOMONTH(A473,0)),"000"))</f>
        <v>PC-05/2026-269</v>
      </c>
      <c r="C473" s="5" t="s">
        <v>1106</v>
      </c>
      <c r="D473" s="5" t="s">
        <v>29</v>
      </c>
      <c r="E473" s="5" t="s">
        <v>44</v>
      </c>
      <c r="F473" s="5"/>
      <c r="G473" s="5" t="s">
        <v>995</v>
      </c>
      <c r="H473" s="5" t="s">
        <v>23</v>
      </c>
      <c r="I473" s="6">
        <v>1500000</v>
      </c>
      <c r="J473" s="6">
        <f>IF(D473="Thu",I473,0)</f>
        <v>0</v>
      </c>
      <c r="K473" s="6">
        <f>IF(D473="Chi",I473,0)</f>
        <v>1500000</v>
      </c>
      <c r="L473" s="6" t="e">
        <f>L472+J473-K473</f>
        <v>#VALUE!</v>
      </c>
      <c r="M473" s="6">
        <f ca="1">IFERROR(__xludf.DUMMYFUNCTION("SUM(FILTER(J:J, H:H=""Tiền mặt"")) - SUM(FILTER(K:K, H:H=""Tiền mặt""))
"),959000)</f>
        <v>959000</v>
      </c>
      <c r="N473" s="6">
        <f ca="1">IFERROR(__xludf.DUMMYFUNCTION("SUM(FILTER(J:J, H:H=""Chuyển khoản"")) - SUM(FILTER(K:K, H:H=""Chuyển khoản""))
"),4468984)</f>
        <v>4468984</v>
      </c>
      <c r="O473" s="5"/>
      <c r="P473" s="5"/>
      <c r="Q473" s="5"/>
      <c r="R473" s="5"/>
      <c r="S473" s="5"/>
    </row>
    <row r="474" spans="1:19" ht="15.75" customHeight="1" x14ac:dyDescent="0.2">
      <c r="A474" s="3">
        <v>46146</v>
      </c>
      <c r="B474" s="4" t="str">
        <f>IF(A474="","","PC-"&amp;TEXT(A474,"mm/yyyy")&amp;"-"&amp;TEXT(COUNTIFS($A$2:A474,"&gt;="&amp;EOMONTH(A474,-1)+1,$A$2:A474,"&lt;="&amp;EOMONTH(A474,0)),"000"))</f>
        <v>PC-05/2026-270</v>
      </c>
      <c r="C474" s="7" t="s">
        <v>1107</v>
      </c>
      <c r="D474" s="5" t="s">
        <v>29</v>
      </c>
      <c r="E474" s="5" t="s">
        <v>47</v>
      </c>
      <c r="F474" s="5"/>
      <c r="G474" s="5" t="s">
        <v>48</v>
      </c>
      <c r="H474" s="5" t="s">
        <v>23</v>
      </c>
      <c r="I474" s="6">
        <v>50000</v>
      </c>
      <c r="J474" s="6">
        <f>IF(D474="Thu",I474,0)</f>
        <v>0</v>
      </c>
      <c r="K474" s="6">
        <f>IF(D474="Chi",I474,0)</f>
        <v>50000</v>
      </c>
      <c r="L474" s="6" t="e">
        <f>L473+J474-K474</f>
        <v>#VALUE!</v>
      </c>
      <c r="M474" s="6">
        <f ca="1">IFERROR(__xludf.DUMMYFUNCTION("SUM(FILTER(J:J, H:H=""Tiền mặt"")) - SUM(FILTER(K:K, H:H=""Tiền mặt""))
"),959000)</f>
        <v>959000</v>
      </c>
      <c r="N474" s="6">
        <f ca="1">IFERROR(__xludf.DUMMYFUNCTION("SUM(FILTER(J:J, H:H=""Chuyển khoản"")) - SUM(FILTER(K:K, H:H=""Chuyển khoản""))
"),4468984)</f>
        <v>4468984</v>
      </c>
      <c r="O474" s="5"/>
      <c r="P474" s="5"/>
      <c r="Q474" s="5"/>
      <c r="R474" s="5"/>
      <c r="S474" s="5"/>
    </row>
    <row r="475" spans="1:19" ht="15.75" customHeight="1" x14ac:dyDescent="0.2">
      <c r="A475" s="3">
        <v>46146</v>
      </c>
      <c r="B475" s="4" t="str">
        <f>IF(A475="","","PC-"&amp;TEXT(A475,"mm/yyyy")&amp;"-"&amp;TEXT(COUNTIFS($A$2:A475,"&gt;="&amp;EOMONTH(A475,-1)+1,$A$2:A475,"&lt;="&amp;EOMONTH(A475,0)),"000"))</f>
        <v>PC-05/2026-271</v>
      </c>
      <c r="C475" s="5" t="s">
        <v>1108</v>
      </c>
      <c r="D475" s="5" t="s">
        <v>29</v>
      </c>
      <c r="E475" s="5" t="s">
        <v>33</v>
      </c>
      <c r="F475" s="5"/>
      <c r="G475" s="5" t="s">
        <v>37</v>
      </c>
      <c r="H475" s="5" t="s">
        <v>23</v>
      </c>
      <c r="I475" s="6">
        <v>250000</v>
      </c>
      <c r="J475" s="6">
        <f>IF(D475="Thu",I475,0)</f>
        <v>0</v>
      </c>
      <c r="K475" s="6">
        <f>IF(D475="Chi",I475,0)</f>
        <v>250000</v>
      </c>
      <c r="L475" s="6" t="e">
        <f>L474+J475-K475</f>
        <v>#VALUE!</v>
      </c>
      <c r="M475" s="6">
        <f ca="1">IFERROR(__xludf.DUMMYFUNCTION("SUM(FILTER(J:J, H:H=""Tiền mặt"")) - SUM(FILTER(K:K, H:H=""Tiền mặt""))
"),959000)</f>
        <v>959000</v>
      </c>
      <c r="N475" s="6">
        <f ca="1">IFERROR(__xludf.DUMMYFUNCTION("SUM(FILTER(J:J, H:H=""Chuyển khoản"")) - SUM(FILTER(K:K, H:H=""Chuyển khoản""))
"),4468984)</f>
        <v>4468984</v>
      </c>
      <c r="O475" s="5"/>
      <c r="P475" s="5"/>
      <c r="Q475" s="5"/>
      <c r="R475" s="5"/>
      <c r="S475" s="5"/>
    </row>
    <row r="476" spans="1:19" ht="15.75" customHeight="1" x14ac:dyDescent="0.2">
      <c r="A476" s="3">
        <v>46146</v>
      </c>
      <c r="B476" s="4" t="str">
        <f>IF(A476="","","PC-"&amp;TEXT(A476,"mm/yyyy")&amp;"-"&amp;TEXT(COUNTIFS($A$2:A476,"&gt;="&amp;EOMONTH(A476,-1)+1,$A$2:A476,"&lt;="&amp;EOMONTH(A476,0)),"000"))</f>
        <v>PC-05/2026-272</v>
      </c>
      <c r="C476" s="5" t="s">
        <v>1109</v>
      </c>
      <c r="D476" s="5" t="s">
        <v>29</v>
      </c>
      <c r="E476" s="5" t="s">
        <v>30</v>
      </c>
      <c r="F476" s="5"/>
      <c r="G476" s="5" t="s">
        <v>31</v>
      </c>
      <c r="H476" s="5" t="s">
        <v>27</v>
      </c>
      <c r="I476" s="6">
        <v>380000</v>
      </c>
      <c r="J476" s="6">
        <f>IF(D476="Thu",I476,0)</f>
        <v>0</v>
      </c>
      <c r="K476" s="6">
        <f>IF(D476="Chi",I476,0)</f>
        <v>380000</v>
      </c>
      <c r="L476" s="6" t="e">
        <f>L475+J476-K476</f>
        <v>#VALUE!</v>
      </c>
      <c r="M476" s="6">
        <f ca="1">IFERROR(__xludf.DUMMYFUNCTION("SUM(FILTER(J:J, H:H=""Tiền mặt"")) - SUM(FILTER(K:K, H:H=""Tiền mặt""))
"),959000)</f>
        <v>959000</v>
      </c>
      <c r="N476" s="6">
        <f ca="1">IFERROR(__xludf.DUMMYFUNCTION("SUM(FILTER(J:J, H:H=""Chuyển khoản"")) - SUM(FILTER(K:K, H:H=""Chuyển khoản""))
"),4468984)</f>
        <v>4468984</v>
      </c>
      <c r="O476" s="5"/>
      <c r="P476" s="5"/>
      <c r="Q476" s="5"/>
      <c r="R476" s="5"/>
      <c r="S476" s="5"/>
    </row>
    <row r="477" spans="1:19" ht="15.75" customHeight="1" x14ac:dyDescent="0.2">
      <c r="A477" s="3">
        <v>46146</v>
      </c>
      <c r="B477" s="4" t="str">
        <f>IF(A477="","","PC-"&amp;TEXT(A477,"mm/yyyy")&amp;"-"&amp;TEXT(COUNTIFS($A$2:A477,"&gt;="&amp;EOMONTH(A477,-1)+1,$A$2:A477,"&lt;="&amp;EOMONTH(A477,0)),"000"))</f>
        <v>PC-05/2026-273</v>
      </c>
      <c r="C477" s="5" t="s">
        <v>1110</v>
      </c>
      <c r="D477" s="5" t="s">
        <v>29</v>
      </c>
      <c r="E477" s="5" t="s">
        <v>71</v>
      </c>
      <c r="F477" s="5"/>
      <c r="G477" s="5" t="s">
        <v>1111</v>
      </c>
      <c r="H477" s="5" t="s">
        <v>27</v>
      </c>
      <c r="I477" s="6">
        <v>73000</v>
      </c>
      <c r="J477" s="6">
        <f>IF(D477="Thu",I477,0)</f>
        <v>0</v>
      </c>
      <c r="K477" s="6">
        <f>IF(D477="Chi",I477,0)</f>
        <v>73000</v>
      </c>
      <c r="L477" s="6" t="e">
        <f>L476+J477-K477</f>
        <v>#VALUE!</v>
      </c>
      <c r="M477" s="6">
        <f ca="1">IFERROR(__xludf.DUMMYFUNCTION("SUM(FILTER(J:J, H:H=""Tiền mặt"")) - SUM(FILTER(K:K, H:H=""Tiền mặt""))
"),959000)</f>
        <v>959000</v>
      </c>
      <c r="N477" s="6">
        <f ca="1">IFERROR(__xludf.DUMMYFUNCTION("SUM(FILTER(J:J, H:H=""Chuyển khoản"")) - SUM(FILTER(K:K, H:H=""Chuyển khoản""))
"),4468984)</f>
        <v>4468984</v>
      </c>
      <c r="O477" s="5"/>
      <c r="P477" s="5"/>
      <c r="Q477" s="5"/>
      <c r="R477" s="5"/>
      <c r="S477" s="5"/>
    </row>
    <row r="478" spans="1:19" ht="15.75" customHeight="1" x14ac:dyDescent="0.2">
      <c r="A478" s="3">
        <v>46146</v>
      </c>
      <c r="B478" s="4" t="str">
        <f>IF(A478="","","PC-"&amp;TEXT(A478,"mm/yyyy")&amp;"-"&amp;TEXT(COUNTIFS($A$2:A478,"&gt;="&amp;EOMONTH(A478,-1)+1,$A$2:A478,"&lt;="&amp;EOMONTH(A478,0)),"000"))</f>
        <v>PC-05/2026-274</v>
      </c>
      <c r="C478" s="5" t="s">
        <v>1112</v>
      </c>
      <c r="D478" s="5" t="s">
        <v>29</v>
      </c>
      <c r="E478" s="5" t="s">
        <v>44</v>
      </c>
      <c r="F478" s="5"/>
      <c r="G478" s="5" t="s">
        <v>1113</v>
      </c>
      <c r="H478" s="5" t="s">
        <v>23</v>
      </c>
      <c r="I478" s="6">
        <v>0</v>
      </c>
      <c r="J478" s="6">
        <f>IF(D478="Thu",I478,0)</f>
        <v>0</v>
      </c>
      <c r="K478" s="6">
        <f>IF(D478="Chi",I478,0)</f>
        <v>0</v>
      </c>
      <c r="L478" s="6" t="e">
        <f>L477+J478-K478</f>
        <v>#VALUE!</v>
      </c>
      <c r="M478" s="6">
        <f ca="1">IFERROR(__xludf.DUMMYFUNCTION("SUM(FILTER(J:J, H:H=""Tiền mặt"")) - SUM(FILTER(K:K, H:H=""Tiền mặt""))
"),959000)</f>
        <v>959000</v>
      </c>
      <c r="N478" s="6">
        <f ca="1">IFERROR(__xludf.DUMMYFUNCTION("SUM(FILTER(J:J, H:H=""Chuyển khoản"")) - SUM(FILTER(K:K, H:H=""Chuyển khoản""))
"),4468984)</f>
        <v>4468984</v>
      </c>
      <c r="O478" s="5"/>
      <c r="P478" s="5"/>
      <c r="Q478" s="5"/>
      <c r="R478" s="5"/>
      <c r="S478" s="5"/>
    </row>
    <row r="479" spans="1:19" ht="15.75" customHeight="1" x14ac:dyDescent="0.2">
      <c r="A479" s="3">
        <v>46146</v>
      </c>
      <c r="B479" s="4" t="str">
        <f>IF(A479="","","PC-"&amp;TEXT(A479,"mm/yyyy")&amp;"-"&amp;TEXT(COUNTIFS($A$2:A479,"&gt;="&amp;EOMONTH(A479,-1)+1,$A$2:A479,"&lt;="&amp;EOMONTH(A479,0)),"000"))</f>
        <v>PC-05/2026-275</v>
      </c>
      <c r="C479" s="5" t="s">
        <v>1114</v>
      </c>
      <c r="D479" s="5" t="s">
        <v>29</v>
      </c>
      <c r="E479" s="5" t="s">
        <v>44</v>
      </c>
      <c r="F479" s="5"/>
      <c r="G479" s="5" t="s">
        <v>1115</v>
      </c>
      <c r="H479" s="5" t="s">
        <v>23</v>
      </c>
      <c r="I479" s="6">
        <v>0</v>
      </c>
      <c r="J479" s="6">
        <f>IF(D479="Thu",I479,0)</f>
        <v>0</v>
      </c>
      <c r="K479" s="6">
        <f>IF(D479="Chi",I479,0)</f>
        <v>0</v>
      </c>
      <c r="L479" s="6" t="e">
        <f>L478+J479-K479</f>
        <v>#VALUE!</v>
      </c>
      <c r="M479" s="6">
        <f ca="1">IFERROR(__xludf.DUMMYFUNCTION("SUM(FILTER(J:J, H:H=""Tiền mặt"")) - SUM(FILTER(K:K, H:H=""Tiền mặt""))
"),959000)</f>
        <v>959000</v>
      </c>
      <c r="N479" s="6">
        <f ca="1">IFERROR(__xludf.DUMMYFUNCTION("SUM(FILTER(J:J, H:H=""Chuyển khoản"")) - SUM(FILTER(K:K, H:H=""Chuyển khoản""))
"),4468984)</f>
        <v>4468984</v>
      </c>
      <c r="O479" s="5"/>
      <c r="P479" s="5"/>
      <c r="Q479" s="5"/>
      <c r="R479" s="5"/>
      <c r="S479" s="5"/>
    </row>
    <row r="480" spans="1:19" ht="15.75" customHeight="1" x14ac:dyDescent="0.2">
      <c r="A480" s="3">
        <v>46146</v>
      </c>
      <c r="B480" s="4" t="str">
        <f>IF(A480="","","PC-"&amp;TEXT(A480,"mm/yyyy")&amp;"-"&amp;TEXT(COUNTIFS($A$2:A480,"&gt;="&amp;EOMONTH(A480,-1)+1,$A$2:A480,"&lt;="&amp;EOMONTH(A480,0)),"000"))</f>
        <v>PC-05/2026-276</v>
      </c>
      <c r="C480" s="5" t="s">
        <v>1116</v>
      </c>
      <c r="D480" s="5" t="s">
        <v>29</v>
      </c>
      <c r="E480" s="5" t="s">
        <v>44</v>
      </c>
      <c r="F480" s="5"/>
      <c r="G480" s="5" t="s">
        <v>1115</v>
      </c>
      <c r="H480" s="5" t="s">
        <v>23</v>
      </c>
      <c r="I480" s="6">
        <v>0</v>
      </c>
      <c r="J480" s="6">
        <f>IF(D480="Thu",I480,0)</f>
        <v>0</v>
      </c>
      <c r="K480" s="6">
        <f>IF(D480="Chi",I480,0)</f>
        <v>0</v>
      </c>
      <c r="L480" s="6" t="e">
        <f>L479+J480-K480</f>
        <v>#VALUE!</v>
      </c>
      <c r="M480" s="6">
        <f ca="1">IFERROR(__xludf.DUMMYFUNCTION("SUM(FILTER(J:J, H:H=""Tiền mặt"")) - SUM(FILTER(K:K, H:H=""Tiền mặt""))
"),959000)</f>
        <v>959000</v>
      </c>
      <c r="N480" s="6">
        <f ca="1">IFERROR(__xludf.DUMMYFUNCTION("SUM(FILTER(J:J, H:H=""Chuyển khoản"")) - SUM(FILTER(K:K, H:H=""Chuyển khoản""))
"),4468984)</f>
        <v>4468984</v>
      </c>
      <c r="O480" s="5"/>
      <c r="P480" s="5"/>
      <c r="Q480" s="5"/>
      <c r="R480" s="5"/>
      <c r="S480" s="5"/>
    </row>
    <row r="481" spans="1:19" ht="15.75" customHeight="1" x14ac:dyDescent="0.2">
      <c r="A481" s="3">
        <v>46146</v>
      </c>
      <c r="B481" s="4" t="str">
        <f>IF(A481="","","PC-"&amp;TEXT(A481,"mm/yyyy")&amp;"-"&amp;TEXT(COUNTIFS($A$2:A481,"&gt;="&amp;EOMONTH(A481,-1)+1,$A$2:A481,"&lt;="&amp;EOMONTH(A481,0)),"000"))</f>
        <v>PC-05/2026-277</v>
      </c>
      <c r="C481" s="5" t="s">
        <v>1117</v>
      </c>
      <c r="D481" s="5" t="s">
        <v>29</v>
      </c>
      <c r="E481" s="5" t="s">
        <v>41</v>
      </c>
      <c r="F481" s="5"/>
      <c r="G481" s="5" t="s">
        <v>82</v>
      </c>
      <c r="H481" s="5" t="s">
        <v>23</v>
      </c>
      <c r="I481" s="6">
        <v>100000</v>
      </c>
      <c r="J481" s="6">
        <f>IF(D481="Thu",I481,0)</f>
        <v>0</v>
      </c>
      <c r="K481" s="6">
        <f>IF(D481="Chi",I481,0)</f>
        <v>100000</v>
      </c>
      <c r="L481" s="6" t="e">
        <f>L480+J481-K481</f>
        <v>#VALUE!</v>
      </c>
      <c r="M481" s="6">
        <f ca="1">IFERROR(__xludf.DUMMYFUNCTION("SUM(FILTER(J:J, H:H=""Tiền mặt"")) - SUM(FILTER(K:K, H:H=""Tiền mặt""))
"),959000)</f>
        <v>959000</v>
      </c>
      <c r="N481" s="6">
        <f ca="1">IFERROR(__xludf.DUMMYFUNCTION("SUM(FILTER(J:J, H:H=""Chuyển khoản"")) - SUM(FILTER(K:K, H:H=""Chuyển khoản""))
"),4468984)</f>
        <v>4468984</v>
      </c>
      <c r="O481" s="5"/>
      <c r="P481" s="5"/>
      <c r="Q481" s="5"/>
      <c r="R481" s="5"/>
      <c r="S481" s="5"/>
    </row>
    <row r="482" spans="1:19" ht="15.75" customHeight="1" x14ac:dyDescent="0.2">
      <c r="A482" s="3">
        <v>46146</v>
      </c>
      <c r="B482" s="4" t="str">
        <f>IF(A482="","","PC-"&amp;TEXT(A482,"mm/yyyy")&amp;"-"&amp;TEXT(COUNTIFS($A$2:A482,"&gt;="&amp;EOMONTH(A482,-1)+1,$A$2:A482,"&lt;="&amp;EOMONTH(A482,0)),"000"))</f>
        <v>PC-05/2026-278</v>
      </c>
      <c r="C482" s="5" t="s">
        <v>843</v>
      </c>
      <c r="D482" s="5" t="s">
        <v>29</v>
      </c>
      <c r="E482" s="5" t="s">
        <v>51</v>
      </c>
      <c r="F482" s="5"/>
      <c r="G482" s="5" t="s">
        <v>52</v>
      </c>
      <c r="H482" s="5" t="s">
        <v>27</v>
      </c>
      <c r="I482" s="6">
        <v>150630</v>
      </c>
      <c r="J482" s="6">
        <f>IF(D482="Thu",I482,0)</f>
        <v>0</v>
      </c>
      <c r="K482" s="6">
        <f>IF(D482="Chi",I482,0)</f>
        <v>150630</v>
      </c>
      <c r="L482" s="6" t="e">
        <f>L481+J482-K482</f>
        <v>#VALUE!</v>
      </c>
      <c r="M482" s="6">
        <f ca="1">IFERROR(__xludf.DUMMYFUNCTION("SUM(FILTER(J:J, H:H=""Tiền mặt"")) - SUM(FILTER(K:K, H:H=""Tiền mặt""))
"),959000)</f>
        <v>959000</v>
      </c>
      <c r="N482" s="6">
        <f ca="1">IFERROR(__xludf.DUMMYFUNCTION("SUM(FILTER(J:J, H:H=""Chuyển khoản"")) - SUM(FILTER(K:K, H:H=""Chuyển khoản""))
"),4468984)</f>
        <v>4468984</v>
      </c>
      <c r="O482" s="5"/>
      <c r="P482" s="5"/>
      <c r="Q482" s="5"/>
      <c r="R482" s="5"/>
      <c r="S482" s="5"/>
    </row>
    <row r="483" spans="1:19" ht="15.75" customHeight="1" x14ac:dyDescent="0.2">
      <c r="A483" s="3">
        <v>46146</v>
      </c>
      <c r="B483" s="4" t="str">
        <f>IF(A483="","","PC-"&amp;TEXT(A483,"mm/yyyy")&amp;"-"&amp;TEXT(COUNTIFS($A$2:A483,"&gt;="&amp;EOMONTH(A483,-1)+1,$A$2:A483,"&lt;="&amp;EOMONTH(A483,0)),"000"))</f>
        <v>PC-05/2026-279</v>
      </c>
      <c r="C483" s="5" t="s">
        <v>1118</v>
      </c>
      <c r="D483" s="5" t="s">
        <v>20</v>
      </c>
      <c r="E483" s="5" t="s">
        <v>21</v>
      </c>
      <c r="F483" s="5"/>
      <c r="G483" s="5" t="s">
        <v>54</v>
      </c>
      <c r="H483" s="5" t="s">
        <v>23</v>
      </c>
      <c r="I483" s="6">
        <v>176000</v>
      </c>
      <c r="J483" s="6">
        <f>IF(D483="Thu",I483,0)</f>
        <v>176000</v>
      </c>
      <c r="K483" s="6">
        <f>IF(D483="Chi",I483,0)</f>
        <v>0</v>
      </c>
      <c r="L483" s="6" t="e">
        <f>L482+J483-K483</f>
        <v>#VALUE!</v>
      </c>
      <c r="M483" s="6">
        <f ca="1">IFERROR(__xludf.DUMMYFUNCTION("SUM(FILTER(J:J, H:H=""Tiền mặt"")) - SUM(FILTER(K:K, H:H=""Tiền mặt""))
"),959000)</f>
        <v>959000</v>
      </c>
      <c r="N483" s="6">
        <f ca="1">IFERROR(__xludf.DUMMYFUNCTION("SUM(FILTER(J:J, H:H=""Chuyển khoản"")) - SUM(FILTER(K:K, H:H=""Chuyển khoản""))
"),4468984)</f>
        <v>4468984</v>
      </c>
      <c r="O483" s="5"/>
      <c r="P483" s="5"/>
      <c r="Q483" s="5"/>
      <c r="R483" s="5"/>
      <c r="S483" s="5"/>
    </row>
    <row r="484" spans="1:19" ht="15.75" customHeight="1" x14ac:dyDescent="0.2">
      <c r="A484" s="3">
        <v>46146</v>
      </c>
      <c r="B484" s="4" t="str">
        <f>IF(A484="","","PC-"&amp;TEXT(A484,"mm/yyyy")&amp;"-"&amp;TEXT(COUNTIFS($A$2:A484,"&gt;="&amp;EOMONTH(A484,-1)+1,$A$2:A484,"&lt;="&amp;EOMONTH(A484,0)),"000"))</f>
        <v>PC-05/2026-280</v>
      </c>
      <c r="C484" s="5" t="s">
        <v>1119</v>
      </c>
      <c r="D484" s="5" t="s">
        <v>29</v>
      </c>
      <c r="E484" s="5" t="s">
        <v>71</v>
      </c>
      <c r="F484" s="5"/>
      <c r="G484" s="5" t="s">
        <v>1120</v>
      </c>
      <c r="H484" s="5" t="s">
        <v>27</v>
      </c>
      <c r="I484" s="6">
        <v>58000</v>
      </c>
      <c r="J484" s="6">
        <f>IF(D484="Thu",I484,0)</f>
        <v>0</v>
      </c>
      <c r="K484" s="6">
        <f>IF(D484="Chi",I484,0)</f>
        <v>58000</v>
      </c>
      <c r="L484" s="6" t="e">
        <f>L483+J484-K484</f>
        <v>#VALUE!</v>
      </c>
      <c r="M484" s="6">
        <f ca="1">IFERROR(__xludf.DUMMYFUNCTION("SUM(FILTER(J:J, H:H=""Tiền mặt"")) - SUM(FILTER(K:K, H:H=""Tiền mặt""))
"),959000)</f>
        <v>959000</v>
      </c>
      <c r="N484" s="6">
        <f ca="1">IFERROR(__xludf.DUMMYFUNCTION("SUM(FILTER(J:J, H:H=""Chuyển khoản"")) - SUM(FILTER(K:K, H:H=""Chuyển khoản""))
"),4468984)</f>
        <v>4468984</v>
      </c>
      <c r="O484" s="5"/>
      <c r="P484" s="5"/>
      <c r="Q484" s="5"/>
      <c r="R484" s="5"/>
      <c r="S484" s="5"/>
    </row>
    <row r="485" spans="1:19" ht="15.75" customHeight="1" x14ac:dyDescent="0.2">
      <c r="A485" s="3">
        <v>46146</v>
      </c>
      <c r="B485" s="4" t="str">
        <f>IF(A485="","","PC-"&amp;TEXT(A485,"mm/yyyy")&amp;"-"&amp;TEXT(COUNTIFS($A$2:A485,"&gt;="&amp;EOMONTH(A485,-1)+1,$A$2:A485,"&lt;="&amp;EOMONTH(A485,0)),"000"))</f>
        <v>PC-05/2026-281</v>
      </c>
      <c r="C485" s="7" t="s">
        <v>1121</v>
      </c>
      <c r="D485" s="5" t="s">
        <v>29</v>
      </c>
      <c r="E485" s="5" t="s">
        <v>141</v>
      </c>
      <c r="F485" s="5"/>
      <c r="G485" s="5" t="s">
        <v>52</v>
      </c>
      <c r="H485" s="5" t="s">
        <v>27</v>
      </c>
      <c r="I485" s="6">
        <v>2982000</v>
      </c>
      <c r="J485" s="6">
        <f>IF(D485="Thu",I485,0)</f>
        <v>0</v>
      </c>
      <c r="K485" s="6">
        <f>IF(D485="Chi",I485,0)</f>
        <v>2982000</v>
      </c>
      <c r="L485" s="6" t="e">
        <f>L484+J485-K485</f>
        <v>#VALUE!</v>
      </c>
      <c r="M485" s="6">
        <f ca="1">IFERROR(__xludf.DUMMYFUNCTION("SUM(FILTER(J:J, H:H=""Tiền mặt"")) - SUM(FILTER(K:K, H:H=""Tiền mặt""))
"),959000)</f>
        <v>959000</v>
      </c>
      <c r="N485" s="6">
        <f ca="1">IFERROR(__xludf.DUMMYFUNCTION("SUM(FILTER(J:J, H:H=""Chuyển khoản"")) - SUM(FILTER(K:K, H:H=""Chuyển khoản""))
"),4468984)</f>
        <v>4468984</v>
      </c>
      <c r="O485" s="5"/>
      <c r="P485" s="5"/>
      <c r="Q485" s="5"/>
      <c r="R485" s="5"/>
      <c r="S485" s="5"/>
    </row>
    <row r="486" spans="1:19" ht="15.75" customHeight="1" x14ac:dyDescent="0.2">
      <c r="A486" s="3">
        <v>46146</v>
      </c>
      <c r="B486" s="4" t="str">
        <f>IF(A486="","","PC-"&amp;TEXT(A486,"mm/yyyy")&amp;"-"&amp;TEXT(COUNTIFS($A$2:A486,"&gt;="&amp;EOMONTH(A486,-1)+1,$A$2:A486,"&lt;="&amp;EOMONTH(A486,0)),"000"))</f>
        <v>PC-05/2026-282</v>
      </c>
      <c r="C486" s="5" t="s">
        <v>1122</v>
      </c>
      <c r="D486" s="5" t="s">
        <v>29</v>
      </c>
      <c r="E486" s="5" t="s">
        <v>41</v>
      </c>
      <c r="F486" s="5"/>
      <c r="G486" s="5" t="s">
        <v>82</v>
      </c>
      <c r="H486" s="5" t="s">
        <v>23</v>
      </c>
      <c r="I486" s="6">
        <v>100000</v>
      </c>
      <c r="J486" s="6">
        <f>IF(D486="Thu",I486,0)</f>
        <v>0</v>
      </c>
      <c r="K486" s="6">
        <f>IF(D486="Chi",I486,0)</f>
        <v>100000</v>
      </c>
      <c r="L486" s="6" t="e">
        <f>L485+J486-K486</f>
        <v>#VALUE!</v>
      </c>
      <c r="M486" s="6">
        <f ca="1">IFERROR(__xludf.DUMMYFUNCTION("SUM(FILTER(J:J, H:H=""Tiền mặt"")) - SUM(FILTER(K:K, H:H=""Tiền mặt""))
"),959000)</f>
        <v>959000</v>
      </c>
      <c r="N486" s="6">
        <f ca="1">IFERROR(__xludf.DUMMYFUNCTION("SUM(FILTER(J:J, H:H=""Chuyển khoản"")) - SUM(FILTER(K:K, H:H=""Chuyển khoản""))
"),4468984)</f>
        <v>4468984</v>
      </c>
      <c r="O486" s="5"/>
      <c r="P486" s="5"/>
      <c r="Q486" s="5"/>
      <c r="R486" s="5"/>
      <c r="S486" s="5"/>
    </row>
    <row r="487" spans="1:19" ht="15.75" customHeight="1" x14ac:dyDescent="0.2">
      <c r="A487" s="3">
        <v>46146</v>
      </c>
      <c r="B487" s="4" t="str">
        <f>IF(A487="","","PC-"&amp;TEXT(A487,"mm/yyyy")&amp;"-"&amp;TEXT(COUNTIFS($A$2:A487,"&gt;="&amp;EOMONTH(A487,-1)+1,$A$2:A487,"&lt;="&amp;EOMONTH(A487,0)),"000"))</f>
        <v>PC-05/2026-283</v>
      </c>
      <c r="C487" s="5" t="s">
        <v>1123</v>
      </c>
      <c r="D487" s="5" t="s">
        <v>20</v>
      </c>
      <c r="E487" s="5" t="s">
        <v>21</v>
      </c>
      <c r="F487" s="5"/>
      <c r="G487" s="5" t="s">
        <v>22</v>
      </c>
      <c r="H487" s="5" t="s">
        <v>27</v>
      </c>
      <c r="I487" s="6">
        <v>10000000</v>
      </c>
      <c r="J487" s="6">
        <f>IF(D487="Thu",I487,0)</f>
        <v>10000000</v>
      </c>
      <c r="K487" s="6">
        <f>IF(D487="Chi",I487,0)</f>
        <v>0</v>
      </c>
      <c r="L487" s="6" t="e">
        <f>L486+J487-K487</f>
        <v>#VALUE!</v>
      </c>
      <c r="M487" s="6">
        <f ca="1">IFERROR(__xludf.DUMMYFUNCTION("SUM(FILTER(J:J, H:H=""Tiền mặt"")) - SUM(FILTER(K:K, H:H=""Tiền mặt""))
"),959000)</f>
        <v>959000</v>
      </c>
      <c r="N487" s="6">
        <f ca="1">IFERROR(__xludf.DUMMYFUNCTION("SUM(FILTER(J:J, H:H=""Chuyển khoản"")) - SUM(FILTER(K:K, H:H=""Chuyển khoản""))
"),4468984)</f>
        <v>4468984</v>
      </c>
      <c r="O487" s="5"/>
      <c r="P487" s="5"/>
      <c r="Q487" s="5"/>
      <c r="R487" s="5"/>
      <c r="S487" s="5"/>
    </row>
    <row r="488" spans="1:19" ht="15.75" customHeight="1" x14ac:dyDescent="0.2">
      <c r="A488" s="3">
        <v>46146</v>
      </c>
      <c r="B488" s="4" t="str">
        <f>IF(A488="","","PC-"&amp;TEXT(A488,"mm/yyyy")&amp;"-"&amp;TEXT(COUNTIFS($A$2:A488,"&gt;="&amp;EOMONTH(A488,-1)+1,$A$2:A488,"&lt;="&amp;EOMONTH(A488,0)),"000"))</f>
        <v>PC-05/2026-284</v>
      </c>
      <c r="C488" s="7" t="s">
        <v>1124</v>
      </c>
      <c r="D488" s="5" t="s">
        <v>29</v>
      </c>
      <c r="E488" s="5" t="s">
        <v>41</v>
      </c>
      <c r="F488" s="5"/>
      <c r="G488" s="5" t="s">
        <v>82</v>
      </c>
      <c r="H488" s="5" t="s">
        <v>23</v>
      </c>
      <c r="I488" s="6">
        <v>200000</v>
      </c>
      <c r="J488" s="6">
        <f>IF(D488="Thu",I488,0)</f>
        <v>0</v>
      </c>
      <c r="K488" s="6">
        <f>IF(D488="Chi",I488,0)</f>
        <v>200000</v>
      </c>
      <c r="L488" s="6" t="e">
        <f>L487+J488-K488</f>
        <v>#VALUE!</v>
      </c>
      <c r="M488" s="6">
        <f ca="1">IFERROR(__xludf.DUMMYFUNCTION("SUM(FILTER(J:J, H:H=""Tiền mặt"")) - SUM(FILTER(K:K, H:H=""Tiền mặt""))
"),959000)</f>
        <v>959000</v>
      </c>
      <c r="N488" s="6">
        <f ca="1">IFERROR(__xludf.DUMMYFUNCTION("SUM(FILTER(J:J, H:H=""Chuyển khoản"")) - SUM(FILTER(K:K, H:H=""Chuyển khoản""))
"),4468984)</f>
        <v>4468984</v>
      </c>
      <c r="O488" s="5"/>
      <c r="P488" s="5"/>
      <c r="Q488" s="5"/>
      <c r="R488" s="5"/>
      <c r="S488" s="5"/>
    </row>
    <row r="489" spans="1:19" ht="15.75" customHeight="1" x14ac:dyDescent="0.2">
      <c r="A489" s="3">
        <v>46146</v>
      </c>
      <c r="B489" s="4" t="str">
        <f>IF(A489="","","PC-"&amp;TEXT(A489,"mm/yyyy")&amp;"-"&amp;TEXT(COUNTIFS($A$2:A489,"&gt;="&amp;EOMONTH(A489,-1)+1,$A$2:A489,"&lt;="&amp;EOMONTH(A489,0)),"000"))</f>
        <v>PC-05/2026-285</v>
      </c>
      <c r="C489" s="5" t="s">
        <v>1125</v>
      </c>
      <c r="D489" s="5" t="s">
        <v>29</v>
      </c>
      <c r="E489" s="5" t="s">
        <v>41</v>
      </c>
      <c r="F489" s="5"/>
      <c r="G489" s="5" t="s">
        <v>82</v>
      </c>
      <c r="H489" s="5" t="s">
        <v>23</v>
      </c>
      <c r="I489" s="6">
        <v>100000</v>
      </c>
      <c r="J489" s="6">
        <f>IF(D489="Thu",I489,0)</f>
        <v>0</v>
      </c>
      <c r="K489" s="6">
        <f>IF(D489="Chi",I489,0)</f>
        <v>100000</v>
      </c>
      <c r="L489" s="6" t="e">
        <f>L488+J489-K489</f>
        <v>#VALUE!</v>
      </c>
      <c r="M489" s="6">
        <f ca="1">IFERROR(__xludf.DUMMYFUNCTION("SUM(FILTER(J:J, H:H=""Tiền mặt"")) - SUM(FILTER(K:K, H:H=""Tiền mặt""))
"),959000)</f>
        <v>959000</v>
      </c>
      <c r="N489" s="6">
        <f ca="1">IFERROR(__xludf.DUMMYFUNCTION("SUM(FILTER(J:J, H:H=""Chuyển khoản"")) - SUM(FILTER(K:K, H:H=""Chuyển khoản""))
"),4468984)</f>
        <v>4468984</v>
      </c>
      <c r="O489" s="5"/>
      <c r="P489" s="5"/>
      <c r="Q489" s="5"/>
      <c r="R489" s="5"/>
      <c r="S489" s="5"/>
    </row>
    <row r="490" spans="1:19" ht="15.75" customHeight="1" x14ac:dyDescent="0.2">
      <c r="A490" s="3">
        <v>46146</v>
      </c>
      <c r="B490" s="4" t="str">
        <f>IF(A490="","","PC-"&amp;TEXT(A490,"mm/yyyy")&amp;"-"&amp;TEXT(COUNTIFS($A$2:A490,"&gt;="&amp;EOMONTH(A490,-1)+1,$A$2:A490,"&lt;="&amp;EOMONTH(A490,0)),"000"))</f>
        <v>PC-05/2026-286</v>
      </c>
      <c r="C490" s="5" t="s">
        <v>1126</v>
      </c>
      <c r="D490" s="5" t="s">
        <v>29</v>
      </c>
      <c r="E490" s="5" t="s">
        <v>346</v>
      </c>
      <c r="F490" s="5"/>
      <c r="G490" s="5" t="s">
        <v>347</v>
      </c>
      <c r="H490" s="5" t="s">
        <v>27</v>
      </c>
      <c r="I490" s="6">
        <v>1000000</v>
      </c>
      <c r="J490" s="6">
        <f>IF(D490="Thu",I490,0)</f>
        <v>0</v>
      </c>
      <c r="K490" s="6">
        <f>IF(D490="Chi",I490,0)</f>
        <v>1000000</v>
      </c>
      <c r="L490" s="6" t="e">
        <f>L489+J490-K490</f>
        <v>#VALUE!</v>
      </c>
      <c r="M490" s="6">
        <f ca="1">IFERROR(__xludf.DUMMYFUNCTION("SUM(FILTER(J:J, H:H=""Tiền mặt"")) - SUM(FILTER(K:K, H:H=""Tiền mặt""))
"),959000)</f>
        <v>959000</v>
      </c>
      <c r="N490" s="6">
        <f ca="1">IFERROR(__xludf.DUMMYFUNCTION("SUM(FILTER(J:J, H:H=""Chuyển khoản"")) - SUM(FILTER(K:K, H:H=""Chuyển khoản""))
"),4468984)</f>
        <v>4468984</v>
      </c>
      <c r="O490" s="5"/>
      <c r="P490" s="5"/>
      <c r="Q490" s="5"/>
      <c r="R490" s="5"/>
      <c r="S490" s="5"/>
    </row>
    <row r="491" spans="1:19" ht="15.75" customHeight="1" x14ac:dyDescent="0.2">
      <c r="A491" s="3">
        <v>46146</v>
      </c>
      <c r="B491" s="4" t="str">
        <f>IF(A491="","","PC-"&amp;TEXT(A491,"mm/yyyy")&amp;"-"&amp;TEXT(COUNTIFS($A$2:A491,"&gt;="&amp;EOMONTH(A491,-1)+1,$A$2:A491,"&lt;="&amp;EOMONTH(A491,0)),"000"))</f>
        <v>PC-05/2026-287</v>
      </c>
      <c r="C491" s="5" t="s">
        <v>1127</v>
      </c>
      <c r="D491" s="5" t="s">
        <v>29</v>
      </c>
      <c r="E491" s="5" t="s">
        <v>41</v>
      </c>
      <c r="F491" s="5"/>
      <c r="G491" s="5" t="s">
        <v>82</v>
      </c>
      <c r="H491" s="5" t="s">
        <v>23</v>
      </c>
      <c r="I491" s="6">
        <v>100000</v>
      </c>
      <c r="J491" s="6">
        <f>IF(D491="Thu",I491,0)</f>
        <v>0</v>
      </c>
      <c r="K491" s="6">
        <f>IF(D491="Chi",I491,0)</f>
        <v>100000</v>
      </c>
      <c r="L491" s="6" t="e">
        <f>L490+J491-K491</f>
        <v>#VALUE!</v>
      </c>
      <c r="M491" s="6">
        <f ca="1">IFERROR(__xludf.DUMMYFUNCTION("SUM(FILTER(J:J, H:H=""Tiền mặt"")) - SUM(FILTER(K:K, H:H=""Tiền mặt""))
"),959000)</f>
        <v>959000</v>
      </c>
      <c r="N491" s="6">
        <f ca="1">IFERROR(__xludf.DUMMYFUNCTION("SUM(FILTER(J:J, H:H=""Chuyển khoản"")) - SUM(FILTER(K:K, H:H=""Chuyển khoản""))
"),4468984)</f>
        <v>4468984</v>
      </c>
      <c r="O491" s="5"/>
      <c r="P491" s="5"/>
      <c r="Q491" s="5"/>
      <c r="R491" s="5"/>
      <c r="S491" s="5"/>
    </row>
    <row r="492" spans="1:19" ht="15.75" customHeight="1" x14ac:dyDescent="0.2">
      <c r="A492" s="3">
        <v>46146</v>
      </c>
      <c r="B492" s="4" t="str">
        <f>IF(A492="","","PC-"&amp;TEXT(A492,"mm/yyyy")&amp;"-"&amp;TEXT(COUNTIFS($A$2:A492,"&gt;="&amp;EOMONTH(A492,-1)+1,$A$2:A492,"&lt;="&amp;EOMONTH(A492,0)),"000"))</f>
        <v>PC-05/2026-288</v>
      </c>
      <c r="C492" s="5" t="s">
        <v>1128</v>
      </c>
      <c r="D492" s="5" t="s">
        <v>29</v>
      </c>
      <c r="E492" s="5" t="s">
        <v>41</v>
      </c>
      <c r="F492" s="5"/>
      <c r="G492" s="5" t="s">
        <v>82</v>
      </c>
      <c r="H492" s="5" t="s">
        <v>23</v>
      </c>
      <c r="I492" s="6">
        <v>100000</v>
      </c>
      <c r="J492" s="6">
        <f>IF(D492="Thu",I492,0)</f>
        <v>0</v>
      </c>
      <c r="K492" s="6">
        <f>IF(D492="Chi",I492,0)</f>
        <v>100000</v>
      </c>
      <c r="L492" s="6" t="e">
        <f>L491+J492-K492</f>
        <v>#VALUE!</v>
      </c>
      <c r="M492" s="6">
        <f ca="1">IFERROR(__xludf.DUMMYFUNCTION("SUM(FILTER(J:J, H:H=""Tiền mặt"")) - SUM(FILTER(K:K, H:H=""Tiền mặt""))
"),959000)</f>
        <v>959000</v>
      </c>
      <c r="N492" s="6">
        <f ca="1">IFERROR(__xludf.DUMMYFUNCTION("SUM(FILTER(J:J, H:H=""Chuyển khoản"")) - SUM(FILTER(K:K, H:H=""Chuyển khoản""))
"),4468984)</f>
        <v>4468984</v>
      </c>
      <c r="O492" s="5"/>
      <c r="P492" s="5"/>
      <c r="Q492" s="5"/>
      <c r="R492" s="5"/>
      <c r="S492" s="5"/>
    </row>
    <row r="493" spans="1:19" ht="15.75" customHeight="1" x14ac:dyDescent="0.2">
      <c r="A493" s="3">
        <v>46146</v>
      </c>
      <c r="B493" s="4" t="str">
        <f>IF(A493="","","PC-"&amp;TEXT(A493,"mm/yyyy")&amp;"-"&amp;TEXT(COUNTIFS($A$2:A493,"&gt;="&amp;EOMONTH(A493,-1)+1,$A$2:A493,"&lt;="&amp;EOMONTH(A493,0)),"000"))</f>
        <v>PC-05/2026-289</v>
      </c>
      <c r="C493" s="4" t="s">
        <v>1129</v>
      </c>
      <c r="D493" s="5" t="s">
        <v>29</v>
      </c>
      <c r="E493" s="5" t="s">
        <v>36</v>
      </c>
      <c r="F493" s="5"/>
      <c r="G493" s="5" t="s">
        <v>37</v>
      </c>
      <c r="H493" s="5" t="s">
        <v>23</v>
      </c>
      <c r="I493" s="6">
        <v>125000</v>
      </c>
      <c r="J493" s="6">
        <f>IF(D493="Thu",I493,0)</f>
        <v>0</v>
      </c>
      <c r="K493" s="6">
        <f>IF(D493="Chi",I493,0)</f>
        <v>125000</v>
      </c>
      <c r="L493" s="6" t="e">
        <f>L492+J493-K493</f>
        <v>#VALUE!</v>
      </c>
      <c r="M493" s="6">
        <f ca="1">IFERROR(__xludf.DUMMYFUNCTION("SUM(FILTER(J:J, H:H=""Tiền mặt"")) - SUM(FILTER(K:K, H:H=""Tiền mặt""))
"),959000)</f>
        <v>959000</v>
      </c>
      <c r="N493" s="6">
        <f ca="1">IFERROR(__xludf.DUMMYFUNCTION("SUM(FILTER(J:J, H:H=""Chuyển khoản"")) - SUM(FILTER(K:K, H:H=""Chuyển khoản""))
"),4468984)</f>
        <v>4468984</v>
      </c>
      <c r="O493" s="5"/>
      <c r="P493" s="5"/>
      <c r="Q493" s="5"/>
      <c r="R493" s="5"/>
      <c r="S493" s="5"/>
    </row>
    <row r="494" spans="1:19" ht="15.75" customHeight="1" x14ac:dyDescent="0.2">
      <c r="A494" s="3">
        <v>46141</v>
      </c>
      <c r="B494" s="4" t="str">
        <f>IF(A494="","","PC-"&amp;TEXT(A494,"mm/yyyy")&amp;"-"&amp;TEXT(COUNTIFS($A$2:A494,"&gt;="&amp;EOMONTH(A494,-1)+1,$A$2:A494,"&lt;="&amp;EOMONTH(A494,0)),"000"))</f>
        <v>PC-04/2026-001</v>
      </c>
      <c r="C494" s="5" t="s">
        <v>1103</v>
      </c>
      <c r="D494" s="5" t="s">
        <v>29</v>
      </c>
      <c r="E494" s="5" t="s">
        <v>51</v>
      </c>
      <c r="F494" s="5"/>
      <c r="G494" s="5" t="s">
        <v>52</v>
      </c>
      <c r="H494" s="5" t="s">
        <v>27</v>
      </c>
      <c r="I494" s="6">
        <v>127767</v>
      </c>
      <c r="J494" s="6">
        <f>IF(D494="Thu",I494,0)</f>
        <v>0</v>
      </c>
      <c r="K494" s="6">
        <f>IF(D494="Chi",I494,0)</f>
        <v>127767</v>
      </c>
      <c r="L494" s="6" t="e">
        <f>L493+J494-K494</f>
        <v>#VALUE!</v>
      </c>
      <c r="M494" s="6">
        <f ca="1">IFERROR(__xludf.DUMMYFUNCTION("SUM(FILTER(J:J, H:H=""Tiền mặt"")) - SUM(FILTER(K:K, H:H=""Tiền mặt""))
"),959000)</f>
        <v>959000</v>
      </c>
      <c r="N494" s="6">
        <f ca="1">IFERROR(__xludf.DUMMYFUNCTION("SUM(FILTER(J:J, H:H=""Chuyển khoản"")) - SUM(FILTER(K:K, H:H=""Chuyển khoản""))
"),4468984)</f>
        <v>4468984</v>
      </c>
      <c r="O494" s="5"/>
      <c r="P494" s="5"/>
      <c r="Q494" s="5"/>
      <c r="R494" s="5"/>
      <c r="S494" s="5"/>
    </row>
    <row r="495" spans="1:19" ht="15.75" customHeight="1" x14ac:dyDescent="0.2">
      <c r="A495" s="3">
        <v>46140</v>
      </c>
      <c r="B495" s="4" t="str">
        <f>IF(A495="","","PC-"&amp;TEXT(A495,"mm/yyyy")&amp;"-"&amp;TEXT(COUNTIFS($A$2:A495,"&gt;="&amp;EOMONTH(A495,-1)+1,$A$2:A495,"&lt;="&amp;EOMONTH(A495,0)),"000"))</f>
        <v>PC-04/2026-002</v>
      </c>
      <c r="C495" s="5" t="s">
        <v>1101</v>
      </c>
      <c r="D495" s="5" t="s">
        <v>29</v>
      </c>
      <c r="E495" s="5" t="s">
        <v>51</v>
      </c>
      <c r="F495" s="5"/>
      <c r="G495" s="5" t="s">
        <v>52</v>
      </c>
      <c r="H495" s="5" t="s">
        <v>27</v>
      </c>
      <c r="I495" s="6">
        <v>145200</v>
      </c>
      <c r="J495" s="6">
        <f>IF(D495="Thu",I495,0)</f>
        <v>0</v>
      </c>
      <c r="K495" s="6">
        <f>IF(D495="Chi",I495,0)</f>
        <v>145200</v>
      </c>
      <c r="L495" s="6" t="e">
        <f>L494+J495-K495</f>
        <v>#VALUE!</v>
      </c>
      <c r="M495" s="6">
        <f ca="1">IFERROR(__xludf.DUMMYFUNCTION("SUM(FILTER(J:J, H:H=""Tiền mặt"")) - SUM(FILTER(K:K, H:H=""Tiền mặt""))
"),959000)</f>
        <v>959000</v>
      </c>
      <c r="N495" s="6">
        <f ca="1">IFERROR(__xludf.DUMMYFUNCTION("SUM(FILTER(J:J, H:H=""Chuyển khoản"")) - SUM(FILTER(K:K, H:H=""Chuyển khoản""))
"),4468984)</f>
        <v>4468984</v>
      </c>
      <c r="O495" s="5"/>
      <c r="P495" s="5"/>
      <c r="Q495" s="5"/>
      <c r="R495" s="5"/>
      <c r="S495" s="5"/>
    </row>
    <row r="496" spans="1:19" ht="15.75" customHeight="1" x14ac:dyDescent="0.2">
      <c r="A496" s="3">
        <v>46140</v>
      </c>
      <c r="B496" s="4" t="str">
        <f>IF(A496="","","PC-"&amp;TEXT(A496,"mm/yyyy")&amp;"-"&amp;TEXT(COUNTIFS($A$2:A496,"&gt;="&amp;EOMONTH(A496,-1)+1,$A$2:A496,"&lt;="&amp;EOMONTH(A496,0)),"000"))</f>
        <v>PC-04/2026-003</v>
      </c>
      <c r="C496" s="7" t="s">
        <v>1102</v>
      </c>
      <c r="D496" s="5" t="s">
        <v>29</v>
      </c>
      <c r="E496" s="5" t="s">
        <v>346</v>
      </c>
      <c r="F496" s="5"/>
      <c r="G496" s="5" t="s">
        <v>347</v>
      </c>
      <c r="H496" s="5" t="s">
        <v>27</v>
      </c>
      <c r="I496" s="6">
        <v>4000000</v>
      </c>
      <c r="J496" s="6">
        <f>IF(D496="Thu",I496,0)</f>
        <v>0</v>
      </c>
      <c r="K496" s="6">
        <f>IF(D496="Chi",I496,0)</f>
        <v>4000000</v>
      </c>
      <c r="L496" s="6" t="e">
        <f>L495+J496-K496</f>
        <v>#VALUE!</v>
      </c>
      <c r="M496" s="6">
        <f ca="1">IFERROR(__xludf.DUMMYFUNCTION("SUM(FILTER(J:J, H:H=""Tiền mặt"")) - SUM(FILTER(K:K, H:H=""Tiền mặt""))
"),959000)</f>
        <v>959000</v>
      </c>
      <c r="N496" s="6">
        <f ca="1">IFERROR(__xludf.DUMMYFUNCTION("SUM(FILTER(J:J, H:H=""Chuyển khoản"")) - SUM(FILTER(K:K, H:H=""Chuyển khoản""))
"),4468984)</f>
        <v>4468984</v>
      </c>
      <c r="O496" s="5"/>
      <c r="P496" s="5"/>
      <c r="Q496" s="5"/>
      <c r="R496" s="5"/>
      <c r="S496" s="5"/>
    </row>
    <row r="497" spans="1:19" ht="15.75" customHeight="1" x14ac:dyDescent="0.2">
      <c r="A497" s="3">
        <v>46137</v>
      </c>
      <c r="B497" s="4" t="str">
        <f>IF(A497="","","PC-"&amp;TEXT(A497,"mm/yyyy")&amp;"-"&amp;TEXT(COUNTIFS($A$2:A497,"&gt;="&amp;EOMONTH(A497,-1)+1,$A$2:A497,"&lt;="&amp;EOMONTH(A497,0)),"000"))</f>
        <v>PC-04/2026-004</v>
      </c>
      <c r="C497" s="5" t="s">
        <v>554</v>
      </c>
      <c r="D497" s="5" t="s">
        <v>29</v>
      </c>
      <c r="E497" s="5" t="s">
        <v>153</v>
      </c>
      <c r="F497" s="5"/>
      <c r="G497" s="5" t="s">
        <v>953</v>
      </c>
      <c r="H497" s="5" t="s">
        <v>27</v>
      </c>
      <c r="I497" s="6">
        <v>2980000</v>
      </c>
      <c r="J497" s="6">
        <f>IF(D497="Thu",I497,0)</f>
        <v>0</v>
      </c>
      <c r="K497" s="6">
        <f>IF(D497="Chi",I497,0)</f>
        <v>2980000</v>
      </c>
      <c r="L497" s="6" t="e">
        <f>L496+J497-K497</f>
        <v>#VALUE!</v>
      </c>
      <c r="M497" s="6">
        <f ca="1">IFERROR(__xludf.DUMMYFUNCTION("SUM(FILTER(J:J, H:H=""Tiền mặt"")) - SUM(FILTER(K:K, H:H=""Tiền mặt""))
"),959000)</f>
        <v>959000</v>
      </c>
      <c r="N497" s="6">
        <f ca="1">IFERROR(__xludf.DUMMYFUNCTION("SUM(FILTER(J:J, H:H=""Chuyển khoản"")) - SUM(FILTER(K:K, H:H=""Chuyển khoản""))
"),4468984)</f>
        <v>4468984</v>
      </c>
      <c r="O497" s="5"/>
      <c r="P497" s="5"/>
      <c r="Q497" s="5"/>
      <c r="R497" s="5"/>
      <c r="S497" s="5"/>
    </row>
    <row r="498" spans="1:19" ht="15.75" customHeight="1" x14ac:dyDescent="0.2">
      <c r="A498" s="3">
        <v>46136</v>
      </c>
      <c r="B498" s="4" t="str">
        <f>IF(A498="","","PC-"&amp;TEXT(A498,"mm/yyyy")&amp;"-"&amp;TEXT(COUNTIFS($A$2:A498,"&gt;="&amp;EOMONTH(A498,-1)+1,$A$2:A498,"&lt;="&amp;EOMONTH(A498,0)),"000"))</f>
        <v>PC-04/2026-005</v>
      </c>
      <c r="C498" s="7" t="s">
        <v>1081</v>
      </c>
      <c r="D498" s="5" t="s">
        <v>29</v>
      </c>
      <c r="E498" s="5" t="s">
        <v>41</v>
      </c>
      <c r="F498" s="5"/>
      <c r="G498" s="5" t="s">
        <v>82</v>
      </c>
      <c r="H498" s="5" t="s">
        <v>23</v>
      </c>
      <c r="I498" s="6">
        <v>100000</v>
      </c>
      <c r="J498" s="6">
        <f>IF(D498="Thu",I498,0)</f>
        <v>0</v>
      </c>
      <c r="K498" s="6">
        <f>IF(D498="Chi",I498,0)</f>
        <v>100000</v>
      </c>
      <c r="L498" s="6" t="e">
        <f>L497+J498-K498</f>
        <v>#VALUE!</v>
      </c>
      <c r="M498" s="6">
        <f ca="1">IFERROR(__xludf.DUMMYFUNCTION("SUM(FILTER(J:J, H:H=""Tiền mặt"")) - SUM(FILTER(K:K, H:H=""Tiền mặt""))
"),959000)</f>
        <v>959000</v>
      </c>
      <c r="N498" s="6">
        <f ca="1">IFERROR(__xludf.DUMMYFUNCTION("SUM(FILTER(J:J, H:H=""Chuyển khoản"")) - SUM(FILTER(K:K, H:H=""Chuyển khoản""))
"),4468984)</f>
        <v>4468984</v>
      </c>
      <c r="O498" s="5"/>
      <c r="P498" s="5"/>
      <c r="Q498" s="5"/>
      <c r="R498" s="5"/>
      <c r="S498" s="5"/>
    </row>
    <row r="499" spans="1:19" ht="15.75" customHeight="1" x14ac:dyDescent="0.2">
      <c r="A499" s="3">
        <v>46136</v>
      </c>
      <c r="B499" s="4" t="str">
        <f>IF(A499="","","PC-"&amp;TEXT(A499,"mm/yyyy")&amp;"-"&amp;TEXT(COUNTIFS($A$2:A499,"&gt;="&amp;EOMONTH(A499,-1)+1,$A$2:A499,"&lt;="&amp;EOMONTH(A499,0)),"000"))</f>
        <v>PC-04/2026-006</v>
      </c>
      <c r="C499" s="5" t="s">
        <v>1082</v>
      </c>
      <c r="D499" s="5" t="s">
        <v>29</v>
      </c>
      <c r="E499" s="5" t="s">
        <v>41</v>
      </c>
      <c r="F499" s="5"/>
      <c r="G499" s="5" t="s">
        <v>82</v>
      </c>
      <c r="H499" s="5" t="s">
        <v>23</v>
      </c>
      <c r="I499" s="6">
        <v>100000</v>
      </c>
      <c r="J499" s="6">
        <f>IF(D499="Thu",I499,0)</f>
        <v>0</v>
      </c>
      <c r="K499" s="6">
        <f>IF(D499="Chi",I499,0)</f>
        <v>100000</v>
      </c>
      <c r="L499" s="6" t="e">
        <f>L498+J499-K499</f>
        <v>#VALUE!</v>
      </c>
      <c r="M499" s="6">
        <f ca="1">IFERROR(__xludf.DUMMYFUNCTION("SUM(FILTER(J:J, H:H=""Tiền mặt"")) - SUM(FILTER(K:K, H:H=""Tiền mặt""))
"),959000)</f>
        <v>959000</v>
      </c>
      <c r="N499" s="6">
        <f ca="1">IFERROR(__xludf.DUMMYFUNCTION("SUM(FILTER(J:J, H:H=""Chuyển khoản"")) - SUM(FILTER(K:K, H:H=""Chuyển khoản""))
"),4468984)</f>
        <v>4468984</v>
      </c>
      <c r="O499" s="5"/>
      <c r="P499" s="5"/>
      <c r="Q499" s="5"/>
      <c r="R499" s="5"/>
      <c r="S499" s="5"/>
    </row>
    <row r="500" spans="1:19" ht="15.75" customHeight="1" x14ac:dyDescent="0.2">
      <c r="A500" s="3">
        <v>46136</v>
      </c>
      <c r="B500" s="4" t="str">
        <f>IF(A500="","","PC-"&amp;TEXT(A500,"mm/yyyy")&amp;"-"&amp;TEXT(COUNTIFS($A$2:A500,"&gt;="&amp;EOMONTH(A500,-1)+1,$A$2:A500,"&lt;="&amp;EOMONTH(A500,0)),"000"))</f>
        <v>PC-04/2026-007</v>
      </c>
      <c r="C500" s="7" t="s">
        <v>1083</v>
      </c>
      <c r="D500" s="5" t="s">
        <v>29</v>
      </c>
      <c r="E500" s="5" t="s">
        <v>41</v>
      </c>
      <c r="F500" s="5"/>
      <c r="G500" s="5" t="s">
        <v>82</v>
      </c>
      <c r="H500" s="5" t="s">
        <v>23</v>
      </c>
      <c r="I500" s="6">
        <v>100000</v>
      </c>
      <c r="J500" s="6">
        <f>IF(D500="Thu",I500,0)</f>
        <v>0</v>
      </c>
      <c r="K500" s="6">
        <f>IF(D500="Chi",I500,0)</f>
        <v>100000</v>
      </c>
      <c r="L500" s="6" t="e">
        <f>L499+J500-K500</f>
        <v>#VALUE!</v>
      </c>
      <c r="M500" s="6">
        <f ca="1">IFERROR(__xludf.DUMMYFUNCTION("SUM(FILTER(J:J, H:H=""Tiền mặt"")) - SUM(FILTER(K:K, H:H=""Tiền mặt""))
"),959000)</f>
        <v>959000</v>
      </c>
      <c r="N500" s="6">
        <f ca="1">IFERROR(__xludf.DUMMYFUNCTION("SUM(FILTER(J:J, H:H=""Chuyển khoản"")) - SUM(FILTER(K:K, H:H=""Chuyển khoản""))
"),4468984)</f>
        <v>4468984</v>
      </c>
      <c r="O500" s="5"/>
      <c r="P500" s="5"/>
      <c r="Q500" s="5"/>
      <c r="R500" s="5"/>
      <c r="S500" s="5"/>
    </row>
    <row r="501" spans="1:19" ht="15.75" customHeight="1" x14ac:dyDescent="0.2">
      <c r="A501" s="3">
        <v>46136</v>
      </c>
      <c r="B501" s="4" t="str">
        <f>IF(A501="","","PC-"&amp;TEXT(A501,"mm/yyyy")&amp;"-"&amp;TEXT(COUNTIFS($A$2:A501,"&gt;="&amp;EOMONTH(A501,-1)+1,$A$2:A501,"&lt;="&amp;EOMONTH(A501,0)),"000"))</f>
        <v>PC-04/2026-008</v>
      </c>
      <c r="C501" s="5" t="s">
        <v>1084</v>
      </c>
      <c r="D501" s="5" t="s">
        <v>29</v>
      </c>
      <c r="E501" s="5" t="s">
        <v>64</v>
      </c>
      <c r="F501" s="5"/>
      <c r="G501" s="5" t="s">
        <v>392</v>
      </c>
      <c r="H501" s="5" t="s">
        <v>23</v>
      </c>
      <c r="I501" s="6">
        <v>300000</v>
      </c>
      <c r="J501" s="6">
        <f>IF(D501="Thu",I501,0)</f>
        <v>0</v>
      </c>
      <c r="K501" s="6">
        <f>IF(D501="Chi",I501,0)</f>
        <v>300000</v>
      </c>
      <c r="L501" s="6" t="e">
        <f>L500+J501-K501</f>
        <v>#VALUE!</v>
      </c>
      <c r="M501" s="6">
        <f ca="1">IFERROR(__xludf.DUMMYFUNCTION("SUM(FILTER(J:J, H:H=""Tiền mặt"")) - SUM(FILTER(K:K, H:H=""Tiền mặt""))
"),959000)</f>
        <v>959000</v>
      </c>
      <c r="N501" s="6">
        <f ca="1">IFERROR(__xludf.DUMMYFUNCTION("SUM(FILTER(J:J, H:H=""Chuyển khoản"")) - SUM(FILTER(K:K, H:H=""Chuyển khoản""))
"),4468984)</f>
        <v>4468984</v>
      </c>
      <c r="O501" s="5"/>
      <c r="P501" s="5"/>
      <c r="Q501" s="5"/>
      <c r="R501" s="5"/>
      <c r="S501" s="5"/>
    </row>
    <row r="502" spans="1:19" ht="15.75" customHeight="1" x14ac:dyDescent="0.2">
      <c r="A502" s="3">
        <v>46136</v>
      </c>
      <c r="B502" s="4" t="str">
        <f>IF(A502="","","PC-"&amp;TEXT(A502,"mm/yyyy")&amp;"-"&amp;TEXT(COUNTIFS($A$2:A502,"&gt;="&amp;EOMONTH(A502,-1)+1,$A$2:A502,"&lt;="&amp;EOMONTH(A502,0)),"000"))</f>
        <v>PC-04/2026-009</v>
      </c>
      <c r="C502" s="5" t="s">
        <v>1085</v>
      </c>
      <c r="D502" s="5" t="s">
        <v>29</v>
      </c>
      <c r="E502" s="5" t="s">
        <v>88</v>
      </c>
      <c r="F502" s="5"/>
      <c r="G502" s="5" t="s">
        <v>571</v>
      </c>
      <c r="H502" s="5" t="s">
        <v>23</v>
      </c>
      <c r="I502" s="6">
        <v>103000</v>
      </c>
      <c r="J502" s="6">
        <f>IF(D502="Thu",I502,0)</f>
        <v>0</v>
      </c>
      <c r="K502" s="6">
        <f>IF(D502="Chi",I502,0)</f>
        <v>103000</v>
      </c>
      <c r="L502" s="6" t="e">
        <f>L501+J502-K502</f>
        <v>#VALUE!</v>
      </c>
      <c r="M502" s="6">
        <f ca="1">IFERROR(__xludf.DUMMYFUNCTION("SUM(FILTER(J:J, H:H=""Tiền mặt"")) - SUM(FILTER(K:K, H:H=""Tiền mặt""))
"),959000)</f>
        <v>959000</v>
      </c>
      <c r="N502" s="6">
        <f ca="1">IFERROR(__xludf.DUMMYFUNCTION("SUM(FILTER(J:J, H:H=""Chuyển khoản"")) - SUM(FILTER(K:K, H:H=""Chuyển khoản""))
"),4468984)</f>
        <v>4468984</v>
      </c>
      <c r="O502" s="5"/>
      <c r="P502" s="5"/>
      <c r="Q502" s="5"/>
      <c r="R502" s="5"/>
      <c r="S502" s="5"/>
    </row>
    <row r="503" spans="1:19" ht="15.75" customHeight="1" x14ac:dyDescent="0.2">
      <c r="A503" s="3">
        <v>46136</v>
      </c>
      <c r="B503" s="4" t="str">
        <f>IF(A503="","","PC-"&amp;TEXT(A503,"mm/yyyy")&amp;"-"&amp;TEXT(COUNTIFS($A$2:A503,"&gt;="&amp;EOMONTH(A503,-1)+1,$A$2:A503,"&lt;="&amp;EOMONTH(A503,0)),"000"))</f>
        <v>PC-04/2026-010</v>
      </c>
      <c r="C503" s="5" t="s">
        <v>1086</v>
      </c>
      <c r="D503" s="5" t="s">
        <v>29</v>
      </c>
      <c r="E503" s="5" t="s">
        <v>41</v>
      </c>
      <c r="F503" s="5"/>
      <c r="G503" s="5" t="s">
        <v>82</v>
      </c>
      <c r="H503" s="5" t="s">
        <v>23</v>
      </c>
      <c r="I503" s="6">
        <v>100000</v>
      </c>
      <c r="J503" s="6">
        <f>IF(D503="Thu",I503,0)</f>
        <v>0</v>
      </c>
      <c r="K503" s="6">
        <f>IF(D503="Chi",I503,0)</f>
        <v>100000</v>
      </c>
      <c r="L503" s="6" t="e">
        <f>L502+J503-K503</f>
        <v>#VALUE!</v>
      </c>
      <c r="M503" s="6">
        <f ca="1">IFERROR(__xludf.DUMMYFUNCTION("SUM(FILTER(J:J, H:H=""Tiền mặt"")) - SUM(FILTER(K:K, H:H=""Tiền mặt""))
"),959000)</f>
        <v>959000</v>
      </c>
      <c r="N503" s="6">
        <f ca="1">IFERROR(__xludf.DUMMYFUNCTION("SUM(FILTER(J:J, H:H=""Chuyển khoản"")) - SUM(FILTER(K:K, H:H=""Chuyển khoản""))
"),4468984)</f>
        <v>4468984</v>
      </c>
      <c r="O503" s="5"/>
      <c r="P503" s="5"/>
      <c r="Q503" s="5"/>
      <c r="R503" s="5"/>
      <c r="S503" s="5"/>
    </row>
    <row r="504" spans="1:19" ht="15.75" customHeight="1" x14ac:dyDescent="0.2">
      <c r="A504" s="3">
        <v>46136</v>
      </c>
      <c r="B504" s="4" t="str">
        <f>IF(A504="","","PC-"&amp;TEXT(A504,"mm/yyyy")&amp;"-"&amp;TEXT(COUNTIFS($A$2:A504,"&gt;="&amp;EOMONTH(A504,-1)+1,$A$2:A504,"&lt;="&amp;EOMONTH(A504,0)),"000"))</f>
        <v>PC-04/2026-011</v>
      </c>
      <c r="C504" s="5" t="s">
        <v>1087</v>
      </c>
      <c r="D504" s="5" t="s">
        <v>20</v>
      </c>
      <c r="E504" s="5" t="s">
        <v>21</v>
      </c>
      <c r="F504" s="5"/>
      <c r="G504" s="5" t="s">
        <v>22</v>
      </c>
      <c r="H504" s="5" t="s">
        <v>23</v>
      </c>
      <c r="I504" s="6">
        <v>5000000</v>
      </c>
      <c r="J504" s="6">
        <f>IF(D504="Thu",I504,0)</f>
        <v>5000000</v>
      </c>
      <c r="K504" s="6">
        <f>IF(D504="Chi",I504,0)</f>
        <v>0</v>
      </c>
      <c r="L504" s="6" t="e">
        <f>L503+J504-K504</f>
        <v>#VALUE!</v>
      </c>
      <c r="M504" s="6">
        <f ca="1">IFERROR(__xludf.DUMMYFUNCTION("SUM(FILTER(J:J, H:H=""Tiền mặt"")) - SUM(FILTER(K:K, H:H=""Tiền mặt""))
"),959000)</f>
        <v>959000</v>
      </c>
      <c r="N504" s="6">
        <f ca="1">IFERROR(__xludf.DUMMYFUNCTION("SUM(FILTER(J:J, H:H=""Chuyển khoản"")) - SUM(FILTER(K:K, H:H=""Chuyển khoản""))
"),4468984)</f>
        <v>4468984</v>
      </c>
      <c r="O504" s="5"/>
      <c r="P504" s="5"/>
      <c r="Q504" s="5"/>
      <c r="R504" s="5"/>
      <c r="S504" s="5"/>
    </row>
    <row r="505" spans="1:19" ht="15.75" customHeight="1" x14ac:dyDescent="0.2">
      <c r="A505" s="3">
        <v>46136</v>
      </c>
      <c r="B505" s="4" t="str">
        <f>IF(A505="","","PC-"&amp;TEXT(A505,"mm/yyyy")&amp;"-"&amp;TEXT(COUNTIFS($A$2:A505,"&gt;="&amp;EOMONTH(A505,-1)+1,$A$2:A505,"&lt;="&amp;EOMONTH(A505,0)),"000"))</f>
        <v>PC-04/2026-012</v>
      </c>
      <c r="C505" s="5" t="s">
        <v>1088</v>
      </c>
      <c r="D505" s="5" t="s">
        <v>29</v>
      </c>
      <c r="E505" s="5" t="s">
        <v>44</v>
      </c>
      <c r="F505" s="5"/>
      <c r="G505" s="5" t="s">
        <v>995</v>
      </c>
      <c r="H505" s="5" t="s">
        <v>23</v>
      </c>
      <c r="I505" s="6">
        <v>5000000</v>
      </c>
      <c r="J505" s="6">
        <f>IF(D505="Thu",I505,0)</f>
        <v>0</v>
      </c>
      <c r="K505" s="6">
        <f>IF(D505="Chi",I505,0)</f>
        <v>5000000</v>
      </c>
      <c r="L505" s="6" t="e">
        <f>L504+J505-K505</f>
        <v>#VALUE!</v>
      </c>
      <c r="M505" s="6">
        <f ca="1">IFERROR(__xludf.DUMMYFUNCTION("SUM(FILTER(J:J, H:H=""Tiền mặt"")) - SUM(FILTER(K:K, H:H=""Tiền mặt""))
"),959000)</f>
        <v>959000</v>
      </c>
      <c r="N505" s="6">
        <f ca="1">IFERROR(__xludf.DUMMYFUNCTION("SUM(FILTER(J:J, H:H=""Chuyển khoản"")) - SUM(FILTER(K:K, H:H=""Chuyển khoản""))
"),4468984)</f>
        <v>4468984</v>
      </c>
      <c r="O505" s="5"/>
      <c r="P505" s="5"/>
      <c r="Q505" s="5"/>
      <c r="R505" s="5"/>
      <c r="S505" s="5"/>
    </row>
    <row r="506" spans="1:19" ht="15.75" customHeight="1" x14ac:dyDescent="0.2">
      <c r="A506" s="3">
        <v>46136</v>
      </c>
      <c r="B506" s="4" t="str">
        <f>IF(A506="","","PC-"&amp;TEXT(A506,"mm/yyyy")&amp;"-"&amp;TEXT(COUNTIFS($A$2:A506,"&gt;="&amp;EOMONTH(A506,-1)+1,$A$2:A506,"&lt;="&amp;EOMONTH(A506,0)),"000"))</f>
        <v>PC-04/2026-013</v>
      </c>
      <c r="C506" s="5" t="s">
        <v>1089</v>
      </c>
      <c r="D506" s="5" t="s">
        <v>29</v>
      </c>
      <c r="E506" s="5" t="s">
        <v>47</v>
      </c>
      <c r="F506" s="5"/>
      <c r="G506" s="5" t="s">
        <v>48</v>
      </c>
      <c r="H506" s="5" t="s">
        <v>23</v>
      </c>
      <c r="I506" s="6">
        <v>50000</v>
      </c>
      <c r="J506" s="6">
        <f>IF(D506="Thu",I506,0)</f>
        <v>0</v>
      </c>
      <c r="K506" s="6">
        <f>IF(D506="Chi",I506,0)</f>
        <v>50000</v>
      </c>
      <c r="L506" s="6" t="e">
        <f>L505+J506-K506</f>
        <v>#VALUE!</v>
      </c>
      <c r="M506" s="6">
        <f ca="1">IFERROR(__xludf.DUMMYFUNCTION("SUM(FILTER(J:J, H:H=""Tiền mặt"")) - SUM(FILTER(K:K, H:H=""Tiền mặt""))
"),959000)</f>
        <v>959000</v>
      </c>
      <c r="N506" s="6">
        <f ca="1">IFERROR(__xludf.DUMMYFUNCTION("SUM(FILTER(J:J, H:H=""Chuyển khoản"")) - SUM(FILTER(K:K, H:H=""Chuyển khoản""))
"),4468984)</f>
        <v>4468984</v>
      </c>
      <c r="O506" s="5"/>
      <c r="P506" s="5"/>
      <c r="Q506" s="5"/>
      <c r="R506" s="5"/>
      <c r="S506" s="5"/>
    </row>
    <row r="507" spans="1:19" ht="15.75" customHeight="1" x14ac:dyDescent="0.2">
      <c r="A507" s="3">
        <v>46136</v>
      </c>
      <c r="B507" s="4" t="str">
        <f>IF(A507="","","PC-"&amp;TEXT(A507,"mm/yyyy")&amp;"-"&amp;TEXT(COUNTIFS($A$2:A507,"&gt;="&amp;EOMONTH(A507,-1)+1,$A$2:A507,"&lt;="&amp;EOMONTH(A507,0)),"000"))</f>
        <v>PC-04/2026-014</v>
      </c>
      <c r="C507" s="7" t="s">
        <v>1090</v>
      </c>
      <c r="D507" s="5" t="s">
        <v>29</v>
      </c>
      <c r="E507" s="5" t="s">
        <v>64</v>
      </c>
      <c r="F507" s="5"/>
      <c r="G507" s="5" t="s">
        <v>482</v>
      </c>
      <c r="H507" s="5" t="s">
        <v>23</v>
      </c>
      <c r="I507" s="6">
        <v>600000</v>
      </c>
      <c r="J507" s="6">
        <f>IF(D507="Thu",I507,0)</f>
        <v>0</v>
      </c>
      <c r="K507" s="6">
        <f>IF(D507="Chi",I507,0)</f>
        <v>600000</v>
      </c>
      <c r="L507" s="6" t="e">
        <f>L506+J507-K507</f>
        <v>#VALUE!</v>
      </c>
      <c r="M507" s="6">
        <f ca="1">IFERROR(__xludf.DUMMYFUNCTION("SUM(FILTER(J:J, H:H=""Tiền mặt"")) - SUM(FILTER(K:K, H:H=""Tiền mặt""))
"),959000)</f>
        <v>959000</v>
      </c>
      <c r="N507" s="6">
        <f ca="1">IFERROR(__xludf.DUMMYFUNCTION("SUM(FILTER(J:J, H:H=""Chuyển khoản"")) - SUM(FILTER(K:K, H:H=""Chuyển khoản""))
"),4468984)</f>
        <v>4468984</v>
      </c>
      <c r="O507" s="5"/>
      <c r="P507" s="5"/>
      <c r="Q507" s="5"/>
      <c r="R507" s="5"/>
      <c r="S507" s="5"/>
    </row>
    <row r="508" spans="1:19" ht="15.75" customHeight="1" x14ac:dyDescent="0.2">
      <c r="A508" s="3">
        <v>46136</v>
      </c>
      <c r="B508" s="4" t="str">
        <f>IF(A508="","","PC-"&amp;TEXT(A508,"mm/yyyy")&amp;"-"&amp;TEXT(COUNTIFS($A$2:A508,"&gt;="&amp;EOMONTH(A508,-1)+1,$A$2:A508,"&lt;="&amp;EOMONTH(A508,0)),"000"))</f>
        <v>PC-04/2026-015</v>
      </c>
      <c r="C508" s="5" t="s">
        <v>1091</v>
      </c>
      <c r="D508" s="5" t="s">
        <v>29</v>
      </c>
      <c r="E508" s="5" t="s">
        <v>88</v>
      </c>
      <c r="F508" s="5"/>
      <c r="G508" s="5" t="s">
        <v>571</v>
      </c>
      <c r="H508" s="5" t="s">
        <v>23</v>
      </c>
      <c r="I508" s="6">
        <v>201000</v>
      </c>
      <c r="J508" s="6">
        <f>IF(D508="Thu",I508,0)</f>
        <v>0</v>
      </c>
      <c r="K508" s="6">
        <f>IF(D508="Chi",I508,0)</f>
        <v>201000</v>
      </c>
      <c r="L508" s="6" t="e">
        <f>L507+J508-K508</f>
        <v>#VALUE!</v>
      </c>
      <c r="M508" s="6">
        <f ca="1">IFERROR(__xludf.DUMMYFUNCTION("SUM(FILTER(J:J, H:H=""Tiền mặt"")) - SUM(FILTER(K:K, H:H=""Tiền mặt""))
"),959000)</f>
        <v>959000</v>
      </c>
      <c r="N508" s="6">
        <f ca="1">IFERROR(__xludf.DUMMYFUNCTION("SUM(FILTER(J:J, H:H=""Chuyển khoản"")) - SUM(FILTER(K:K, H:H=""Chuyển khoản""))
"),4468984)</f>
        <v>4468984</v>
      </c>
      <c r="O508" s="5"/>
      <c r="P508" s="5"/>
      <c r="Q508" s="5"/>
      <c r="R508" s="5"/>
      <c r="S508" s="5"/>
    </row>
    <row r="509" spans="1:19" ht="15.75" customHeight="1" x14ac:dyDescent="0.2">
      <c r="A509" s="3">
        <v>46136</v>
      </c>
      <c r="B509" s="4" t="str">
        <f>IF(A509="","","PC-"&amp;TEXT(A509,"mm/yyyy")&amp;"-"&amp;TEXT(COUNTIFS($A$2:A509,"&gt;="&amp;EOMONTH(A509,-1)+1,$A$2:A509,"&lt;="&amp;EOMONTH(A509,0)),"000"))</f>
        <v>PC-04/2026-016</v>
      </c>
      <c r="C509" s="5" t="s">
        <v>1092</v>
      </c>
      <c r="D509" s="5" t="s">
        <v>29</v>
      </c>
      <c r="E509" s="5" t="s">
        <v>88</v>
      </c>
      <c r="F509" s="5"/>
      <c r="G509" s="5" t="s">
        <v>571</v>
      </c>
      <c r="H509" s="5" t="s">
        <v>23</v>
      </c>
      <c r="I509" s="6">
        <v>1596000</v>
      </c>
      <c r="J509" s="6">
        <f>IF(D509="Thu",I509,0)</f>
        <v>0</v>
      </c>
      <c r="K509" s="6">
        <f>IF(D509="Chi",I509,0)</f>
        <v>1596000</v>
      </c>
      <c r="L509" s="6" t="e">
        <f>L508+J509-K509</f>
        <v>#VALUE!</v>
      </c>
      <c r="M509" s="6">
        <f ca="1">IFERROR(__xludf.DUMMYFUNCTION("SUM(FILTER(J:J, H:H=""Tiền mặt"")) - SUM(FILTER(K:K, H:H=""Tiền mặt""))
"),959000)</f>
        <v>959000</v>
      </c>
      <c r="N509" s="6">
        <f ca="1">IFERROR(__xludf.DUMMYFUNCTION("SUM(FILTER(J:J, H:H=""Chuyển khoản"")) - SUM(FILTER(K:K, H:H=""Chuyển khoản""))
"),4468984)</f>
        <v>4468984</v>
      </c>
      <c r="O509" s="5"/>
      <c r="P509" s="5"/>
      <c r="Q509" s="5"/>
      <c r="R509" s="5"/>
      <c r="S509" s="5"/>
    </row>
    <row r="510" spans="1:19" ht="15.75" customHeight="1" x14ac:dyDescent="0.2">
      <c r="A510" s="3">
        <v>46136</v>
      </c>
      <c r="B510" s="4" t="str">
        <f>IF(A510="","","PC-"&amp;TEXT(A510,"mm/yyyy")&amp;"-"&amp;TEXT(COUNTIFS($A$2:A510,"&gt;="&amp;EOMONTH(A510,-1)+1,$A$2:A510,"&lt;="&amp;EOMONTH(A510,0)),"000"))</f>
        <v>PC-04/2026-017</v>
      </c>
      <c r="C510" s="5" t="s">
        <v>1093</v>
      </c>
      <c r="D510" s="5" t="s">
        <v>29</v>
      </c>
      <c r="E510" s="5" t="s">
        <v>71</v>
      </c>
      <c r="F510" s="5"/>
      <c r="G510" s="5" t="s">
        <v>1094</v>
      </c>
      <c r="H510" s="5" t="s">
        <v>23</v>
      </c>
      <c r="I510" s="6">
        <v>17000</v>
      </c>
      <c r="J510" s="6">
        <f>IF(D510="Thu",I510,0)</f>
        <v>0</v>
      </c>
      <c r="K510" s="6">
        <f>IF(D510="Chi",I510,0)</f>
        <v>17000</v>
      </c>
      <c r="L510" s="6" t="e">
        <f>L509+J510-K510</f>
        <v>#VALUE!</v>
      </c>
      <c r="M510" s="6">
        <f ca="1">IFERROR(__xludf.DUMMYFUNCTION("SUM(FILTER(J:J, H:H=""Tiền mặt"")) - SUM(FILTER(K:K, H:H=""Tiền mặt""))
"),959000)</f>
        <v>959000</v>
      </c>
      <c r="N510" s="6">
        <f ca="1">IFERROR(__xludf.DUMMYFUNCTION("SUM(FILTER(J:J, H:H=""Chuyển khoản"")) - SUM(FILTER(K:K, H:H=""Chuyển khoản""))
"),4468984)</f>
        <v>4468984</v>
      </c>
      <c r="O510" s="5"/>
      <c r="P510" s="5"/>
      <c r="Q510" s="5"/>
      <c r="R510" s="5"/>
      <c r="S510" s="5"/>
    </row>
    <row r="511" spans="1:19" ht="15.75" customHeight="1" x14ac:dyDescent="0.2">
      <c r="A511" s="3">
        <v>46136</v>
      </c>
      <c r="B511" s="4" t="str">
        <f>IF(A511="","","PC-"&amp;TEXT(A511,"mm/yyyy")&amp;"-"&amp;TEXT(COUNTIFS($A$2:A511,"&gt;="&amp;EOMONTH(A511,-1)+1,$A$2:A511,"&lt;="&amp;EOMONTH(A511,0)),"000"))</f>
        <v>PC-04/2026-018</v>
      </c>
      <c r="C511" s="5" t="s">
        <v>1095</v>
      </c>
      <c r="D511" s="5" t="s">
        <v>29</v>
      </c>
      <c r="E511" s="5" t="s">
        <v>71</v>
      </c>
      <c r="F511" s="5"/>
      <c r="G511" s="5" t="s">
        <v>1096</v>
      </c>
      <c r="H511" s="5" t="s">
        <v>23</v>
      </c>
      <c r="I511" s="6">
        <v>37000</v>
      </c>
      <c r="J511" s="6">
        <f>IF(D511="Thu",I511,0)</f>
        <v>0</v>
      </c>
      <c r="K511" s="6">
        <f>IF(D511="Chi",I511,0)</f>
        <v>37000</v>
      </c>
      <c r="L511" s="6" t="e">
        <f>L510+J511-K511</f>
        <v>#VALUE!</v>
      </c>
      <c r="M511" s="6">
        <f ca="1">IFERROR(__xludf.DUMMYFUNCTION("SUM(FILTER(J:J, H:H=""Tiền mặt"")) - SUM(FILTER(K:K, H:H=""Tiền mặt""))
"),959000)</f>
        <v>959000</v>
      </c>
      <c r="N511" s="6">
        <f ca="1">IFERROR(__xludf.DUMMYFUNCTION("SUM(FILTER(J:J, H:H=""Chuyển khoản"")) - SUM(FILTER(K:K, H:H=""Chuyển khoản""))
"),4468984)</f>
        <v>4468984</v>
      </c>
      <c r="O511" s="5"/>
      <c r="P511" s="5"/>
      <c r="Q511" s="5"/>
      <c r="R511" s="5"/>
      <c r="S511" s="5"/>
    </row>
    <row r="512" spans="1:19" ht="15.75" customHeight="1" x14ac:dyDescent="0.2">
      <c r="A512" s="3">
        <v>46136</v>
      </c>
      <c r="B512" s="4" t="str">
        <f>IF(A512="","","PC-"&amp;TEXT(A512,"mm/yyyy")&amp;"-"&amp;TEXT(COUNTIFS($A$2:A512,"&gt;="&amp;EOMONTH(A512,-1)+1,$A$2:A512,"&lt;="&amp;EOMONTH(A512,0)),"000"))</f>
        <v>PC-04/2026-019</v>
      </c>
      <c r="C512" s="5" t="s">
        <v>1097</v>
      </c>
      <c r="D512" s="5" t="s">
        <v>29</v>
      </c>
      <c r="E512" s="5" t="s">
        <v>41</v>
      </c>
      <c r="F512" s="5"/>
      <c r="G512" s="5" t="s">
        <v>560</v>
      </c>
      <c r="H512" s="5" t="s">
        <v>23</v>
      </c>
      <c r="I512" s="6">
        <v>1000000</v>
      </c>
      <c r="J512" s="6">
        <f>IF(D512="Thu",I512,0)</f>
        <v>0</v>
      </c>
      <c r="K512" s="6">
        <f>IF(D512="Chi",I512,0)</f>
        <v>1000000</v>
      </c>
      <c r="L512" s="6" t="e">
        <f>L511+J512-K512</f>
        <v>#VALUE!</v>
      </c>
      <c r="M512" s="6">
        <f ca="1">IFERROR(__xludf.DUMMYFUNCTION("SUM(FILTER(J:J, H:H=""Tiền mặt"")) - SUM(FILTER(K:K, H:H=""Tiền mặt""))
"),959000)</f>
        <v>959000</v>
      </c>
      <c r="N512" s="6">
        <f ca="1">IFERROR(__xludf.DUMMYFUNCTION("SUM(FILTER(J:J, H:H=""Chuyển khoản"")) - SUM(FILTER(K:K, H:H=""Chuyển khoản""))
"),4468984)</f>
        <v>4468984</v>
      </c>
      <c r="O512" s="5"/>
      <c r="P512" s="5"/>
      <c r="Q512" s="5"/>
      <c r="R512" s="5"/>
      <c r="S512" s="5"/>
    </row>
    <row r="513" spans="1:19" ht="15.75" customHeight="1" x14ac:dyDescent="0.2">
      <c r="A513" s="3">
        <v>46136</v>
      </c>
      <c r="B513" s="4" t="str">
        <f>IF(A513="","","PC-"&amp;TEXT(A513,"mm/yyyy")&amp;"-"&amp;TEXT(COUNTIFS($A$2:A513,"&gt;="&amp;EOMONTH(A513,-1)+1,$A$2:A513,"&lt;="&amp;EOMONTH(A513,0)),"000"))</f>
        <v>PC-04/2026-020</v>
      </c>
      <c r="C513" s="5" t="s">
        <v>1098</v>
      </c>
      <c r="D513" s="5" t="s">
        <v>29</v>
      </c>
      <c r="E513" s="5" t="s">
        <v>41</v>
      </c>
      <c r="F513" s="5"/>
      <c r="G513" s="5" t="s">
        <v>82</v>
      </c>
      <c r="H513" s="5" t="s">
        <v>23</v>
      </c>
      <c r="I513" s="6">
        <v>100000</v>
      </c>
      <c r="J513" s="6">
        <f>IF(D513="Thu",I513,0)</f>
        <v>0</v>
      </c>
      <c r="K513" s="6">
        <f>IF(D513="Chi",I513,0)</f>
        <v>100000</v>
      </c>
      <c r="L513" s="6" t="e">
        <f>L512+J513-K513</f>
        <v>#VALUE!</v>
      </c>
      <c r="M513" s="6">
        <f ca="1">IFERROR(__xludf.DUMMYFUNCTION("SUM(FILTER(J:J, H:H=""Tiền mặt"")) - SUM(FILTER(K:K, H:H=""Tiền mặt""))
"),959000)</f>
        <v>959000</v>
      </c>
      <c r="N513" s="6">
        <f ca="1">IFERROR(__xludf.DUMMYFUNCTION("SUM(FILTER(J:J, H:H=""Chuyển khoản"")) - SUM(FILTER(K:K, H:H=""Chuyển khoản""))
"),4468984)</f>
        <v>4468984</v>
      </c>
      <c r="O513" s="5"/>
      <c r="P513" s="5"/>
      <c r="Q513" s="5"/>
      <c r="R513" s="5"/>
      <c r="S513" s="5"/>
    </row>
    <row r="514" spans="1:19" ht="15.75" customHeight="1" x14ac:dyDescent="0.2">
      <c r="A514" s="3">
        <v>46136</v>
      </c>
      <c r="B514" s="4" t="str">
        <f>IF(A514="","","PC-"&amp;TEXT(A514,"mm/yyyy")&amp;"-"&amp;TEXT(COUNTIFS($A$2:A514,"&gt;="&amp;EOMONTH(A514,-1)+1,$A$2:A514,"&lt;="&amp;EOMONTH(A514,0)),"000"))</f>
        <v>PC-04/2026-021</v>
      </c>
      <c r="C514" s="5" t="s">
        <v>1099</v>
      </c>
      <c r="D514" s="5" t="s">
        <v>29</v>
      </c>
      <c r="E514" s="5" t="s">
        <v>64</v>
      </c>
      <c r="F514" s="5"/>
      <c r="G514" s="5" t="s">
        <v>162</v>
      </c>
      <c r="H514" s="5" t="s">
        <v>23</v>
      </c>
      <c r="I514" s="6">
        <v>2000000</v>
      </c>
      <c r="J514" s="6">
        <f>IF(D514="Thu",I514,0)</f>
        <v>0</v>
      </c>
      <c r="K514" s="6">
        <f>IF(D514="Chi",I514,0)</f>
        <v>2000000</v>
      </c>
      <c r="L514" s="6" t="e">
        <f>L513+J514-K514</f>
        <v>#VALUE!</v>
      </c>
      <c r="M514" s="6">
        <f ca="1">IFERROR(__xludf.DUMMYFUNCTION("SUM(FILTER(J:J, H:H=""Tiền mặt"")) - SUM(FILTER(K:K, H:H=""Tiền mặt""))
"),959000)</f>
        <v>959000</v>
      </c>
      <c r="N514" s="6">
        <f ca="1">IFERROR(__xludf.DUMMYFUNCTION("SUM(FILTER(J:J, H:H=""Chuyển khoản"")) - SUM(FILTER(K:K, H:H=""Chuyển khoản""))
"),4468984)</f>
        <v>4468984</v>
      </c>
      <c r="O514" s="5"/>
      <c r="P514" s="5"/>
      <c r="Q514" s="5"/>
      <c r="R514" s="5"/>
      <c r="S514" s="5"/>
    </row>
    <row r="515" spans="1:19" ht="15.75" customHeight="1" x14ac:dyDescent="0.2">
      <c r="A515" s="3">
        <v>46136</v>
      </c>
      <c r="B515" s="4" t="str">
        <f>IF(A515="","","PC-"&amp;TEXT(A515,"mm/yyyy")&amp;"-"&amp;TEXT(COUNTIFS($A$2:A515,"&gt;="&amp;EOMONTH(A515,-1)+1,$A$2:A515,"&lt;="&amp;EOMONTH(A515,0)),"000"))</f>
        <v>PC-04/2026-022</v>
      </c>
      <c r="C515" s="5" t="s">
        <v>1100</v>
      </c>
      <c r="D515" s="5" t="s">
        <v>29</v>
      </c>
      <c r="E515" s="5" t="s">
        <v>47</v>
      </c>
      <c r="F515" s="5"/>
      <c r="G515" s="5" t="s">
        <v>48</v>
      </c>
      <c r="H515" s="5" t="s">
        <v>23</v>
      </c>
      <c r="I515" s="6">
        <v>300000</v>
      </c>
      <c r="J515" s="6">
        <f>IF(D515="Thu",I515,0)</f>
        <v>0</v>
      </c>
      <c r="K515" s="6">
        <f>IF(D515="Chi",I515,0)</f>
        <v>300000</v>
      </c>
      <c r="L515" s="6" t="e">
        <f>L514+J515-K515</f>
        <v>#VALUE!</v>
      </c>
      <c r="M515" s="6">
        <f ca="1">IFERROR(__xludf.DUMMYFUNCTION("SUM(FILTER(J:J, H:H=""Tiền mặt"")) - SUM(FILTER(K:K, H:H=""Tiền mặt""))
"),959000)</f>
        <v>959000</v>
      </c>
      <c r="N515" s="6">
        <f ca="1">IFERROR(__xludf.DUMMYFUNCTION("SUM(FILTER(J:J, H:H=""Chuyển khoản"")) - SUM(FILTER(K:K, H:H=""Chuyển khoản""))
"),4468984)</f>
        <v>4468984</v>
      </c>
      <c r="O515" s="5"/>
      <c r="P515" s="5"/>
      <c r="Q515" s="5"/>
      <c r="R515" s="5"/>
      <c r="S515" s="5"/>
    </row>
    <row r="516" spans="1:19" ht="15.75" customHeight="1" x14ac:dyDescent="0.2">
      <c r="A516" s="3">
        <v>46135</v>
      </c>
      <c r="B516" s="4" t="str">
        <f>IF(A516="","","PC-"&amp;TEXT(A516,"mm/yyyy")&amp;"-"&amp;TEXT(COUNTIFS($A$2:A516,"&gt;="&amp;EOMONTH(A516,-1)+1,$A$2:A516,"&lt;="&amp;EOMONTH(A516,0)),"000"))</f>
        <v>PC-04/2026-023</v>
      </c>
      <c r="C516" s="5" t="s">
        <v>1068</v>
      </c>
      <c r="D516" s="5" t="s">
        <v>29</v>
      </c>
      <c r="E516" s="5" t="s">
        <v>71</v>
      </c>
      <c r="F516" s="5"/>
      <c r="G516" s="5" t="s">
        <v>219</v>
      </c>
      <c r="H516" s="5" t="s">
        <v>27</v>
      </c>
      <c r="I516" s="6">
        <v>74000</v>
      </c>
      <c r="J516" s="6">
        <f>IF(D516="Thu",I516,0)</f>
        <v>0</v>
      </c>
      <c r="K516" s="6">
        <f>IF(D516="Chi",I516,0)</f>
        <v>74000</v>
      </c>
      <c r="L516" s="6" t="e">
        <f>L515+J516-K516</f>
        <v>#VALUE!</v>
      </c>
      <c r="M516" s="6">
        <f ca="1">IFERROR(__xludf.DUMMYFUNCTION("SUM(FILTER(J:J, H:H=""Tiền mặt"")) - SUM(FILTER(K:K, H:H=""Tiền mặt""))
"),959000)</f>
        <v>959000</v>
      </c>
      <c r="N516" s="6">
        <f ca="1">IFERROR(__xludf.DUMMYFUNCTION("SUM(FILTER(J:J, H:H=""Chuyển khoản"")) - SUM(FILTER(K:K, H:H=""Chuyển khoản""))
"),4468984)</f>
        <v>4468984</v>
      </c>
      <c r="O516" s="5"/>
      <c r="P516" s="5"/>
      <c r="Q516" s="5"/>
      <c r="R516" s="5"/>
      <c r="S516" s="5"/>
    </row>
    <row r="517" spans="1:19" ht="15.75" customHeight="1" x14ac:dyDescent="0.2">
      <c r="A517" s="3">
        <v>46135</v>
      </c>
      <c r="B517" s="4" t="str">
        <f>IF(A517="","","PC-"&amp;TEXT(A517,"mm/yyyy")&amp;"-"&amp;TEXT(COUNTIFS($A$2:A517,"&gt;="&amp;EOMONTH(A517,-1)+1,$A$2:A517,"&lt;="&amp;EOMONTH(A517,0)),"000"))</f>
        <v>PC-04/2026-024</v>
      </c>
      <c r="C517" s="5" t="s">
        <v>1069</v>
      </c>
      <c r="D517" s="5" t="s">
        <v>29</v>
      </c>
      <c r="E517" s="5" t="s">
        <v>71</v>
      </c>
      <c r="F517" s="5"/>
      <c r="G517" s="5" t="s">
        <v>1070</v>
      </c>
      <c r="H517" s="5" t="s">
        <v>27</v>
      </c>
      <c r="I517" s="6">
        <v>39000</v>
      </c>
      <c r="J517" s="6">
        <f>IF(D517="Thu",I517,0)</f>
        <v>0</v>
      </c>
      <c r="K517" s="6">
        <f>IF(D517="Chi",I517,0)</f>
        <v>39000</v>
      </c>
      <c r="L517" s="6" t="e">
        <f>L516+J517-K517</f>
        <v>#VALUE!</v>
      </c>
      <c r="M517" s="6">
        <f ca="1">IFERROR(__xludf.DUMMYFUNCTION("SUM(FILTER(J:J, H:H=""Tiền mặt"")) - SUM(FILTER(K:K, H:H=""Tiền mặt""))
"),959000)</f>
        <v>959000</v>
      </c>
      <c r="N517" s="6">
        <f ca="1">IFERROR(__xludf.DUMMYFUNCTION("SUM(FILTER(J:J, H:H=""Chuyển khoản"")) - SUM(FILTER(K:K, H:H=""Chuyển khoản""))
"),4468984)</f>
        <v>4468984</v>
      </c>
      <c r="O517" s="5"/>
      <c r="P517" s="5"/>
      <c r="Q517" s="5"/>
      <c r="R517" s="5"/>
      <c r="S517" s="5"/>
    </row>
    <row r="518" spans="1:19" ht="15.75" customHeight="1" x14ac:dyDescent="0.2">
      <c r="A518" s="3">
        <v>46135</v>
      </c>
      <c r="B518" s="4" t="str">
        <f>IF(A518="","","PC-"&amp;TEXT(A518,"mm/yyyy")&amp;"-"&amp;TEXT(COUNTIFS($A$2:A518,"&gt;="&amp;EOMONTH(A518,-1)+1,$A$2:A518,"&lt;="&amp;EOMONTH(A518,0)),"000"))</f>
        <v>PC-04/2026-025</v>
      </c>
      <c r="C518" s="5" t="s">
        <v>1071</v>
      </c>
      <c r="D518" s="5" t="s">
        <v>29</v>
      </c>
      <c r="E518" s="5" t="s">
        <v>41</v>
      </c>
      <c r="F518" s="5"/>
      <c r="G518" s="5" t="s">
        <v>82</v>
      </c>
      <c r="H518" s="5" t="s">
        <v>23</v>
      </c>
      <c r="I518" s="6">
        <v>100000</v>
      </c>
      <c r="J518" s="6">
        <f>IF(D518="Thu",I518,0)</f>
        <v>0</v>
      </c>
      <c r="K518" s="6">
        <f>IF(D518="Chi",I518,0)</f>
        <v>100000</v>
      </c>
      <c r="L518" s="6" t="e">
        <f>L517+J518-K518</f>
        <v>#VALUE!</v>
      </c>
      <c r="M518" s="6">
        <f ca="1">IFERROR(__xludf.DUMMYFUNCTION("SUM(FILTER(J:J, H:H=""Tiền mặt"")) - SUM(FILTER(K:K, H:H=""Tiền mặt""))
"),959000)</f>
        <v>959000</v>
      </c>
      <c r="N518" s="6">
        <f ca="1">IFERROR(__xludf.DUMMYFUNCTION("SUM(FILTER(J:J, H:H=""Chuyển khoản"")) - SUM(FILTER(K:K, H:H=""Chuyển khoản""))
"),4468984)</f>
        <v>4468984</v>
      </c>
      <c r="O518" s="5"/>
      <c r="P518" s="5"/>
      <c r="Q518" s="5"/>
      <c r="R518" s="5"/>
      <c r="S518" s="5"/>
    </row>
    <row r="519" spans="1:19" ht="15.75" customHeight="1" x14ac:dyDescent="0.2">
      <c r="A519" s="3">
        <v>46135</v>
      </c>
      <c r="B519" s="4" t="str">
        <f>IF(A519="","","PC-"&amp;TEXT(A519,"mm/yyyy")&amp;"-"&amp;TEXT(COUNTIFS($A$2:A519,"&gt;="&amp;EOMONTH(A519,-1)+1,$A$2:A519,"&lt;="&amp;EOMONTH(A519,0)),"000"))</f>
        <v>PC-04/2026-026</v>
      </c>
      <c r="C519" s="5" t="s">
        <v>1072</v>
      </c>
      <c r="D519" s="5" t="s">
        <v>29</v>
      </c>
      <c r="E519" s="5" t="s">
        <v>41</v>
      </c>
      <c r="F519" s="5"/>
      <c r="G519" s="5" t="s">
        <v>82</v>
      </c>
      <c r="H519" s="5" t="s">
        <v>23</v>
      </c>
      <c r="I519" s="6">
        <v>100000</v>
      </c>
      <c r="J519" s="6">
        <f>IF(D519="Thu",I519,0)</f>
        <v>0</v>
      </c>
      <c r="K519" s="6">
        <f>IF(D519="Chi",I519,0)</f>
        <v>100000</v>
      </c>
      <c r="L519" s="6" t="e">
        <f>L518+J519-K519</f>
        <v>#VALUE!</v>
      </c>
      <c r="M519" s="6">
        <f ca="1">IFERROR(__xludf.DUMMYFUNCTION("SUM(FILTER(J:J, H:H=""Tiền mặt"")) - SUM(FILTER(K:K, H:H=""Tiền mặt""))
"),959000)</f>
        <v>959000</v>
      </c>
      <c r="N519" s="6">
        <f ca="1">IFERROR(__xludf.DUMMYFUNCTION("SUM(FILTER(J:J, H:H=""Chuyển khoản"")) - SUM(FILTER(K:K, H:H=""Chuyển khoản""))
"),4468984)</f>
        <v>4468984</v>
      </c>
      <c r="O519" s="5"/>
      <c r="P519" s="5"/>
      <c r="Q519" s="5"/>
      <c r="R519" s="5"/>
      <c r="S519" s="5"/>
    </row>
    <row r="520" spans="1:19" ht="15.75" customHeight="1" x14ac:dyDescent="0.2">
      <c r="A520" s="3">
        <v>46135</v>
      </c>
      <c r="B520" s="4" t="str">
        <f>IF(A520="","","PC-"&amp;TEXT(A520,"mm/yyyy")&amp;"-"&amp;TEXT(COUNTIFS($A$2:A520,"&gt;="&amp;EOMONTH(A520,-1)+1,$A$2:A520,"&lt;="&amp;EOMONTH(A520,0)),"000"))</f>
        <v>PC-04/2026-027</v>
      </c>
      <c r="C520" s="5" t="s">
        <v>1073</v>
      </c>
      <c r="D520" s="5" t="s">
        <v>29</v>
      </c>
      <c r="E520" s="5" t="s">
        <v>51</v>
      </c>
      <c r="F520" s="5"/>
      <c r="G520" s="5" t="s">
        <v>52</v>
      </c>
      <c r="H520" s="5" t="s">
        <v>27</v>
      </c>
      <c r="I520" s="6">
        <v>97435</v>
      </c>
      <c r="J520" s="6">
        <f>IF(D520="Thu",I520,0)</f>
        <v>0</v>
      </c>
      <c r="K520" s="6">
        <f>IF(D520="Chi",I520,0)</f>
        <v>97435</v>
      </c>
      <c r="L520" s="6" t="e">
        <f>L519+J520-K520</f>
        <v>#VALUE!</v>
      </c>
      <c r="M520" s="6">
        <f ca="1">IFERROR(__xludf.DUMMYFUNCTION("SUM(FILTER(J:J, H:H=""Tiền mặt"")) - SUM(FILTER(K:K, H:H=""Tiền mặt""))
"),959000)</f>
        <v>959000</v>
      </c>
      <c r="N520" s="6">
        <f ca="1">IFERROR(__xludf.DUMMYFUNCTION("SUM(FILTER(J:J, H:H=""Chuyển khoản"")) - SUM(FILTER(K:K, H:H=""Chuyển khoản""))
"),4468984)</f>
        <v>4468984</v>
      </c>
      <c r="O520" s="5"/>
      <c r="P520" s="5"/>
      <c r="Q520" s="5"/>
      <c r="R520" s="5"/>
      <c r="S520" s="5"/>
    </row>
    <row r="521" spans="1:19" ht="15.75" customHeight="1" x14ac:dyDescent="0.2">
      <c r="A521" s="3">
        <v>46135</v>
      </c>
      <c r="B521" s="4" t="str">
        <f>IF(A521="","","PC-"&amp;TEXT(A521,"mm/yyyy")&amp;"-"&amp;TEXT(COUNTIFS($A$2:A521,"&gt;="&amp;EOMONTH(A521,-1)+1,$A$2:A521,"&lt;="&amp;EOMONTH(A521,0)),"000"))</f>
        <v>PC-04/2026-028</v>
      </c>
      <c r="C521" s="5" t="s">
        <v>1074</v>
      </c>
      <c r="D521" s="5" t="s">
        <v>29</v>
      </c>
      <c r="E521" s="5" t="s">
        <v>51</v>
      </c>
      <c r="F521" s="5"/>
      <c r="G521" s="5" t="s">
        <v>52</v>
      </c>
      <c r="H521" s="5" t="s">
        <v>27</v>
      </c>
      <c r="I521" s="6">
        <v>159500</v>
      </c>
      <c r="J521" s="6">
        <f>IF(D521="Thu",I521,0)</f>
        <v>0</v>
      </c>
      <c r="K521" s="6">
        <f>IF(D521="Chi",I521,0)</f>
        <v>159500</v>
      </c>
      <c r="L521" s="6" t="e">
        <f>L520+J521-K521</f>
        <v>#VALUE!</v>
      </c>
      <c r="M521" s="6">
        <f ca="1">IFERROR(__xludf.DUMMYFUNCTION("SUM(FILTER(J:J, H:H=""Tiền mặt"")) - SUM(FILTER(K:K, H:H=""Tiền mặt""))
"),959000)</f>
        <v>959000</v>
      </c>
      <c r="N521" s="6">
        <f ca="1">IFERROR(__xludf.DUMMYFUNCTION("SUM(FILTER(J:J, H:H=""Chuyển khoản"")) - SUM(FILTER(K:K, H:H=""Chuyển khoản""))
"),4468984)</f>
        <v>4468984</v>
      </c>
      <c r="O521" s="5"/>
      <c r="P521" s="5"/>
      <c r="Q521" s="5"/>
      <c r="R521" s="5"/>
      <c r="S521" s="5"/>
    </row>
    <row r="522" spans="1:19" ht="15.75" customHeight="1" x14ac:dyDescent="0.2">
      <c r="A522" s="3">
        <v>46135</v>
      </c>
      <c r="B522" s="4" t="str">
        <f>IF(A522="","","PC-"&amp;TEXT(A522,"mm/yyyy")&amp;"-"&amp;TEXT(COUNTIFS($A$2:A522,"&gt;="&amp;EOMONTH(A522,-1)+1,$A$2:A522,"&lt;="&amp;EOMONTH(A522,0)),"000"))</f>
        <v>PC-04/2026-029</v>
      </c>
      <c r="C522" s="5" t="s">
        <v>1075</v>
      </c>
      <c r="D522" s="5" t="s">
        <v>29</v>
      </c>
      <c r="E522" s="5" t="s">
        <v>51</v>
      </c>
      <c r="F522" s="5"/>
      <c r="G522" s="5" t="s">
        <v>52</v>
      </c>
      <c r="H522" s="5" t="s">
        <v>27</v>
      </c>
      <c r="I522" s="6">
        <v>215080</v>
      </c>
      <c r="J522" s="6">
        <f>IF(D522="Thu",I522,0)</f>
        <v>0</v>
      </c>
      <c r="K522" s="6">
        <f>IF(D522="Chi",I522,0)</f>
        <v>215080</v>
      </c>
      <c r="L522" s="6" t="e">
        <f>L521+J522-K522</f>
        <v>#VALUE!</v>
      </c>
      <c r="M522" s="6">
        <f ca="1">IFERROR(__xludf.DUMMYFUNCTION("SUM(FILTER(J:J, H:H=""Tiền mặt"")) - SUM(FILTER(K:K, H:H=""Tiền mặt""))
"),959000)</f>
        <v>959000</v>
      </c>
      <c r="N522" s="6">
        <f ca="1">IFERROR(__xludf.DUMMYFUNCTION("SUM(FILTER(J:J, H:H=""Chuyển khoản"")) - SUM(FILTER(K:K, H:H=""Chuyển khoản""))
"),4468984)</f>
        <v>4468984</v>
      </c>
      <c r="O522" s="5"/>
      <c r="P522" s="5"/>
      <c r="Q522" s="5"/>
      <c r="R522" s="5"/>
      <c r="S522" s="5"/>
    </row>
    <row r="523" spans="1:19" ht="15.75" customHeight="1" x14ac:dyDescent="0.2">
      <c r="A523" s="3">
        <v>46135</v>
      </c>
      <c r="B523" s="4" t="str">
        <f>IF(A523="","","PC-"&amp;TEXT(A523,"mm/yyyy")&amp;"-"&amp;TEXT(COUNTIFS($A$2:A523,"&gt;="&amp;EOMONTH(A523,-1)+1,$A$2:A523,"&lt;="&amp;EOMONTH(A523,0)),"000"))</f>
        <v>PC-04/2026-030</v>
      </c>
      <c r="C523" s="7" t="s">
        <v>1076</v>
      </c>
      <c r="D523" s="5" t="s">
        <v>29</v>
      </c>
      <c r="E523" s="5" t="s">
        <v>674</v>
      </c>
      <c r="F523" s="5"/>
      <c r="G523" s="5" t="s">
        <v>571</v>
      </c>
      <c r="H523" s="5" t="s">
        <v>27</v>
      </c>
      <c r="I523" s="6">
        <v>69000</v>
      </c>
      <c r="J523" s="6">
        <f>IF(D523="Thu",I523,0)</f>
        <v>0</v>
      </c>
      <c r="K523" s="6">
        <f>IF(D523="Chi",I523,0)</f>
        <v>69000</v>
      </c>
      <c r="L523" s="6" t="e">
        <f>L522+J523-K523</f>
        <v>#VALUE!</v>
      </c>
      <c r="M523" s="6">
        <f ca="1">IFERROR(__xludf.DUMMYFUNCTION("SUM(FILTER(J:J, H:H=""Tiền mặt"")) - SUM(FILTER(K:K, H:H=""Tiền mặt""))
"),959000)</f>
        <v>959000</v>
      </c>
      <c r="N523" s="6">
        <f ca="1">IFERROR(__xludf.DUMMYFUNCTION("SUM(FILTER(J:J, H:H=""Chuyển khoản"")) - SUM(FILTER(K:K, H:H=""Chuyển khoản""))
"),4468984)</f>
        <v>4468984</v>
      </c>
      <c r="O523" s="5"/>
      <c r="P523" s="5"/>
      <c r="Q523" s="5"/>
      <c r="R523" s="5"/>
      <c r="S523" s="5"/>
    </row>
    <row r="524" spans="1:19" ht="15.75" customHeight="1" x14ac:dyDescent="0.2">
      <c r="A524" s="3">
        <v>46135</v>
      </c>
      <c r="B524" s="4" t="str">
        <f>IF(A524="","","PC-"&amp;TEXT(A524,"mm/yyyy")&amp;"-"&amp;TEXT(COUNTIFS($A$2:A524,"&gt;="&amp;EOMONTH(A524,-1)+1,$A$2:A524,"&lt;="&amp;EOMONTH(A524,0)),"000"))</f>
        <v>PC-04/2026-031</v>
      </c>
      <c r="C524" s="7" t="s">
        <v>1077</v>
      </c>
      <c r="D524" s="5" t="s">
        <v>29</v>
      </c>
      <c r="E524" s="5" t="s">
        <v>51</v>
      </c>
      <c r="F524" s="5"/>
      <c r="G524" s="5" t="s">
        <v>52</v>
      </c>
      <c r="H524" s="5" t="s">
        <v>27</v>
      </c>
      <c r="I524" s="6">
        <v>199535</v>
      </c>
      <c r="J524" s="6">
        <f>IF(D524="Thu",I524,0)</f>
        <v>0</v>
      </c>
      <c r="K524" s="6">
        <f>IF(D524="Chi",I524,0)</f>
        <v>199535</v>
      </c>
      <c r="L524" s="6" t="e">
        <f>L523+J524-K524</f>
        <v>#VALUE!</v>
      </c>
      <c r="M524" s="6">
        <f ca="1">IFERROR(__xludf.DUMMYFUNCTION("SUM(FILTER(J:J, H:H=""Tiền mặt"")) - SUM(FILTER(K:K, H:H=""Tiền mặt""))
"),959000)</f>
        <v>959000</v>
      </c>
      <c r="N524" s="6">
        <f ca="1">IFERROR(__xludf.DUMMYFUNCTION("SUM(FILTER(J:J, H:H=""Chuyển khoản"")) - SUM(FILTER(K:K, H:H=""Chuyển khoản""))
"),4468984)</f>
        <v>4468984</v>
      </c>
      <c r="O524" s="5"/>
      <c r="P524" s="5"/>
      <c r="Q524" s="5"/>
      <c r="R524" s="5"/>
      <c r="S524" s="5"/>
    </row>
    <row r="525" spans="1:19" ht="15.75" customHeight="1" x14ac:dyDescent="0.2">
      <c r="A525" s="3">
        <v>46135</v>
      </c>
      <c r="B525" s="4" t="str">
        <f>IF(A525="","","PC-"&amp;TEXT(A525,"mm/yyyy")&amp;"-"&amp;TEXT(COUNTIFS($A$2:A525,"&gt;="&amp;EOMONTH(A525,-1)+1,$A$2:A525,"&lt;="&amp;EOMONTH(A525,0)),"000"))</f>
        <v>PC-04/2026-032</v>
      </c>
      <c r="C525" s="5" t="s">
        <v>1078</v>
      </c>
      <c r="D525" s="5" t="s">
        <v>20</v>
      </c>
      <c r="E525" s="5" t="s">
        <v>21</v>
      </c>
      <c r="F525" s="5"/>
      <c r="G525" s="5" t="s">
        <v>22</v>
      </c>
      <c r="H525" s="5" t="s">
        <v>27</v>
      </c>
      <c r="I525" s="6">
        <v>10000000</v>
      </c>
      <c r="J525" s="6">
        <f>IF(D525="Thu",I525,0)</f>
        <v>10000000</v>
      </c>
      <c r="K525" s="6">
        <f>IF(D525="Chi",I525,0)</f>
        <v>0</v>
      </c>
      <c r="L525" s="6" t="e">
        <f>L524+J525-K525</f>
        <v>#VALUE!</v>
      </c>
      <c r="M525" s="6">
        <f ca="1">IFERROR(__xludf.DUMMYFUNCTION("SUM(FILTER(J:J, H:H=""Tiền mặt"")) - SUM(FILTER(K:K, H:H=""Tiền mặt""))
"),959000)</f>
        <v>959000</v>
      </c>
      <c r="N525" s="6">
        <f ca="1">IFERROR(__xludf.DUMMYFUNCTION("SUM(FILTER(J:J, H:H=""Chuyển khoản"")) - SUM(FILTER(K:K, H:H=""Chuyển khoản""))
"),4468984)</f>
        <v>4468984</v>
      </c>
      <c r="O525" s="5"/>
      <c r="P525" s="5"/>
      <c r="Q525" s="5"/>
      <c r="R525" s="5"/>
      <c r="S525" s="5"/>
    </row>
    <row r="526" spans="1:19" ht="15.75" customHeight="1" x14ac:dyDescent="0.2">
      <c r="A526" s="3">
        <v>46135</v>
      </c>
      <c r="B526" s="4" t="str">
        <f>IF(A526="","","PC-"&amp;TEXT(A526,"mm/yyyy")&amp;"-"&amp;TEXT(COUNTIFS($A$2:A526,"&gt;="&amp;EOMONTH(A526,-1)+1,$A$2:A526,"&lt;="&amp;EOMONTH(A526,0)),"000"))</f>
        <v>PC-04/2026-033</v>
      </c>
      <c r="C526" s="5" t="s">
        <v>1079</v>
      </c>
      <c r="D526" s="5" t="s">
        <v>29</v>
      </c>
      <c r="E526" s="5" t="s">
        <v>346</v>
      </c>
      <c r="F526" s="5"/>
      <c r="G526" s="5" t="s">
        <v>347</v>
      </c>
      <c r="H526" s="5" t="s">
        <v>27</v>
      </c>
      <c r="I526" s="6">
        <v>1000000</v>
      </c>
      <c r="J526" s="6">
        <f>IF(D526="Thu",I526,0)</f>
        <v>0</v>
      </c>
      <c r="K526" s="6">
        <f>IF(D526="Chi",I526,0)</f>
        <v>1000000</v>
      </c>
      <c r="L526" s="6" t="e">
        <f>L525+J526-K526</f>
        <v>#VALUE!</v>
      </c>
      <c r="M526" s="6">
        <f ca="1">IFERROR(__xludf.DUMMYFUNCTION("SUM(FILTER(J:J, H:H=""Tiền mặt"")) - SUM(FILTER(K:K, H:H=""Tiền mặt""))
"),959000)</f>
        <v>959000</v>
      </c>
      <c r="N526" s="6">
        <f ca="1">IFERROR(__xludf.DUMMYFUNCTION("SUM(FILTER(J:J, H:H=""Chuyển khoản"")) - SUM(FILTER(K:K, H:H=""Chuyển khoản""))
"),4468984)</f>
        <v>4468984</v>
      </c>
      <c r="O526" s="5"/>
      <c r="P526" s="5"/>
      <c r="Q526" s="5"/>
      <c r="R526" s="5"/>
      <c r="S526" s="5"/>
    </row>
    <row r="527" spans="1:19" ht="15.75" customHeight="1" x14ac:dyDescent="0.2">
      <c r="A527" s="3">
        <v>46135</v>
      </c>
      <c r="B527" s="4" t="str">
        <f>IF(A527="","","PC-"&amp;TEXT(A527,"mm/yyyy")&amp;"-"&amp;TEXT(COUNTIFS($A$2:A527,"&gt;="&amp;EOMONTH(A527,-1)+1,$A$2:A527,"&lt;="&amp;EOMONTH(A527,0)),"000"))</f>
        <v>PC-04/2026-034</v>
      </c>
      <c r="C527" s="5" t="s">
        <v>1080</v>
      </c>
      <c r="D527" s="5" t="s">
        <v>29</v>
      </c>
      <c r="E527" s="5" t="s">
        <v>41</v>
      </c>
      <c r="F527" s="5"/>
      <c r="G527" s="5" t="s">
        <v>82</v>
      </c>
      <c r="H527" s="5" t="s">
        <v>23</v>
      </c>
      <c r="I527" s="6">
        <v>100000</v>
      </c>
      <c r="J527" s="6">
        <f>IF(D527="Thu",I527,0)</f>
        <v>0</v>
      </c>
      <c r="K527" s="6">
        <f>IF(D527="Chi",I527,0)</f>
        <v>100000</v>
      </c>
      <c r="L527" s="6" t="e">
        <f>L526+J527-K527</f>
        <v>#VALUE!</v>
      </c>
      <c r="M527" s="6">
        <f ca="1">IFERROR(__xludf.DUMMYFUNCTION("SUM(FILTER(J:J, H:H=""Tiền mặt"")) - SUM(FILTER(K:K, H:H=""Tiền mặt""))
"),959000)</f>
        <v>959000</v>
      </c>
      <c r="N527" s="6">
        <f ca="1">IFERROR(__xludf.DUMMYFUNCTION("SUM(FILTER(J:J, H:H=""Chuyển khoản"")) - SUM(FILTER(K:K, H:H=""Chuyển khoản""))
"),4468984)</f>
        <v>4468984</v>
      </c>
      <c r="O527" s="5"/>
      <c r="P527" s="5"/>
      <c r="Q527" s="5"/>
      <c r="R527" s="5"/>
      <c r="S527" s="5"/>
    </row>
    <row r="528" spans="1:19" ht="15.75" customHeight="1" x14ac:dyDescent="0.2">
      <c r="A528" s="3">
        <v>46134</v>
      </c>
      <c r="B528" s="4" t="str">
        <f>IF(A528="","","PC-"&amp;TEXT(A528,"mm/yyyy")&amp;"-"&amp;TEXT(COUNTIFS($A$2:A528,"&gt;="&amp;EOMONTH(A528,-1)+1,$A$2:A528,"&lt;="&amp;EOMONTH(A528,0)),"000"))</f>
        <v>PC-04/2026-035</v>
      </c>
      <c r="C528" s="5" t="s">
        <v>1059</v>
      </c>
      <c r="D528" s="5" t="s">
        <v>20</v>
      </c>
      <c r="E528" s="5" t="s">
        <v>21</v>
      </c>
      <c r="F528" s="5"/>
      <c r="G528" s="5" t="s">
        <v>22</v>
      </c>
      <c r="H528" s="5" t="s">
        <v>23</v>
      </c>
      <c r="I528" s="6">
        <v>12500000</v>
      </c>
      <c r="J528" s="6">
        <f>IF(D528="Thu",I528,0)</f>
        <v>12500000</v>
      </c>
      <c r="K528" s="6">
        <f>IF(D528="Chi",I528,0)</f>
        <v>0</v>
      </c>
      <c r="L528" s="6" t="e">
        <f>L527+J528-K528</f>
        <v>#VALUE!</v>
      </c>
      <c r="M528" s="6">
        <f ca="1">IFERROR(__xludf.DUMMYFUNCTION("SUM(FILTER(J:J, H:H=""Tiền mặt"")) - SUM(FILTER(K:K, H:H=""Tiền mặt""))
"),959000)</f>
        <v>959000</v>
      </c>
      <c r="N528" s="6">
        <f ca="1">IFERROR(__xludf.DUMMYFUNCTION("SUM(FILTER(J:J, H:H=""Chuyển khoản"")) - SUM(FILTER(K:K, H:H=""Chuyển khoản""))
"),4468984)</f>
        <v>4468984</v>
      </c>
      <c r="O528" s="5"/>
      <c r="P528" s="5"/>
      <c r="Q528" s="5"/>
      <c r="R528" s="5"/>
      <c r="S528" s="5"/>
    </row>
    <row r="529" spans="1:19" ht="15.75" customHeight="1" x14ac:dyDescent="0.2">
      <c r="A529" s="3">
        <v>46134</v>
      </c>
      <c r="B529" s="4" t="str">
        <f>IF(A529="","","PC-"&amp;TEXT(A529,"mm/yyyy")&amp;"-"&amp;TEXT(COUNTIFS($A$2:A529,"&gt;="&amp;EOMONTH(A529,-1)+1,$A$2:A529,"&lt;="&amp;EOMONTH(A529,0)),"000"))</f>
        <v>PC-04/2026-036</v>
      </c>
      <c r="C529" s="5" t="s">
        <v>1060</v>
      </c>
      <c r="D529" s="5" t="s">
        <v>29</v>
      </c>
      <c r="E529" s="5" t="s">
        <v>88</v>
      </c>
      <c r="F529" s="5"/>
      <c r="G529" s="5" t="s">
        <v>571</v>
      </c>
      <c r="H529" s="5" t="s">
        <v>23</v>
      </c>
      <c r="I529" s="6">
        <v>4943000</v>
      </c>
      <c r="J529" s="6">
        <f>IF(D529="Thu",I529,0)</f>
        <v>0</v>
      </c>
      <c r="K529" s="6">
        <f>IF(D529="Chi",I529,0)</f>
        <v>4943000</v>
      </c>
      <c r="L529" s="6" t="e">
        <f>L528+J529-K529</f>
        <v>#VALUE!</v>
      </c>
      <c r="M529" s="6">
        <f ca="1">IFERROR(__xludf.DUMMYFUNCTION("SUM(FILTER(J:J, H:H=""Tiền mặt"")) - SUM(FILTER(K:K, H:H=""Tiền mặt""))
"),959000)</f>
        <v>959000</v>
      </c>
      <c r="N529" s="6">
        <f ca="1">IFERROR(__xludf.DUMMYFUNCTION("SUM(FILTER(J:J, H:H=""Chuyển khoản"")) - SUM(FILTER(K:K, H:H=""Chuyển khoản""))
"),4468984)</f>
        <v>4468984</v>
      </c>
      <c r="O529" s="5"/>
      <c r="P529" s="5"/>
      <c r="Q529" s="5"/>
      <c r="R529" s="5"/>
      <c r="S529" s="5"/>
    </row>
    <row r="530" spans="1:19" ht="15.75" customHeight="1" x14ac:dyDescent="0.2">
      <c r="A530" s="3">
        <v>46134</v>
      </c>
      <c r="B530" s="4" t="str">
        <f>IF(A530="","","PC-"&amp;TEXT(A530,"mm/yyyy")&amp;"-"&amp;TEXT(COUNTIFS($A$2:A530,"&gt;="&amp;EOMONTH(A530,-1)+1,$A$2:A530,"&lt;="&amp;EOMONTH(A530,0)),"000"))</f>
        <v>PC-04/2026-037</v>
      </c>
      <c r="C530" s="7" t="s">
        <v>1061</v>
      </c>
      <c r="D530" s="5" t="s">
        <v>29</v>
      </c>
      <c r="E530" s="5" t="s">
        <v>64</v>
      </c>
      <c r="F530" s="5"/>
      <c r="G530" s="5" t="s">
        <v>482</v>
      </c>
      <c r="H530" s="5" t="s">
        <v>23</v>
      </c>
      <c r="I530" s="6">
        <v>500000</v>
      </c>
      <c r="J530" s="6">
        <f>IF(D530="Thu",I530,0)</f>
        <v>0</v>
      </c>
      <c r="K530" s="6">
        <f>IF(D530="Chi",I530,0)</f>
        <v>500000</v>
      </c>
      <c r="L530" s="6" t="e">
        <f>L529+J530-K530</f>
        <v>#VALUE!</v>
      </c>
      <c r="M530" s="6">
        <f ca="1">IFERROR(__xludf.DUMMYFUNCTION("SUM(FILTER(J:J, H:H=""Tiền mặt"")) - SUM(FILTER(K:K, H:H=""Tiền mặt""))
"),959000)</f>
        <v>959000</v>
      </c>
      <c r="N530" s="6">
        <f ca="1">IFERROR(__xludf.DUMMYFUNCTION("SUM(FILTER(J:J, H:H=""Chuyển khoản"")) - SUM(FILTER(K:K, H:H=""Chuyển khoản""))
"),4468984)</f>
        <v>4468984</v>
      </c>
      <c r="O530" s="5"/>
      <c r="P530" s="5"/>
      <c r="Q530" s="5"/>
      <c r="R530" s="5"/>
      <c r="S530" s="5"/>
    </row>
    <row r="531" spans="1:19" ht="15.75" customHeight="1" x14ac:dyDescent="0.2">
      <c r="A531" s="3">
        <v>46134</v>
      </c>
      <c r="B531" s="4" t="str">
        <f>IF(A531="","","PC-"&amp;TEXT(A531,"mm/yyyy")&amp;"-"&amp;TEXT(COUNTIFS($A$2:A531,"&gt;="&amp;EOMONTH(A531,-1)+1,$A$2:A531,"&lt;="&amp;EOMONTH(A531,0)),"000"))</f>
        <v>PC-04/2026-038</v>
      </c>
      <c r="C531" s="7" t="s">
        <v>1062</v>
      </c>
      <c r="D531" s="5" t="s">
        <v>29</v>
      </c>
      <c r="E531" s="5" t="s">
        <v>41</v>
      </c>
      <c r="F531" s="5"/>
      <c r="G531" s="5" t="s">
        <v>82</v>
      </c>
      <c r="H531" s="5" t="s">
        <v>23</v>
      </c>
      <c r="I531" s="6">
        <v>200000</v>
      </c>
      <c r="J531" s="6">
        <f>IF(D531="Thu",I531,0)</f>
        <v>0</v>
      </c>
      <c r="K531" s="6">
        <f>IF(D531="Chi",I531,0)</f>
        <v>200000</v>
      </c>
      <c r="L531" s="6" t="e">
        <f>L530+J531-K531</f>
        <v>#VALUE!</v>
      </c>
      <c r="M531" s="6">
        <f ca="1">IFERROR(__xludf.DUMMYFUNCTION("SUM(FILTER(J:J, H:H=""Tiền mặt"")) - SUM(FILTER(K:K, H:H=""Tiền mặt""))
"),959000)</f>
        <v>959000</v>
      </c>
      <c r="N531" s="6">
        <f ca="1">IFERROR(__xludf.DUMMYFUNCTION("SUM(FILTER(J:J, H:H=""Chuyển khoản"")) - SUM(FILTER(K:K, H:H=""Chuyển khoản""))
"),4468984)</f>
        <v>4468984</v>
      </c>
      <c r="O531" s="5"/>
      <c r="P531" s="5"/>
      <c r="Q531" s="5"/>
      <c r="R531" s="5"/>
      <c r="S531" s="5"/>
    </row>
    <row r="532" spans="1:19" ht="15.75" customHeight="1" x14ac:dyDescent="0.2">
      <c r="A532" s="3">
        <v>46134</v>
      </c>
      <c r="B532" s="4" t="str">
        <f>IF(A532="","","PC-"&amp;TEXT(A532,"mm/yyyy")&amp;"-"&amp;TEXT(COUNTIFS($A$2:A532,"&gt;="&amp;EOMONTH(A532,-1)+1,$A$2:A532,"&lt;="&amp;EOMONTH(A532,0)),"000"))</f>
        <v>PC-04/2026-039</v>
      </c>
      <c r="C532" s="5" t="s">
        <v>1063</v>
      </c>
      <c r="D532" s="5" t="s">
        <v>29</v>
      </c>
      <c r="E532" s="5" t="s">
        <v>71</v>
      </c>
      <c r="F532" s="5"/>
      <c r="G532" s="5" t="s">
        <v>618</v>
      </c>
      <c r="H532" s="5" t="s">
        <v>27</v>
      </c>
      <c r="I532" s="6">
        <v>47000</v>
      </c>
      <c r="J532" s="6">
        <f>IF(D532="Thu",I532,0)</f>
        <v>0</v>
      </c>
      <c r="K532" s="6">
        <f>IF(D532="Chi",I532,0)</f>
        <v>47000</v>
      </c>
      <c r="L532" s="6" t="e">
        <f>L531+J532-K532</f>
        <v>#VALUE!</v>
      </c>
      <c r="M532" s="6">
        <f ca="1">IFERROR(__xludf.DUMMYFUNCTION("SUM(FILTER(J:J, H:H=""Tiền mặt"")) - SUM(FILTER(K:K, H:H=""Tiền mặt""))
"),959000)</f>
        <v>959000</v>
      </c>
      <c r="N532" s="6">
        <f ca="1">IFERROR(__xludf.DUMMYFUNCTION("SUM(FILTER(J:J, H:H=""Chuyển khoản"")) - SUM(FILTER(K:K, H:H=""Chuyển khoản""))
"),4468984)</f>
        <v>4468984</v>
      </c>
      <c r="O532" s="5"/>
      <c r="P532" s="5"/>
      <c r="Q532" s="5"/>
      <c r="R532" s="5"/>
      <c r="S532" s="5"/>
    </row>
    <row r="533" spans="1:19" ht="15.75" customHeight="1" x14ac:dyDescent="0.2">
      <c r="A533" s="3">
        <v>46134</v>
      </c>
      <c r="B533" s="4" t="str">
        <f>IF(A533="","","PC-"&amp;TEXT(A533,"mm/yyyy")&amp;"-"&amp;TEXT(COUNTIFS($A$2:A533,"&gt;="&amp;EOMONTH(A533,-1)+1,$A$2:A533,"&lt;="&amp;EOMONTH(A533,0)),"000"))</f>
        <v>PC-04/2026-040</v>
      </c>
      <c r="C533" s="5" t="s">
        <v>1064</v>
      </c>
      <c r="D533" s="5" t="s">
        <v>29</v>
      </c>
      <c r="E533" s="5" t="s">
        <v>51</v>
      </c>
      <c r="F533" s="5"/>
      <c r="G533" s="5" t="s">
        <v>52</v>
      </c>
      <c r="H533" s="5" t="s">
        <v>27</v>
      </c>
      <c r="I533" s="6">
        <v>160875</v>
      </c>
      <c r="J533" s="6">
        <f>IF(D533="Thu",I533,0)</f>
        <v>0</v>
      </c>
      <c r="K533" s="6">
        <f>IF(D533="Chi",I533,0)</f>
        <v>160875</v>
      </c>
      <c r="L533" s="6" t="e">
        <f>L532+J533-K533</f>
        <v>#VALUE!</v>
      </c>
      <c r="M533" s="6">
        <f ca="1">IFERROR(__xludf.DUMMYFUNCTION("SUM(FILTER(J:J, H:H=""Tiền mặt"")) - SUM(FILTER(K:K, H:H=""Tiền mặt""))
"),959000)</f>
        <v>959000</v>
      </c>
      <c r="N533" s="6">
        <f ca="1">IFERROR(__xludf.DUMMYFUNCTION("SUM(FILTER(J:J, H:H=""Chuyển khoản"")) - SUM(FILTER(K:K, H:H=""Chuyển khoản""))
"),4468984)</f>
        <v>4468984</v>
      </c>
      <c r="O533" s="5"/>
      <c r="P533" s="5"/>
      <c r="Q533" s="5"/>
      <c r="R533" s="5"/>
      <c r="S533" s="5"/>
    </row>
    <row r="534" spans="1:19" ht="15.75" customHeight="1" x14ac:dyDescent="0.2">
      <c r="A534" s="3">
        <v>46134</v>
      </c>
      <c r="B534" s="4" t="str">
        <f>IF(A534="","","PC-"&amp;TEXT(A534,"mm/yyyy")&amp;"-"&amp;TEXT(COUNTIFS($A$2:A534,"&gt;="&amp;EOMONTH(A534,-1)+1,$A$2:A534,"&lt;="&amp;EOMONTH(A534,0)),"000"))</f>
        <v>PC-04/2026-041</v>
      </c>
      <c r="C534" s="5" t="s">
        <v>1065</v>
      </c>
      <c r="D534" s="5" t="s">
        <v>20</v>
      </c>
      <c r="E534" s="5" t="s">
        <v>21</v>
      </c>
      <c r="F534" s="5"/>
      <c r="G534" s="5" t="s">
        <v>1066</v>
      </c>
      <c r="H534" s="5" t="s">
        <v>23</v>
      </c>
      <c r="I534" s="6">
        <v>500000</v>
      </c>
      <c r="J534" s="6">
        <f>IF(D534="Thu",I534,0)</f>
        <v>500000</v>
      </c>
      <c r="K534" s="6">
        <f>IF(D534="Chi",I534,0)</f>
        <v>0</v>
      </c>
      <c r="L534" s="6" t="e">
        <f>L533+J534-K534</f>
        <v>#VALUE!</v>
      </c>
      <c r="M534" s="6">
        <f ca="1">IFERROR(__xludf.DUMMYFUNCTION("SUM(FILTER(J:J, H:H=""Tiền mặt"")) - SUM(FILTER(K:K, H:H=""Tiền mặt""))
"),959000)</f>
        <v>959000</v>
      </c>
      <c r="N534" s="6">
        <f ca="1">IFERROR(__xludf.DUMMYFUNCTION("SUM(FILTER(J:J, H:H=""Chuyển khoản"")) - SUM(FILTER(K:K, H:H=""Chuyển khoản""))
"),4468984)</f>
        <v>4468984</v>
      </c>
      <c r="O534" s="5"/>
      <c r="P534" s="5"/>
      <c r="Q534" s="5"/>
      <c r="R534" s="5"/>
      <c r="S534" s="5"/>
    </row>
    <row r="535" spans="1:19" ht="15.75" customHeight="1" x14ac:dyDescent="0.2">
      <c r="A535" s="3">
        <v>46134</v>
      </c>
      <c r="B535" s="4" t="str">
        <f>IF(A535="","","PC-"&amp;TEXT(A535,"mm/yyyy")&amp;"-"&amp;TEXT(COUNTIFS($A$2:A535,"&gt;="&amp;EOMONTH(A535,-1)+1,$A$2:A535,"&lt;="&amp;EOMONTH(A535,0)),"000"))</f>
        <v>PC-04/2026-042</v>
      </c>
      <c r="C535" s="5" t="s">
        <v>1067</v>
      </c>
      <c r="D535" s="5" t="s">
        <v>29</v>
      </c>
      <c r="E535" s="5" t="s">
        <v>64</v>
      </c>
      <c r="F535" s="5"/>
      <c r="G535" s="5" t="s">
        <v>217</v>
      </c>
      <c r="H535" s="5" t="s">
        <v>27</v>
      </c>
      <c r="I535" s="6">
        <v>100000</v>
      </c>
      <c r="J535" s="6">
        <f>IF(D535="Thu",I535,0)</f>
        <v>0</v>
      </c>
      <c r="K535" s="6">
        <f>IF(D535="Chi",I535,0)</f>
        <v>100000</v>
      </c>
      <c r="L535" s="6" t="e">
        <f>L534+J535-K535</f>
        <v>#VALUE!</v>
      </c>
      <c r="M535" s="6">
        <f ca="1">IFERROR(__xludf.DUMMYFUNCTION("SUM(FILTER(J:J, H:H=""Tiền mặt"")) - SUM(FILTER(K:K, H:H=""Tiền mặt""))
"),959000)</f>
        <v>959000</v>
      </c>
      <c r="N535" s="6">
        <f ca="1">IFERROR(__xludf.DUMMYFUNCTION("SUM(FILTER(J:J, H:H=""Chuyển khoản"")) - SUM(FILTER(K:K, H:H=""Chuyển khoản""))
"),4468984)</f>
        <v>4468984</v>
      </c>
      <c r="O535" s="5"/>
      <c r="P535" s="5"/>
      <c r="Q535" s="5"/>
      <c r="R535" s="5"/>
      <c r="S535" s="5"/>
    </row>
    <row r="536" spans="1:19" ht="15.75" customHeight="1" x14ac:dyDescent="0.2">
      <c r="A536" s="3">
        <v>46133</v>
      </c>
      <c r="B536" s="4" t="str">
        <f>IF(A536="","","PC-"&amp;TEXT(A536,"mm/yyyy")&amp;"-"&amp;TEXT(COUNTIFS($A$2:A536,"&gt;="&amp;EOMONTH(A536,-1)+1,$A$2:A536,"&lt;="&amp;EOMONTH(A536,0)),"000"))</f>
        <v>PC-04/2026-043</v>
      </c>
      <c r="C536" s="5" t="s">
        <v>1051</v>
      </c>
      <c r="D536" s="5" t="s">
        <v>29</v>
      </c>
      <c r="E536" s="5" t="s">
        <v>64</v>
      </c>
      <c r="F536" s="5"/>
      <c r="G536" s="5" t="s">
        <v>482</v>
      </c>
      <c r="H536" s="5" t="s">
        <v>23</v>
      </c>
      <c r="I536" s="6">
        <v>300000</v>
      </c>
      <c r="J536" s="6">
        <f>IF(D536="Thu",I536,0)</f>
        <v>0</v>
      </c>
      <c r="K536" s="6">
        <f>IF(D536="Chi",I536,0)</f>
        <v>300000</v>
      </c>
      <c r="L536" s="6" t="e">
        <f>L535+J536-K536</f>
        <v>#VALUE!</v>
      </c>
      <c r="M536" s="6">
        <f ca="1">IFERROR(__xludf.DUMMYFUNCTION("SUM(FILTER(J:J, H:H=""Tiền mặt"")) - SUM(FILTER(K:K, H:H=""Tiền mặt""))
"),959000)</f>
        <v>959000</v>
      </c>
      <c r="N536" s="6">
        <f ca="1">IFERROR(__xludf.DUMMYFUNCTION("SUM(FILTER(J:J, H:H=""Chuyển khoản"")) - SUM(FILTER(K:K, H:H=""Chuyển khoản""))
"),4468984)</f>
        <v>4468984</v>
      </c>
      <c r="O536" s="5"/>
      <c r="P536" s="5"/>
      <c r="Q536" s="5"/>
      <c r="R536" s="5"/>
      <c r="S536" s="5"/>
    </row>
    <row r="537" spans="1:19" ht="15.75" customHeight="1" x14ac:dyDescent="0.2">
      <c r="A537" s="3">
        <v>46133</v>
      </c>
      <c r="B537" s="4" t="str">
        <f>IF(A537="","","PC-"&amp;TEXT(A537,"mm/yyyy")&amp;"-"&amp;TEXT(COUNTIFS($A$2:A537,"&gt;="&amp;EOMONTH(A537,-1)+1,$A$2:A537,"&lt;="&amp;EOMONTH(A537,0)),"000"))</f>
        <v>PC-04/2026-044</v>
      </c>
      <c r="C537" s="7" t="s">
        <v>1052</v>
      </c>
      <c r="D537" s="5" t="s">
        <v>29</v>
      </c>
      <c r="E537" s="5" t="s">
        <v>88</v>
      </c>
      <c r="F537" s="5"/>
      <c r="G537" s="5" t="s">
        <v>571</v>
      </c>
      <c r="H537" s="5" t="s">
        <v>23</v>
      </c>
      <c r="I537" s="6">
        <v>802000</v>
      </c>
      <c r="J537" s="6">
        <f>IF(D537="Thu",I537,0)</f>
        <v>0</v>
      </c>
      <c r="K537" s="6">
        <f>IF(D537="Chi",I537,0)</f>
        <v>802000</v>
      </c>
      <c r="L537" s="6" t="e">
        <f>L536+J537-K537</f>
        <v>#VALUE!</v>
      </c>
      <c r="M537" s="6">
        <f ca="1">IFERROR(__xludf.DUMMYFUNCTION("SUM(FILTER(J:J, H:H=""Tiền mặt"")) - SUM(FILTER(K:K, H:H=""Tiền mặt""))
"),959000)</f>
        <v>959000</v>
      </c>
      <c r="N537" s="6">
        <f ca="1">IFERROR(__xludf.DUMMYFUNCTION("SUM(FILTER(J:J, H:H=""Chuyển khoản"")) - SUM(FILTER(K:K, H:H=""Chuyển khoản""))
"),4468984)</f>
        <v>4468984</v>
      </c>
      <c r="O537" s="5"/>
      <c r="P537" s="5"/>
      <c r="Q537" s="5"/>
      <c r="R537" s="5"/>
      <c r="S537" s="5"/>
    </row>
    <row r="538" spans="1:19" ht="15.75" customHeight="1" x14ac:dyDescent="0.2">
      <c r="A538" s="3">
        <v>46133</v>
      </c>
      <c r="B538" s="4" t="str">
        <f>IF(A538="","","PC-"&amp;TEXT(A538,"mm/yyyy")&amp;"-"&amp;TEXT(COUNTIFS($A$2:A538,"&gt;="&amp;EOMONTH(A538,-1)+1,$A$2:A538,"&lt;="&amp;EOMONTH(A538,0)),"000"))</f>
        <v>PC-04/2026-045</v>
      </c>
      <c r="C538" s="5" t="s">
        <v>1053</v>
      </c>
      <c r="D538" s="5" t="s">
        <v>29</v>
      </c>
      <c r="E538" s="5" t="s">
        <v>51</v>
      </c>
      <c r="F538" s="5"/>
      <c r="G538" s="5" t="s">
        <v>52</v>
      </c>
      <c r="H538" s="5" t="s">
        <v>27</v>
      </c>
      <c r="I538" s="6">
        <v>154000</v>
      </c>
      <c r="J538" s="6">
        <f>IF(D538="Thu",I538,0)</f>
        <v>0</v>
      </c>
      <c r="K538" s="6">
        <f>IF(D538="Chi",I538,0)</f>
        <v>154000</v>
      </c>
      <c r="L538" s="6" t="e">
        <f>L537+J538-K538</f>
        <v>#VALUE!</v>
      </c>
      <c r="M538" s="6">
        <f ca="1">IFERROR(__xludf.DUMMYFUNCTION("SUM(FILTER(J:J, H:H=""Tiền mặt"")) - SUM(FILTER(K:K, H:H=""Tiền mặt""))
"),959000)</f>
        <v>959000</v>
      </c>
      <c r="N538" s="6">
        <f ca="1">IFERROR(__xludf.DUMMYFUNCTION("SUM(FILTER(J:J, H:H=""Chuyển khoản"")) - SUM(FILTER(K:K, H:H=""Chuyển khoản""))
"),4468984)</f>
        <v>4468984</v>
      </c>
      <c r="O538" s="5"/>
      <c r="P538" s="5"/>
      <c r="Q538" s="5"/>
      <c r="R538" s="5"/>
      <c r="S538" s="5"/>
    </row>
    <row r="539" spans="1:19" ht="15.75" customHeight="1" x14ac:dyDescent="0.2">
      <c r="A539" s="3">
        <v>46133</v>
      </c>
      <c r="B539" s="4" t="str">
        <f>IF(A539="","","PC-"&amp;TEXT(A539,"mm/yyyy")&amp;"-"&amp;TEXT(COUNTIFS($A$2:A539,"&gt;="&amp;EOMONTH(A539,-1)+1,$A$2:A539,"&lt;="&amp;EOMONTH(A539,0)),"000"))</f>
        <v>PC-04/2026-046</v>
      </c>
      <c r="C539" s="5" t="s">
        <v>1054</v>
      </c>
      <c r="D539" s="5" t="s">
        <v>29</v>
      </c>
      <c r="E539" s="5" t="s">
        <v>51</v>
      </c>
      <c r="F539" s="5"/>
      <c r="G539" s="5" t="s">
        <v>52</v>
      </c>
      <c r="H539" s="5" t="s">
        <v>27</v>
      </c>
      <c r="I539" s="6">
        <v>204552</v>
      </c>
      <c r="J539" s="6">
        <f>IF(D539="Thu",I539,0)</f>
        <v>0</v>
      </c>
      <c r="K539" s="6">
        <f>IF(D539="Chi",I539,0)</f>
        <v>204552</v>
      </c>
      <c r="L539" s="6" t="e">
        <f>L538+J539-K539</f>
        <v>#VALUE!</v>
      </c>
      <c r="M539" s="6">
        <f ca="1">IFERROR(__xludf.DUMMYFUNCTION("SUM(FILTER(J:J, H:H=""Tiền mặt"")) - SUM(FILTER(K:K, H:H=""Tiền mặt""))
"),959000)</f>
        <v>959000</v>
      </c>
      <c r="N539" s="6">
        <f ca="1">IFERROR(__xludf.DUMMYFUNCTION("SUM(FILTER(J:J, H:H=""Chuyển khoản"")) - SUM(FILTER(K:K, H:H=""Chuyển khoản""))
"),4468984)</f>
        <v>4468984</v>
      </c>
      <c r="O539" s="5"/>
      <c r="P539" s="5"/>
      <c r="Q539" s="5"/>
      <c r="R539" s="5"/>
      <c r="S539" s="5"/>
    </row>
    <row r="540" spans="1:19" ht="15.75" customHeight="1" x14ac:dyDescent="0.2">
      <c r="A540" s="3">
        <v>46133</v>
      </c>
      <c r="B540" s="4" t="str">
        <f>IF(A540="","","PC-"&amp;TEXT(A540,"mm/yyyy")&amp;"-"&amp;TEXT(COUNTIFS($A$2:A540,"&gt;="&amp;EOMONTH(A540,-1)+1,$A$2:A540,"&lt;="&amp;EOMONTH(A540,0)),"000"))</f>
        <v>PC-04/2026-047</v>
      </c>
      <c r="C540" s="5" t="s">
        <v>1055</v>
      </c>
      <c r="D540" s="5" t="s">
        <v>29</v>
      </c>
      <c r="E540" s="5" t="s">
        <v>51</v>
      </c>
      <c r="F540" s="5"/>
      <c r="G540" s="5" t="s">
        <v>52</v>
      </c>
      <c r="H540" s="5" t="s">
        <v>27</v>
      </c>
      <c r="I540" s="6">
        <v>149360</v>
      </c>
      <c r="J540" s="6">
        <f>IF(D540="Thu",I540,0)</f>
        <v>0</v>
      </c>
      <c r="K540" s="6">
        <f>IF(D540="Chi",I540,0)</f>
        <v>149360</v>
      </c>
      <c r="L540" s="6" t="e">
        <f>L539+J540-K540</f>
        <v>#VALUE!</v>
      </c>
      <c r="M540" s="6">
        <f ca="1">IFERROR(__xludf.DUMMYFUNCTION("SUM(FILTER(J:J, H:H=""Tiền mặt"")) - SUM(FILTER(K:K, H:H=""Tiền mặt""))
"),959000)</f>
        <v>959000</v>
      </c>
      <c r="N540" s="6">
        <f ca="1">IFERROR(__xludf.DUMMYFUNCTION("SUM(FILTER(J:J, H:H=""Chuyển khoản"")) - SUM(FILTER(K:K, H:H=""Chuyển khoản""))
"),4468984)</f>
        <v>4468984</v>
      </c>
      <c r="O540" s="5"/>
      <c r="P540" s="5"/>
      <c r="Q540" s="5"/>
      <c r="R540" s="5"/>
      <c r="S540" s="5"/>
    </row>
    <row r="541" spans="1:19" ht="15.75" customHeight="1" x14ac:dyDescent="0.2">
      <c r="A541" s="3">
        <v>46133</v>
      </c>
      <c r="B541" s="4" t="str">
        <f>IF(A541="","","PC-"&amp;TEXT(A541,"mm/yyyy")&amp;"-"&amp;TEXT(COUNTIFS($A$2:A541,"&gt;="&amp;EOMONTH(A541,-1)+1,$A$2:A541,"&lt;="&amp;EOMONTH(A541,0)),"000"))</f>
        <v>PC-04/2026-048</v>
      </c>
      <c r="C541" s="5" t="s">
        <v>1056</v>
      </c>
      <c r="D541" s="5" t="s">
        <v>29</v>
      </c>
      <c r="E541" s="5" t="s">
        <v>71</v>
      </c>
      <c r="F541" s="5"/>
      <c r="G541" s="5" t="s">
        <v>618</v>
      </c>
      <c r="H541" s="5" t="s">
        <v>27</v>
      </c>
      <c r="I541" s="6">
        <v>81000</v>
      </c>
      <c r="J541" s="6">
        <f>IF(D541="Thu",I541,0)</f>
        <v>0</v>
      </c>
      <c r="K541" s="6">
        <f>IF(D541="Chi",I541,0)</f>
        <v>81000</v>
      </c>
      <c r="L541" s="6" t="e">
        <f>L540+J541-K541</f>
        <v>#VALUE!</v>
      </c>
      <c r="M541" s="6">
        <f ca="1">IFERROR(__xludf.DUMMYFUNCTION("SUM(FILTER(J:J, H:H=""Tiền mặt"")) - SUM(FILTER(K:K, H:H=""Tiền mặt""))
"),959000)</f>
        <v>959000</v>
      </c>
      <c r="N541" s="6">
        <f ca="1">IFERROR(__xludf.DUMMYFUNCTION("SUM(FILTER(J:J, H:H=""Chuyển khoản"")) - SUM(FILTER(K:K, H:H=""Chuyển khoản""))
"),4468984)</f>
        <v>4468984</v>
      </c>
      <c r="O541" s="5"/>
      <c r="P541" s="5"/>
      <c r="Q541" s="5"/>
      <c r="R541" s="5"/>
      <c r="S541" s="5"/>
    </row>
    <row r="542" spans="1:19" ht="15.75" customHeight="1" x14ac:dyDescent="0.2">
      <c r="A542" s="3">
        <v>46133</v>
      </c>
      <c r="B542" s="4" t="str">
        <f>IF(A542="","","PC-"&amp;TEXT(A542,"mm/yyyy")&amp;"-"&amp;TEXT(COUNTIFS($A$2:A542,"&gt;="&amp;EOMONTH(A542,-1)+1,$A$2:A542,"&lt;="&amp;EOMONTH(A542,0)),"000"))</f>
        <v>PC-04/2026-049</v>
      </c>
      <c r="C542" s="5" t="s">
        <v>1057</v>
      </c>
      <c r="D542" s="5" t="s">
        <v>29</v>
      </c>
      <c r="E542" s="5" t="s">
        <v>71</v>
      </c>
      <c r="F542" s="5"/>
      <c r="G542" s="5" t="s">
        <v>1058</v>
      </c>
      <c r="H542" s="5" t="s">
        <v>27</v>
      </c>
      <c r="I542" s="6">
        <v>70000</v>
      </c>
      <c r="J542" s="6">
        <f>IF(D542="Thu",I542,0)</f>
        <v>0</v>
      </c>
      <c r="K542" s="6">
        <f>IF(D542="Chi",I542,0)</f>
        <v>70000</v>
      </c>
      <c r="L542" s="6" t="e">
        <f>L541+J542-K542</f>
        <v>#VALUE!</v>
      </c>
      <c r="M542" s="6">
        <f ca="1">IFERROR(__xludf.DUMMYFUNCTION("SUM(FILTER(J:J, H:H=""Tiền mặt"")) - SUM(FILTER(K:K, H:H=""Tiền mặt""))
"),959000)</f>
        <v>959000</v>
      </c>
      <c r="N542" s="6">
        <f ca="1">IFERROR(__xludf.DUMMYFUNCTION("SUM(FILTER(J:J, H:H=""Chuyển khoản"")) - SUM(FILTER(K:K, H:H=""Chuyển khoản""))
"),4468984)</f>
        <v>4468984</v>
      </c>
      <c r="O542" s="5"/>
      <c r="P542" s="5"/>
      <c r="Q542" s="5"/>
      <c r="R542" s="5"/>
      <c r="S542" s="5"/>
    </row>
    <row r="543" spans="1:19" ht="15.75" customHeight="1" x14ac:dyDescent="0.2">
      <c r="A543" s="3">
        <v>46133</v>
      </c>
      <c r="B543" s="4" t="str">
        <f>IF(A543="","","PC-"&amp;TEXT(A543,"mm/yyyy")&amp;"-"&amp;TEXT(COUNTIFS($A$2:A543,"&gt;="&amp;EOMONTH(A543,-1)+1,$A$2:A543,"&lt;="&amp;EOMONTH(A543,0)),"000"))</f>
        <v>PC-04/2026-050</v>
      </c>
      <c r="C543" s="7" t="s">
        <v>528</v>
      </c>
      <c r="D543" s="5" t="s">
        <v>29</v>
      </c>
      <c r="E543" s="5" t="s">
        <v>36</v>
      </c>
      <c r="F543" s="5"/>
      <c r="G543" s="5" t="s">
        <v>37</v>
      </c>
      <c r="H543" s="5" t="s">
        <v>23</v>
      </c>
      <c r="I543" s="6">
        <v>60000</v>
      </c>
      <c r="J543" s="6">
        <f>IF(D543="Thu",I543,0)</f>
        <v>0</v>
      </c>
      <c r="K543" s="6">
        <f>IF(D543="Chi",I543,0)</f>
        <v>60000</v>
      </c>
      <c r="L543" s="6" t="e">
        <f>L542+J543-K543</f>
        <v>#VALUE!</v>
      </c>
      <c r="M543" s="6">
        <f ca="1">IFERROR(__xludf.DUMMYFUNCTION("SUM(FILTER(J:J, H:H=""Tiền mặt"")) - SUM(FILTER(K:K, H:H=""Tiền mặt""))
"),959000)</f>
        <v>959000</v>
      </c>
      <c r="N543" s="6">
        <f ca="1">IFERROR(__xludf.DUMMYFUNCTION("SUM(FILTER(J:J, H:H=""Chuyển khoản"")) - SUM(FILTER(K:K, H:H=""Chuyển khoản""))
"),4468984)</f>
        <v>4468984</v>
      </c>
      <c r="O543" s="5"/>
      <c r="P543" s="5"/>
      <c r="Q543" s="5"/>
      <c r="R543" s="5"/>
      <c r="S543" s="5"/>
    </row>
    <row r="544" spans="1:19" ht="15.75" customHeight="1" x14ac:dyDescent="0.2">
      <c r="A544" s="3">
        <v>46132</v>
      </c>
      <c r="B544" s="4" t="str">
        <f>IF(A544="","","PC-"&amp;TEXT(A544,"mm/yyyy")&amp;"-"&amp;TEXT(COUNTIFS($A$2:A544,"&gt;="&amp;EOMONTH(A544,-1)+1,$A$2:A544,"&lt;="&amp;EOMONTH(A544,0)),"000"))</f>
        <v>PC-04/2026-051</v>
      </c>
      <c r="C544" s="5" t="s">
        <v>1028</v>
      </c>
      <c r="D544" s="5" t="s">
        <v>29</v>
      </c>
      <c r="E544" s="5" t="s">
        <v>44</v>
      </c>
      <c r="F544" s="5"/>
      <c r="G544" s="5" t="s">
        <v>1029</v>
      </c>
      <c r="H544" s="5" t="s">
        <v>23</v>
      </c>
      <c r="I544" s="6">
        <v>1500000</v>
      </c>
      <c r="J544" s="6">
        <f>IF(D544="Thu",I544,0)</f>
        <v>0</v>
      </c>
      <c r="K544" s="6">
        <f>IF(D544="Chi",I544,0)</f>
        <v>1500000</v>
      </c>
      <c r="L544" s="6" t="e">
        <f>L543+J544-K544</f>
        <v>#VALUE!</v>
      </c>
      <c r="M544" s="6">
        <f ca="1">IFERROR(__xludf.DUMMYFUNCTION("SUM(FILTER(J:J, H:H=""Tiền mặt"")) - SUM(FILTER(K:K, H:H=""Tiền mặt""))
"),959000)</f>
        <v>959000</v>
      </c>
      <c r="N544" s="6">
        <f ca="1">IFERROR(__xludf.DUMMYFUNCTION("SUM(FILTER(J:J, H:H=""Chuyển khoản"")) - SUM(FILTER(K:K, H:H=""Chuyển khoản""))
"),4468984)</f>
        <v>4468984</v>
      </c>
      <c r="O544" s="5"/>
      <c r="P544" s="5"/>
      <c r="Q544" s="5"/>
      <c r="R544" s="5"/>
      <c r="S544" s="5"/>
    </row>
    <row r="545" spans="1:19" ht="15.75" customHeight="1" x14ac:dyDescent="0.2">
      <c r="A545" s="3">
        <v>46132</v>
      </c>
      <c r="B545" s="4" t="str">
        <f>IF(A545="","","PC-"&amp;TEXT(A545,"mm/yyyy")&amp;"-"&amp;TEXT(COUNTIFS($A$2:A545,"&gt;="&amp;EOMONTH(A545,-1)+1,$A$2:A545,"&lt;="&amp;EOMONTH(A545,0)),"000"))</f>
        <v>PC-04/2026-052</v>
      </c>
      <c r="C545" s="5" t="s">
        <v>1030</v>
      </c>
      <c r="D545" s="5" t="s">
        <v>29</v>
      </c>
      <c r="E545" s="5" t="s">
        <v>44</v>
      </c>
      <c r="F545" s="5"/>
      <c r="G545" s="5" t="s">
        <v>1031</v>
      </c>
      <c r="H545" s="5" t="s">
        <v>23</v>
      </c>
      <c r="I545" s="6">
        <v>1500000</v>
      </c>
      <c r="J545" s="6">
        <f>IF(D545="Thu",I545,0)</f>
        <v>0</v>
      </c>
      <c r="K545" s="6">
        <f>IF(D545="Chi",I545,0)</f>
        <v>1500000</v>
      </c>
      <c r="L545" s="6" t="e">
        <f>L544+J545-K545</f>
        <v>#VALUE!</v>
      </c>
      <c r="M545" s="6">
        <f ca="1">IFERROR(__xludf.DUMMYFUNCTION("SUM(FILTER(J:J, H:H=""Tiền mặt"")) - SUM(FILTER(K:K, H:H=""Tiền mặt""))
"),959000)</f>
        <v>959000</v>
      </c>
      <c r="N545" s="6">
        <f ca="1">IFERROR(__xludf.DUMMYFUNCTION("SUM(FILTER(J:J, H:H=""Chuyển khoản"")) - SUM(FILTER(K:K, H:H=""Chuyển khoản""))
"),4468984)</f>
        <v>4468984</v>
      </c>
      <c r="O545" s="5"/>
      <c r="P545" s="5"/>
      <c r="Q545" s="5"/>
      <c r="R545" s="5"/>
      <c r="S545" s="5"/>
    </row>
    <row r="546" spans="1:19" ht="15.75" customHeight="1" x14ac:dyDescent="0.2">
      <c r="A546" s="3">
        <v>46132</v>
      </c>
      <c r="B546" s="4" t="str">
        <f>IF(A546="","","PC-"&amp;TEXT(A546,"mm/yyyy")&amp;"-"&amp;TEXT(COUNTIFS($A$2:A546,"&gt;="&amp;EOMONTH(A546,-1)+1,$A$2:A546,"&lt;="&amp;EOMONTH(A546,0)),"000"))</f>
        <v>PC-04/2026-053</v>
      </c>
      <c r="C546" s="5" t="s">
        <v>1032</v>
      </c>
      <c r="D546" s="5" t="s">
        <v>29</v>
      </c>
      <c r="E546" s="5" t="s">
        <v>47</v>
      </c>
      <c r="F546" s="5"/>
      <c r="G546" s="5" t="s">
        <v>48</v>
      </c>
      <c r="H546" s="5" t="s">
        <v>23</v>
      </c>
      <c r="I546" s="6">
        <v>50000</v>
      </c>
      <c r="J546" s="6">
        <f>IF(D546="Thu",I546,0)</f>
        <v>0</v>
      </c>
      <c r="K546" s="6">
        <f>IF(D546="Chi",I546,0)</f>
        <v>50000</v>
      </c>
      <c r="L546" s="6" t="e">
        <f>L545+J546-K546</f>
        <v>#VALUE!</v>
      </c>
      <c r="M546" s="6">
        <f ca="1">IFERROR(__xludf.DUMMYFUNCTION("SUM(FILTER(J:J, H:H=""Tiền mặt"")) - SUM(FILTER(K:K, H:H=""Tiền mặt""))
"),959000)</f>
        <v>959000</v>
      </c>
      <c r="N546" s="6">
        <f ca="1">IFERROR(__xludf.DUMMYFUNCTION("SUM(FILTER(J:J, H:H=""Chuyển khoản"")) - SUM(FILTER(K:K, H:H=""Chuyển khoản""))
"),4468984)</f>
        <v>4468984</v>
      </c>
      <c r="O546" s="5"/>
      <c r="P546" s="5"/>
      <c r="Q546" s="5"/>
      <c r="R546" s="5"/>
      <c r="S546" s="5"/>
    </row>
    <row r="547" spans="1:19" ht="15.75" customHeight="1" x14ac:dyDescent="0.2">
      <c r="A547" s="3">
        <v>46132</v>
      </c>
      <c r="B547" s="4" t="str">
        <f>IF(A547="","","PC-"&amp;TEXT(A547,"mm/yyyy")&amp;"-"&amp;TEXT(COUNTIFS($A$2:A547,"&gt;="&amp;EOMONTH(A547,-1)+1,$A$2:A547,"&lt;="&amp;EOMONTH(A547,0)),"000"))</f>
        <v>PC-04/2026-054</v>
      </c>
      <c r="C547" s="5" t="s">
        <v>1033</v>
      </c>
      <c r="D547" s="5" t="s">
        <v>20</v>
      </c>
      <c r="E547" s="5" t="s">
        <v>21</v>
      </c>
      <c r="F547" s="5"/>
      <c r="G547" s="5" t="s">
        <v>22</v>
      </c>
      <c r="H547" s="5" t="s">
        <v>23</v>
      </c>
      <c r="I547" s="6">
        <v>10000000</v>
      </c>
      <c r="J547" s="6">
        <f>IF(D547="Thu",I547,0)</f>
        <v>10000000</v>
      </c>
      <c r="K547" s="6">
        <f>IF(D547="Chi",I547,0)</f>
        <v>0</v>
      </c>
      <c r="L547" s="6" t="e">
        <f>L546+J547-K547</f>
        <v>#VALUE!</v>
      </c>
      <c r="M547" s="6">
        <f ca="1">IFERROR(__xludf.DUMMYFUNCTION("SUM(FILTER(J:J, H:H=""Tiền mặt"")) - SUM(FILTER(K:K, H:H=""Tiền mặt""))
"),959000)</f>
        <v>959000</v>
      </c>
      <c r="N547" s="6">
        <f ca="1">IFERROR(__xludf.DUMMYFUNCTION("SUM(FILTER(J:J, H:H=""Chuyển khoản"")) - SUM(FILTER(K:K, H:H=""Chuyển khoản""))
"),4468984)</f>
        <v>4468984</v>
      </c>
      <c r="O547" s="5"/>
      <c r="P547" s="5"/>
      <c r="Q547" s="5"/>
      <c r="R547" s="5"/>
      <c r="S547" s="5"/>
    </row>
    <row r="548" spans="1:19" ht="15.75" customHeight="1" x14ac:dyDescent="0.2">
      <c r="A548" s="3">
        <v>46132</v>
      </c>
      <c r="B548" s="4" t="str">
        <f>IF(A548="","","PC-"&amp;TEXT(A548,"mm/yyyy")&amp;"-"&amp;TEXT(COUNTIFS($A$2:A548,"&gt;="&amp;EOMONTH(A548,-1)+1,$A$2:A548,"&lt;="&amp;EOMONTH(A548,0)),"000"))</f>
        <v>PC-04/2026-055</v>
      </c>
      <c r="C548" s="5" t="s">
        <v>68</v>
      </c>
      <c r="D548" s="5" t="s">
        <v>20</v>
      </c>
      <c r="E548" s="5" t="s">
        <v>68</v>
      </c>
      <c r="F548" s="5"/>
      <c r="G548" s="5" t="s">
        <v>1034</v>
      </c>
      <c r="H548" s="5" t="s">
        <v>23</v>
      </c>
      <c r="I548" s="6">
        <v>200000</v>
      </c>
      <c r="J548" s="6">
        <f>IF(D548="Thu",I548,0)</f>
        <v>200000</v>
      </c>
      <c r="K548" s="6">
        <f>IF(D548="Chi",I548,0)</f>
        <v>0</v>
      </c>
      <c r="L548" s="6" t="e">
        <f>L547+J548-K548</f>
        <v>#VALUE!</v>
      </c>
      <c r="M548" s="6">
        <f ca="1">IFERROR(__xludf.DUMMYFUNCTION("SUM(FILTER(J:J, H:H=""Tiền mặt"")) - SUM(FILTER(K:K, H:H=""Tiền mặt""))
"),959000)</f>
        <v>959000</v>
      </c>
      <c r="N548" s="6">
        <f ca="1">IFERROR(__xludf.DUMMYFUNCTION("SUM(FILTER(J:J, H:H=""Chuyển khoản"")) - SUM(FILTER(K:K, H:H=""Chuyển khoản""))
"),4468984)</f>
        <v>4468984</v>
      </c>
      <c r="O548" s="5"/>
      <c r="P548" s="5"/>
      <c r="Q548" s="5"/>
      <c r="R548" s="5"/>
      <c r="S548" s="5"/>
    </row>
    <row r="549" spans="1:19" ht="15.75" customHeight="1" x14ac:dyDescent="0.2">
      <c r="A549" s="3">
        <v>46132</v>
      </c>
      <c r="B549" s="4" t="str">
        <f>IF(A549="","","PC-"&amp;TEXT(A549,"mm/yyyy")&amp;"-"&amp;TEXT(COUNTIFS($A$2:A549,"&gt;="&amp;EOMONTH(A549,-1)+1,$A$2:A549,"&lt;="&amp;EOMONTH(A549,0)),"000"))</f>
        <v>PC-04/2026-056</v>
      </c>
      <c r="C549" s="5" t="s">
        <v>1035</v>
      </c>
      <c r="D549" s="5" t="s">
        <v>29</v>
      </c>
      <c r="E549" s="5" t="s">
        <v>36</v>
      </c>
      <c r="F549" s="5"/>
      <c r="G549" s="5" t="s">
        <v>37</v>
      </c>
      <c r="H549" s="5" t="s">
        <v>23</v>
      </c>
      <c r="I549" s="6">
        <v>10000</v>
      </c>
      <c r="J549" s="6">
        <f>IF(D549="Thu",I549,0)</f>
        <v>0</v>
      </c>
      <c r="K549" s="6">
        <f>IF(D549="Chi",I549,0)</f>
        <v>10000</v>
      </c>
      <c r="L549" s="6" t="e">
        <f>L548+J549-K549</f>
        <v>#VALUE!</v>
      </c>
      <c r="M549" s="6">
        <f ca="1">IFERROR(__xludf.DUMMYFUNCTION("SUM(FILTER(J:J, H:H=""Tiền mặt"")) - SUM(FILTER(K:K, H:H=""Tiền mặt""))
"),959000)</f>
        <v>959000</v>
      </c>
      <c r="N549" s="6">
        <f ca="1">IFERROR(__xludf.DUMMYFUNCTION("SUM(FILTER(J:J, H:H=""Chuyển khoản"")) - SUM(FILTER(K:K, H:H=""Chuyển khoản""))
"),4468984)</f>
        <v>4468984</v>
      </c>
      <c r="O549" s="5"/>
      <c r="P549" s="5"/>
      <c r="Q549" s="5"/>
      <c r="R549" s="5"/>
      <c r="S549" s="5"/>
    </row>
    <row r="550" spans="1:19" ht="15.75" customHeight="1" x14ac:dyDescent="0.2">
      <c r="A550" s="3">
        <v>46132</v>
      </c>
      <c r="B550" s="4" t="str">
        <f>IF(A550="","","PC-"&amp;TEXT(A550,"mm/yyyy")&amp;"-"&amp;TEXT(COUNTIFS($A$2:A550,"&gt;="&amp;EOMONTH(A550,-1)+1,$A$2:A550,"&lt;="&amp;EOMONTH(A550,0)),"000"))</f>
        <v>PC-04/2026-057</v>
      </c>
      <c r="C550" s="5" t="s">
        <v>1036</v>
      </c>
      <c r="D550" s="5" t="s">
        <v>29</v>
      </c>
      <c r="E550" s="5" t="s">
        <v>47</v>
      </c>
      <c r="F550" s="5"/>
      <c r="G550" s="5" t="s">
        <v>48</v>
      </c>
      <c r="H550" s="5" t="s">
        <v>23</v>
      </c>
      <c r="I550" s="6">
        <v>50000</v>
      </c>
      <c r="J550" s="6">
        <f>IF(D550="Thu",I550,0)</f>
        <v>0</v>
      </c>
      <c r="K550" s="6">
        <f>IF(D550="Chi",I550,0)</f>
        <v>50000</v>
      </c>
      <c r="L550" s="6" t="e">
        <f>L549+J550-K550</f>
        <v>#VALUE!</v>
      </c>
      <c r="M550" s="6">
        <f ca="1">IFERROR(__xludf.DUMMYFUNCTION("SUM(FILTER(J:J, H:H=""Tiền mặt"")) - SUM(FILTER(K:K, H:H=""Tiền mặt""))
"),959000)</f>
        <v>959000</v>
      </c>
      <c r="N550" s="6">
        <f ca="1">IFERROR(__xludf.DUMMYFUNCTION("SUM(FILTER(J:J, H:H=""Chuyển khoản"")) - SUM(FILTER(K:K, H:H=""Chuyển khoản""))
"),4468984)</f>
        <v>4468984</v>
      </c>
      <c r="O550" s="5"/>
      <c r="P550" s="5"/>
      <c r="Q550" s="5"/>
      <c r="R550" s="5"/>
      <c r="S550" s="5"/>
    </row>
    <row r="551" spans="1:19" ht="15.75" customHeight="1" x14ac:dyDescent="0.2">
      <c r="A551" s="3">
        <v>46132</v>
      </c>
      <c r="B551" s="4" t="str">
        <f>IF(A551="","","PC-"&amp;TEXT(A551,"mm/yyyy")&amp;"-"&amp;TEXT(COUNTIFS($A$2:A551,"&gt;="&amp;EOMONTH(A551,-1)+1,$A$2:A551,"&lt;="&amp;EOMONTH(A551,0)),"000"))</f>
        <v>PC-04/2026-058</v>
      </c>
      <c r="C551" s="5" t="s">
        <v>1037</v>
      </c>
      <c r="D551" s="5" t="s">
        <v>29</v>
      </c>
      <c r="E551" s="5" t="s">
        <v>71</v>
      </c>
      <c r="F551" s="5"/>
      <c r="G551" s="5" t="s">
        <v>1014</v>
      </c>
      <c r="H551" s="5" t="s">
        <v>27</v>
      </c>
      <c r="I551" s="6">
        <v>69000</v>
      </c>
      <c r="J551" s="6">
        <f>IF(D551="Thu",I551,0)</f>
        <v>0</v>
      </c>
      <c r="K551" s="6">
        <f>IF(D551="Chi",I551,0)</f>
        <v>69000</v>
      </c>
      <c r="L551" s="6" t="e">
        <f>L550+J551-K551</f>
        <v>#VALUE!</v>
      </c>
      <c r="M551" s="6">
        <f ca="1">IFERROR(__xludf.DUMMYFUNCTION("SUM(FILTER(J:J, H:H=""Tiền mặt"")) - SUM(FILTER(K:K, H:H=""Tiền mặt""))
"),959000)</f>
        <v>959000</v>
      </c>
      <c r="N551" s="6">
        <f ca="1">IFERROR(__xludf.DUMMYFUNCTION("SUM(FILTER(J:J, H:H=""Chuyển khoản"")) - SUM(FILTER(K:K, H:H=""Chuyển khoản""))
"),4468984)</f>
        <v>4468984</v>
      </c>
      <c r="O551" s="5"/>
      <c r="P551" s="5"/>
      <c r="Q551" s="5"/>
      <c r="R551" s="5"/>
      <c r="S551" s="5"/>
    </row>
    <row r="552" spans="1:19" ht="15.75" customHeight="1" x14ac:dyDescent="0.2">
      <c r="A552" s="3">
        <v>46132</v>
      </c>
      <c r="B552" s="4" t="str">
        <f>IF(A552="","","PC-"&amp;TEXT(A552,"mm/yyyy")&amp;"-"&amp;TEXT(COUNTIFS($A$2:A552,"&gt;="&amp;EOMONTH(A552,-1)+1,$A$2:A552,"&lt;="&amp;EOMONTH(A552,0)),"000"))</f>
        <v>PC-04/2026-059</v>
      </c>
      <c r="C552" s="5" t="s">
        <v>1038</v>
      </c>
      <c r="D552" s="5" t="s">
        <v>29</v>
      </c>
      <c r="E552" s="5" t="s">
        <v>78</v>
      </c>
      <c r="F552" s="5"/>
      <c r="G552" s="5" t="s">
        <v>37</v>
      </c>
      <c r="H552" s="5" t="s">
        <v>27</v>
      </c>
      <c r="I552" s="6">
        <v>96000</v>
      </c>
      <c r="J552" s="6">
        <f>IF(D552="Thu",I552,0)</f>
        <v>0</v>
      </c>
      <c r="K552" s="6">
        <f>IF(D552="Chi",I552,0)</f>
        <v>96000</v>
      </c>
      <c r="L552" s="6" t="e">
        <f>L551+J552-K552</f>
        <v>#VALUE!</v>
      </c>
      <c r="M552" s="6">
        <f ca="1">IFERROR(__xludf.DUMMYFUNCTION("SUM(FILTER(J:J, H:H=""Tiền mặt"")) - SUM(FILTER(K:K, H:H=""Tiền mặt""))
"),959000)</f>
        <v>959000</v>
      </c>
      <c r="N552" s="6">
        <f ca="1">IFERROR(__xludf.DUMMYFUNCTION("SUM(FILTER(J:J, H:H=""Chuyển khoản"")) - SUM(FILTER(K:K, H:H=""Chuyển khoản""))
"),4468984)</f>
        <v>4468984</v>
      </c>
      <c r="O552" s="5"/>
      <c r="P552" s="5"/>
      <c r="Q552" s="5"/>
      <c r="R552" s="5"/>
      <c r="S552" s="5"/>
    </row>
    <row r="553" spans="1:19" ht="15.75" customHeight="1" x14ac:dyDescent="0.2">
      <c r="A553" s="3">
        <v>46132</v>
      </c>
      <c r="B553" s="4" t="str">
        <f>IF(A553="","","PC-"&amp;TEXT(A553,"mm/yyyy")&amp;"-"&amp;TEXT(COUNTIFS($A$2:A553,"&gt;="&amp;EOMONTH(A553,-1)+1,$A$2:A553,"&lt;="&amp;EOMONTH(A553,0)),"000"))</f>
        <v>PC-04/2026-060</v>
      </c>
      <c r="C553" s="5" t="s">
        <v>1039</v>
      </c>
      <c r="D553" s="5" t="s">
        <v>29</v>
      </c>
      <c r="E553" s="5" t="s">
        <v>64</v>
      </c>
      <c r="F553" s="5"/>
      <c r="G553" s="5" t="s">
        <v>86</v>
      </c>
      <c r="H553" s="5" t="s">
        <v>27</v>
      </c>
      <c r="I553" s="6">
        <v>200000</v>
      </c>
      <c r="J553" s="6">
        <f>IF(D553="Thu",I553,0)</f>
        <v>0</v>
      </c>
      <c r="K553" s="6">
        <f>IF(D553="Chi",I553,0)</f>
        <v>200000</v>
      </c>
      <c r="L553" s="6" t="e">
        <f>L552+J553-K553</f>
        <v>#VALUE!</v>
      </c>
      <c r="M553" s="6">
        <f ca="1">IFERROR(__xludf.DUMMYFUNCTION("SUM(FILTER(J:J, H:H=""Tiền mặt"")) - SUM(FILTER(K:K, H:H=""Tiền mặt""))
"),959000)</f>
        <v>959000</v>
      </c>
      <c r="N553" s="6">
        <f ca="1">IFERROR(__xludf.DUMMYFUNCTION("SUM(FILTER(J:J, H:H=""Chuyển khoản"")) - SUM(FILTER(K:K, H:H=""Chuyển khoản""))
"),4468984)</f>
        <v>4468984</v>
      </c>
      <c r="O553" s="5"/>
      <c r="P553" s="5"/>
      <c r="Q553" s="5"/>
      <c r="R553" s="5"/>
      <c r="S553" s="5"/>
    </row>
    <row r="554" spans="1:19" ht="15.75" customHeight="1" x14ac:dyDescent="0.2">
      <c r="A554" s="3">
        <v>46132</v>
      </c>
      <c r="B554" s="4" t="str">
        <f>IF(A554="","","PC-"&amp;TEXT(A554,"mm/yyyy")&amp;"-"&amp;TEXT(COUNTIFS($A$2:A554,"&gt;="&amp;EOMONTH(A554,-1)+1,$A$2:A554,"&lt;="&amp;EOMONTH(A554,0)),"000"))</f>
        <v>PC-04/2026-061</v>
      </c>
      <c r="C554" s="5" t="s">
        <v>1040</v>
      </c>
      <c r="D554" s="5" t="s">
        <v>29</v>
      </c>
      <c r="E554" s="5" t="s">
        <v>44</v>
      </c>
      <c r="F554" s="5"/>
      <c r="G554" s="5" t="s">
        <v>1041</v>
      </c>
      <c r="H554" s="5" t="s">
        <v>23</v>
      </c>
      <c r="I554" s="6">
        <v>1500000</v>
      </c>
      <c r="J554" s="6">
        <f>IF(D554="Thu",I554,0)</f>
        <v>0</v>
      </c>
      <c r="K554" s="6">
        <f>IF(D554="Chi",I554,0)</f>
        <v>1500000</v>
      </c>
      <c r="L554" s="6" t="e">
        <f>L553+J554-K554</f>
        <v>#VALUE!</v>
      </c>
      <c r="M554" s="6">
        <f ca="1">IFERROR(__xludf.DUMMYFUNCTION("SUM(FILTER(J:J, H:H=""Tiền mặt"")) - SUM(FILTER(K:K, H:H=""Tiền mặt""))
"),959000)</f>
        <v>959000</v>
      </c>
      <c r="N554" s="6">
        <f ca="1">IFERROR(__xludf.DUMMYFUNCTION("SUM(FILTER(J:J, H:H=""Chuyển khoản"")) - SUM(FILTER(K:K, H:H=""Chuyển khoản""))
"),4468984)</f>
        <v>4468984</v>
      </c>
      <c r="O554" s="5"/>
      <c r="P554" s="5"/>
      <c r="Q554" s="5"/>
      <c r="R554" s="5"/>
      <c r="S554" s="5"/>
    </row>
    <row r="555" spans="1:19" ht="15.75" customHeight="1" x14ac:dyDescent="0.2">
      <c r="A555" s="3">
        <v>46132</v>
      </c>
      <c r="B555" s="4" t="str">
        <f>IF(A555="","","PC-"&amp;TEXT(A555,"mm/yyyy")&amp;"-"&amp;TEXT(COUNTIFS($A$2:A555,"&gt;="&amp;EOMONTH(A555,-1)+1,$A$2:A555,"&lt;="&amp;EOMONTH(A555,0)),"000"))</f>
        <v>PC-04/2026-062</v>
      </c>
      <c r="C555" s="5" t="s">
        <v>1042</v>
      </c>
      <c r="D555" s="5" t="s">
        <v>29</v>
      </c>
      <c r="E555" s="5" t="s">
        <v>47</v>
      </c>
      <c r="F555" s="5"/>
      <c r="G555" s="5" t="s">
        <v>48</v>
      </c>
      <c r="H555" s="5" t="s">
        <v>23</v>
      </c>
      <c r="I555" s="6">
        <v>50000</v>
      </c>
      <c r="J555" s="6">
        <f>IF(D555="Thu",I555,0)</f>
        <v>0</v>
      </c>
      <c r="K555" s="6">
        <f>IF(D555="Chi",I555,0)</f>
        <v>50000</v>
      </c>
      <c r="L555" s="6" t="e">
        <f>L554+J555-K555</f>
        <v>#VALUE!</v>
      </c>
      <c r="M555" s="6">
        <f ca="1">IFERROR(__xludf.DUMMYFUNCTION("SUM(FILTER(J:J, H:H=""Tiền mặt"")) - SUM(FILTER(K:K, H:H=""Tiền mặt""))
"),959000)</f>
        <v>959000</v>
      </c>
      <c r="N555" s="6">
        <f ca="1">IFERROR(__xludf.DUMMYFUNCTION("SUM(FILTER(J:J, H:H=""Chuyển khoản"")) - SUM(FILTER(K:K, H:H=""Chuyển khoản""))
"),4468984)</f>
        <v>4468984</v>
      </c>
      <c r="O555" s="5"/>
      <c r="P555" s="5"/>
      <c r="Q555" s="5"/>
      <c r="R555" s="5"/>
      <c r="S555" s="5"/>
    </row>
    <row r="556" spans="1:19" ht="15.75" customHeight="1" x14ac:dyDescent="0.2">
      <c r="A556" s="3">
        <v>46132</v>
      </c>
      <c r="B556" s="4" t="str">
        <f>IF(A556="","","PC-"&amp;TEXT(A556,"mm/yyyy")&amp;"-"&amp;TEXT(COUNTIFS($A$2:A556,"&gt;="&amp;EOMONTH(A556,-1)+1,$A$2:A556,"&lt;="&amp;EOMONTH(A556,0)),"000"))</f>
        <v>PC-04/2026-063</v>
      </c>
      <c r="C556" s="5" t="s">
        <v>1043</v>
      </c>
      <c r="D556" s="5" t="s">
        <v>29</v>
      </c>
      <c r="E556" s="5" t="s">
        <v>64</v>
      </c>
      <c r="F556" s="5"/>
      <c r="G556" s="5" t="s">
        <v>632</v>
      </c>
      <c r="H556" s="5" t="s">
        <v>23</v>
      </c>
      <c r="I556" s="6">
        <v>2000000</v>
      </c>
      <c r="J556" s="6">
        <f>IF(D556="Thu",I556,0)</f>
        <v>0</v>
      </c>
      <c r="K556" s="6">
        <f>IF(D556="Chi",I556,0)</f>
        <v>2000000</v>
      </c>
      <c r="L556" s="6" t="e">
        <f>L555+J556-K556</f>
        <v>#VALUE!</v>
      </c>
      <c r="M556" s="6">
        <f ca="1">IFERROR(__xludf.DUMMYFUNCTION("SUM(FILTER(J:J, H:H=""Tiền mặt"")) - SUM(FILTER(K:K, H:H=""Tiền mặt""))
"),959000)</f>
        <v>959000</v>
      </c>
      <c r="N556" s="6">
        <f ca="1">IFERROR(__xludf.DUMMYFUNCTION("SUM(FILTER(J:J, H:H=""Chuyển khoản"")) - SUM(FILTER(K:K, H:H=""Chuyển khoản""))
"),4468984)</f>
        <v>4468984</v>
      </c>
      <c r="O556" s="5"/>
      <c r="P556" s="5"/>
      <c r="Q556" s="5"/>
      <c r="R556" s="5"/>
      <c r="S556" s="5"/>
    </row>
    <row r="557" spans="1:19" ht="15.75" customHeight="1" x14ac:dyDescent="0.2">
      <c r="A557" s="3">
        <v>46132</v>
      </c>
      <c r="B557" s="4" t="str">
        <f>IF(A557="","","PC-"&amp;TEXT(A557,"mm/yyyy")&amp;"-"&amp;TEXT(COUNTIFS($A$2:A557,"&gt;="&amp;EOMONTH(A557,-1)+1,$A$2:A557,"&lt;="&amp;EOMONTH(A557,0)),"000"))</f>
        <v>PC-04/2026-064</v>
      </c>
      <c r="C557" s="5" t="s">
        <v>1044</v>
      </c>
      <c r="D557" s="5" t="s">
        <v>29</v>
      </c>
      <c r="E557" s="5" t="s">
        <v>64</v>
      </c>
      <c r="F557" s="5"/>
      <c r="G557" s="5" t="s">
        <v>392</v>
      </c>
      <c r="H557" s="5" t="s">
        <v>23</v>
      </c>
      <c r="I557" s="6">
        <v>200000</v>
      </c>
      <c r="J557" s="6">
        <f>IF(D557="Thu",I557,0)</f>
        <v>0</v>
      </c>
      <c r="K557" s="6">
        <f>IF(D557="Chi",I557,0)</f>
        <v>200000</v>
      </c>
      <c r="L557" s="6" t="e">
        <f>L556+J557-K557</f>
        <v>#VALUE!</v>
      </c>
      <c r="M557" s="6">
        <f ca="1">IFERROR(__xludf.DUMMYFUNCTION("SUM(FILTER(J:J, H:H=""Tiền mặt"")) - SUM(FILTER(K:K, H:H=""Tiền mặt""))
"),959000)</f>
        <v>959000</v>
      </c>
      <c r="N557" s="6">
        <f ca="1">IFERROR(__xludf.DUMMYFUNCTION("SUM(FILTER(J:J, H:H=""Chuyển khoản"")) - SUM(FILTER(K:K, H:H=""Chuyển khoản""))
"),4468984)</f>
        <v>4468984</v>
      </c>
      <c r="O557" s="5"/>
      <c r="P557" s="5"/>
      <c r="Q557" s="5"/>
      <c r="R557" s="5"/>
      <c r="S557" s="5"/>
    </row>
    <row r="558" spans="1:19" ht="15.75" customHeight="1" x14ac:dyDescent="0.2">
      <c r="A558" s="3">
        <v>46132</v>
      </c>
      <c r="B558" s="4" t="str">
        <f>IF(A558="","","PC-"&amp;TEXT(A558,"mm/yyyy")&amp;"-"&amp;TEXT(COUNTIFS($A$2:A558,"&gt;="&amp;EOMONTH(A558,-1)+1,$A$2:A558,"&lt;="&amp;EOMONTH(A558,0)),"000"))</f>
        <v>PC-04/2026-065</v>
      </c>
      <c r="C558" s="5" t="s">
        <v>1045</v>
      </c>
      <c r="D558" s="5" t="s">
        <v>29</v>
      </c>
      <c r="E558" s="5" t="s">
        <v>41</v>
      </c>
      <c r="F558" s="5"/>
      <c r="G558" s="5" t="s">
        <v>82</v>
      </c>
      <c r="H558" s="5" t="s">
        <v>23</v>
      </c>
      <c r="I558" s="6">
        <v>100000</v>
      </c>
      <c r="J558" s="6">
        <f>IF(D558="Thu",I558,0)</f>
        <v>0</v>
      </c>
      <c r="K558" s="6">
        <f>IF(D558="Chi",I558,0)</f>
        <v>100000</v>
      </c>
      <c r="L558" s="6" t="e">
        <f>L557+J558-K558</f>
        <v>#VALUE!</v>
      </c>
      <c r="M558" s="6">
        <f ca="1">IFERROR(__xludf.DUMMYFUNCTION("SUM(FILTER(J:J, H:H=""Tiền mặt"")) - SUM(FILTER(K:K, H:H=""Tiền mặt""))
"),959000)</f>
        <v>959000</v>
      </c>
      <c r="N558" s="6">
        <f ca="1">IFERROR(__xludf.DUMMYFUNCTION("SUM(FILTER(J:J, H:H=""Chuyển khoản"")) - SUM(FILTER(K:K, H:H=""Chuyển khoản""))
"),4468984)</f>
        <v>4468984</v>
      </c>
      <c r="O558" s="5"/>
      <c r="P558" s="5"/>
      <c r="Q558" s="5"/>
      <c r="R558" s="5"/>
      <c r="S558" s="5"/>
    </row>
    <row r="559" spans="1:19" ht="15.75" customHeight="1" x14ac:dyDescent="0.2">
      <c r="A559" s="3">
        <v>46132</v>
      </c>
      <c r="B559" s="4" t="str">
        <f>IF(A559="","","PC-"&amp;TEXT(A559,"mm/yyyy")&amp;"-"&amp;TEXT(COUNTIFS($A$2:A559,"&gt;="&amp;EOMONTH(A559,-1)+1,$A$2:A559,"&lt;="&amp;EOMONTH(A559,0)),"000"))</f>
        <v>PC-04/2026-066</v>
      </c>
      <c r="C559" s="5" t="s">
        <v>1046</v>
      </c>
      <c r="D559" s="5" t="s">
        <v>29</v>
      </c>
      <c r="E559" s="5" t="s">
        <v>41</v>
      </c>
      <c r="F559" s="5"/>
      <c r="G559" s="5" t="s">
        <v>82</v>
      </c>
      <c r="H559" s="5" t="s">
        <v>23</v>
      </c>
      <c r="I559" s="6">
        <v>100000</v>
      </c>
      <c r="J559" s="6">
        <f>IF(D559="Thu",I559,0)</f>
        <v>0</v>
      </c>
      <c r="K559" s="6">
        <f>IF(D559="Chi",I559,0)</f>
        <v>100000</v>
      </c>
      <c r="L559" s="6" t="e">
        <f>L558+J559-K559</f>
        <v>#VALUE!</v>
      </c>
      <c r="M559" s="6">
        <f ca="1">IFERROR(__xludf.DUMMYFUNCTION("SUM(FILTER(J:J, H:H=""Tiền mặt"")) - SUM(FILTER(K:K, H:H=""Tiền mặt""))
"),959000)</f>
        <v>959000</v>
      </c>
      <c r="N559" s="6">
        <f ca="1">IFERROR(__xludf.DUMMYFUNCTION("SUM(FILTER(J:J, H:H=""Chuyển khoản"")) - SUM(FILTER(K:K, H:H=""Chuyển khoản""))
"),4468984)</f>
        <v>4468984</v>
      </c>
      <c r="O559" s="5"/>
      <c r="P559" s="5"/>
      <c r="Q559" s="5"/>
      <c r="R559" s="5"/>
      <c r="S559" s="5"/>
    </row>
    <row r="560" spans="1:19" ht="15.75" customHeight="1" x14ac:dyDescent="0.2">
      <c r="A560" s="3">
        <v>46132</v>
      </c>
      <c r="B560" s="4" t="str">
        <f>IF(A560="","","PC-"&amp;TEXT(A560,"mm/yyyy")&amp;"-"&amp;TEXT(COUNTIFS($A$2:A560,"&gt;="&amp;EOMONTH(A560,-1)+1,$A$2:A560,"&lt;="&amp;EOMONTH(A560,0)),"000"))</f>
        <v>PC-04/2026-067</v>
      </c>
      <c r="C560" s="5" t="s">
        <v>1047</v>
      </c>
      <c r="D560" s="5" t="s">
        <v>29</v>
      </c>
      <c r="E560" s="5" t="s">
        <v>41</v>
      </c>
      <c r="F560" s="5"/>
      <c r="G560" s="5" t="s">
        <v>82</v>
      </c>
      <c r="H560" s="5" t="s">
        <v>23</v>
      </c>
      <c r="I560" s="6">
        <v>100000</v>
      </c>
      <c r="J560" s="6">
        <f>IF(D560="Thu",I560,0)</f>
        <v>0</v>
      </c>
      <c r="K560" s="6">
        <f>IF(D560="Chi",I560,0)</f>
        <v>100000</v>
      </c>
      <c r="L560" s="6" t="e">
        <f>L559+J560-K560</f>
        <v>#VALUE!</v>
      </c>
      <c r="M560" s="6">
        <f ca="1">IFERROR(__xludf.DUMMYFUNCTION("SUM(FILTER(J:J, H:H=""Tiền mặt"")) - SUM(FILTER(K:K, H:H=""Tiền mặt""))
"),959000)</f>
        <v>959000</v>
      </c>
      <c r="N560" s="6">
        <f ca="1">IFERROR(__xludf.DUMMYFUNCTION("SUM(FILTER(J:J, H:H=""Chuyển khoản"")) - SUM(FILTER(K:K, H:H=""Chuyển khoản""))
"),4468984)</f>
        <v>4468984</v>
      </c>
      <c r="O560" s="5"/>
      <c r="P560" s="5"/>
      <c r="Q560" s="5"/>
      <c r="R560" s="5"/>
      <c r="S560" s="5"/>
    </row>
    <row r="561" spans="1:19" ht="15.75" customHeight="1" x14ac:dyDescent="0.2">
      <c r="A561" s="3">
        <v>46132</v>
      </c>
      <c r="B561" s="4" t="str">
        <f>IF(A561="","","PC-"&amp;TEXT(A561,"mm/yyyy")&amp;"-"&amp;TEXT(COUNTIFS($A$2:A561,"&gt;="&amp;EOMONTH(A561,-1)+1,$A$2:A561,"&lt;="&amp;EOMONTH(A561,0)),"000"))</f>
        <v>PC-04/2026-068</v>
      </c>
      <c r="C561" s="5" t="s">
        <v>1048</v>
      </c>
      <c r="D561" s="5" t="s">
        <v>29</v>
      </c>
      <c r="E561" s="5" t="s">
        <v>44</v>
      </c>
      <c r="F561" s="5"/>
      <c r="G561" s="5" t="s">
        <v>995</v>
      </c>
      <c r="H561" s="5" t="s">
        <v>23</v>
      </c>
      <c r="I561" s="6">
        <v>1500000</v>
      </c>
      <c r="J561" s="6">
        <f>IF(D561="Thu",I561,0)</f>
        <v>0</v>
      </c>
      <c r="K561" s="6">
        <f>IF(D561="Chi",I561,0)</f>
        <v>1500000</v>
      </c>
      <c r="L561" s="6" t="e">
        <f>L560+J561-K561</f>
        <v>#VALUE!</v>
      </c>
      <c r="M561" s="6">
        <f ca="1">IFERROR(__xludf.DUMMYFUNCTION("SUM(FILTER(J:J, H:H=""Tiền mặt"")) - SUM(FILTER(K:K, H:H=""Tiền mặt""))
"),959000)</f>
        <v>959000</v>
      </c>
      <c r="N561" s="6">
        <f ca="1">IFERROR(__xludf.DUMMYFUNCTION("SUM(FILTER(J:J, H:H=""Chuyển khoản"")) - SUM(FILTER(K:K, H:H=""Chuyển khoản""))
"),4468984)</f>
        <v>4468984</v>
      </c>
      <c r="O561" s="5"/>
      <c r="P561" s="5"/>
      <c r="Q561" s="5"/>
      <c r="R561" s="5"/>
      <c r="S561" s="5"/>
    </row>
    <row r="562" spans="1:19" ht="15.75" customHeight="1" x14ac:dyDescent="0.2">
      <c r="A562" s="3">
        <v>46132</v>
      </c>
      <c r="B562" s="4" t="str">
        <f>IF(A562="","","PC-"&amp;TEXT(A562,"mm/yyyy")&amp;"-"&amp;TEXT(COUNTIFS($A$2:A562,"&gt;="&amp;EOMONTH(A562,-1)+1,$A$2:A562,"&lt;="&amp;EOMONTH(A562,0)),"000"))</f>
        <v>PC-04/2026-069</v>
      </c>
      <c r="C562" s="5" t="s">
        <v>1049</v>
      </c>
      <c r="D562" s="5" t="s">
        <v>29</v>
      </c>
      <c r="E562" s="5" t="s">
        <v>44</v>
      </c>
      <c r="F562" s="5"/>
      <c r="G562" s="5" t="s">
        <v>995</v>
      </c>
      <c r="H562" s="5" t="s">
        <v>23</v>
      </c>
      <c r="I562" s="6">
        <v>1500000</v>
      </c>
      <c r="J562" s="6">
        <f>IF(D562="Thu",I562,0)</f>
        <v>0</v>
      </c>
      <c r="K562" s="6">
        <f>IF(D562="Chi",I562,0)</f>
        <v>1500000</v>
      </c>
      <c r="L562" s="6" t="e">
        <f>L561+J562-K562</f>
        <v>#VALUE!</v>
      </c>
      <c r="M562" s="6">
        <f ca="1">IFERROR(__xludf.DUMMYFUNCTION("SUM(FILTER(J:J, H:H=""Tiền mặt"")) - SUM(FILTER(K:K, H:H=""Tiền mặt""))
"),959000)</f>
        <v>959000</v>
      </c>
      <c r="N562" s="6">
        <f ca="1">IFERROR(__xludf.DUMMYFUNCTION("SUM(FILTER(J:J, H:H=""Chuyển khoản"")) - SUM(FILTER(K:K, H:H=""Chuyển khoản""))
"),4468984)</f>
        <v>4468984</v>
      </c>
      <c r="O562" s="5"/>
      <c r="P562" s="5"/>
      <c r="Q562" s="5"/>
      <c r="R562" s="5"/>
      <c r="S562" s="5"/>
    </row>
    <row r="563" spans="1:19" ht="15.75" customHeight="1" x14ac:dyDescent="0.2">
      <c r="A563" s="3">
        <v>46132</v>
      </c>
      <c r="B563" s="4" t="str">
        <f>IF(A563="","","PC-"&amp;TEXT(A563,"mm/yyyy")&amp;"-"&amp;TEXT(COUNTIFS($A$2:A563,"&gt;="&amp;EOMONTH(A563,-1)+1,$A$2:A563,"&lt;="&amp;EOMONTH(A563,0)),"000"))</f>
        <v>PC-04/2026-070</v>
      </c>
      <c r="C563" s="5" t="s">
        <v>1050</v>
      </c>
      <c r="D563" s="5" t="s">
        <v>29</v>
      </c>
      <c r="E563" s="5" t="s">
        <v>47</v>
      </c>
      <c r="F563" s="5"/>
      <c r="G563" s="5" t="s">
        <v>48</v>
      </c>
      <c r="H563" s="5" t="s">
        <v>23</v>
      </c>
      <c r="I563" s="6">
        <v>50000</v>
      </c>
      <c r="J563" s="6">
        <f>IF(D563="Thu",I563,0)</f>
        <v>0</v>
      </c>
      <c r="K563" s="6">
        <f>IF(D563="Chi",I563,0)</f>
        <v>50000</v>
      </c>
      <c r="L563" s="6" t="e">
        <f>L562+J563-K563</f>
        <v>#VALUE!</v>
      </c>
      <c r="M563" s="6">
        <f ca="1">IFERROR(__xludf.DUMMYFUNCTION("SUM(FILTER(J:J, H:H=""Tiền mặt"")) - SUM(FILTER(K:K, H:H=""Tiền mặt""))
"),959000)</f>
        <v>959000</v>
      </c>
      <c r="N563" s="6">
        <f ca="1">IFERROR(__xludf.DUMMYFUNCTION("SUM(FILTER(J:J, H:H=""Chuyển khoản"")) - SUM(FILTER(K:K, H:H=""Chuyển khoản""))
"),4468984)</f>
        <v>4468984</v>
      </c>
      <c r="O563" s="5"/>
      <c r="P563" s="5"/>
      <c r="Q563" s="5"/>
      <c r="R563" s="5"/>
      <c r="S563" s="5"/>
    </row>
    <row r="564" spans="1:19" ht="15.75" customHeight="1" x14ac:dyDescent="0.2">
      <c r="A564" s="3">
        <v>46130</v>
      </c>
      <c r="B564" s="4" t="str">
        <f>IF(A564="","","PC-"&amp;TEXT(A564,"mm/yyyy")&amp;"-"&amp;TEXT(COUNTIFS($A$2:A564,"&gt;="&amp;EOMONTH(A564,-1)+1,$A$2:A564,"&lt;="&amp;EOMONTH(A564,0)),"000"))</f>
        <v>PC-04/2026-071</v>
      </c>
      <c r="C564" s="5" t="s">
        <v>1020</v>
      </c>
      <c r="D564" s="5" t="s">
        <v>29</v>
      </c>
      <c r="E564" s="5" t="s">
        <v>41</v>
      </c>
      <c r="F564" s="5"/>
      <c r="G564" s="5" t="s">
        <v>82</v>
      </c>
      <c r="H564" s="5" t="s">
        <v>23</v>
      </c>
      <c r="I564" s="6">
        <v>200000</v>
      </c>
      <c r="J564" s="6">
        <f>IF(D564="Thu",I564,0)</f>
        <v>0</v>
      </c>
      <c r="K564" s="6">
        <f>IF(D564="Chi",I564,0)</f>
        <v>200000</v>
      </c>
      <c r="L564" s="6" t="e">
        <f>L563+J564-K564</f>
        <v>#VALUE!</v>
      </c>
      <c r="M564" s="6">
        <f ca="1">IFERROR(__xludf.DUMMYFUNCTION("SUM(FILTER(J:J, H:H=""Tiền mặt"")) - SUM(FILTER(K:K, H:H=""Tiền mặt""))
"),959000)</f>
        <v>959000</v>
      </c>
      <c r="N564" s="6">
        <f ca="1">IFERROR(__xludf.DUMMYFUNCTION("SUM(FILTER(J:J, H:H=""Chuyển khoản"")) - SUM(FILTER(K:K, H:H=""Chuyển khoản""))
"),4468984)</f>
        <v>4468984</v>
      </c>
      <c r="O564" s="5"/>
      <c r="P564" s="5"/>
      <c r="Q564" s="5"/>
      <c r="R564" s="5"/>
      <c r="S564" s="5"/>
    </row>
    <row r="565" spans="1:19" ht="15.75" customHeight="1" x14ac:dyDescent="0.2">
      <c r="A565" s="3">
        <v>46130</v>
      </c>
      <c r="B565" s="4" t="str">
        <f>IF(A565="","","PC-"&amp;TEXT(A565,"mm/yyyy")&amp;"-"&amp;TEXT(COUNTIFS($A$2:A565,"&gt;="&amp;EOMONTH(A565,-1)+1,$A$2:A565,"&lt;="&amp;EOMONTH(A565,0)),"000"))</f>
        <v>PC-04/2026-072</v>
      </c>
      <c r="C565" s="5" t="s">
        <v>1021</v>
      </c>
      <c r="D565" s="5" t="s">
        <v>29</v>
      </c>
      <c r="E565" s="5" t="s">
        <v>141</v>
      </c>
      <c r="F565" s="5"/>
      <c r="G565" s="5" t="s">
        <v>52</v>
      </c>
      <c r="H565" s="5" t="s">
        <v>27</v>
      </c>
      <c r="I565" s="6">
        <v>5054000</v>
      </c>
      <c r="J565" s="6">
        <f>IF(D565="Thu",I565,0)</f>
        <v>0</v>
      </c>
      <c r="K565" s="6">
        <f>IF(D565="Chi",I565,0)</f>
        <v>5054000</v>
      </c>
      <c r="L565" s="6" t="e">
        <f>L564+J565-K565</f>
        <v>#VALUE!</v>
      </c>
      <c r="M565" s="6">
        <f ca="1">IFERROR(__xludf.DUMMYFUNCTION("SUM(FILTER(J:J, H:H=""Tiền mặt"")) - SUM(FILTER(K:K, H:H=""Tiền mặt""))
"),959000)</f>
        <v>959000</v>
      </c>
      <c r="N565" s="6">
        <f ca="1">IFERROR(__xludf.DUMMYFUNCTION("SUM(FILTER(J:J, H:H=""Chuyển khoản"")) - SUM(FILTER(K:K, H:H=""Chuyển khoản""))
"),4468984)</f>
        <v>4468984</v>
      </c>
      <c r="O565" s="5"/>
      <c r="P565" s="5"/>
      <c r="Q565" s="5"/>
      <c r="R565" s="5"/>
      <c r="S565" s="5"/>
    </row>
    <row r="566" spans="1:19" ht="15.75" customHeight="1" x14ac:dyDescent="0.2">
      <c r="A566" s="3">
        <v>46130</v>
      </c>
      <c r="B566" s="4" t="str">
        <f>IF(A566="","","PC-"&amp;TEXT(A566,"mm/yyyy")&amp;"-"&amp;TEXT(COUNTIFS($A$2:A566,"&gt;="&amp;EOMONTH(A566,-1)+1,$A$2:A566,"&lt;="&amp;EOMONTH(A566,0)),"000"))</f>
        <v>PC-04/2026-073</v>
      </c>
      <c r="C566" s="5" t="s">
        <v>1022</v>
      </c>
      <c r="D566" s="5" t="s">
        <v>29</v>
      </c>
      <c r="E566" s="5" t="s">
        <v>41</v>
      </c>
      <c r="F566" s="5"/>
      <c r="G566" s="5" t="s">
        <v>82</v>
      </c>
      <c r="H566" s="5" t="s">
        <v>23</v>
      </c>
      <c r="I566" s="6">
        <v>100000</v>
      </c>
      <c r="J566" s="6">
        <f>IF(D566="Thu",I566,0)</f>
        <v>0</v>
      </c>
      <c r="K566" s="6">
        <f>IF(D566="Chi",I566,0)</f>
        <v>100000</v>
      </c>
      <c r="L566" s="6" t="e">
        <f>L565+J566-K566</f>
        <v>#VALUE!</v>
      </c>
      <c r="M566" s="6">
        <f ca="1">IFERROR(__xludf.DUMMYFUNCTION("SUM(FILTER(J:J, H:H=""Tiền mặt"")) - SUM(FILTER(K:K, H:H=""Tiền mặt""))
"),959000)</f>
        <v>959000</v>
      </c>
      <c r="N566" s="6">
        <f ca="1">IFERROR(__xludf.DUMMYFUNCTION("SUM(FILTER(J:J, H:H=""Chuyển khoản"")) - SUM(FILTER(K:K, H:H=""Chuyển khoản""))
"),4468984)</f>
        <v>4468984</v>
      </c>
      <c r="O566" s="5"/>
      <c r="P566" s="5"/>
      <c r="Q566" s="5"/>
      <c r="R566" s="5"/>
      <c r="S566" s="5"/>
    </row>
    <row r="567" spans="1:19" ht="15.75" customHeight="1" x14ac:dyDescent="0.2">
      <c r="A567" s="3">
        <v>46130</v>
      </c>
      <c r="B567" s="4" t="str">
        <f>IF(A567="","","PC-"&amp;TEXT(A567,"mm/yyyy")&amp;"-"&amp;TEXT(COUNTIFS($A$2:A567,"&gt;="&amp;EOMONTH(A567,-1)+1,$A$2:A567,"&lt;="&amp;EOMONTH(A567,0)),"000"))</f>
        <v>PC-04/2026-074</v>
      </c>
      <c r="C567" s="5" t="s">
        <v>1023</v>
      </c>
      <c r="D567" s="5" t="s">
        <v>29</v>
      </c>
      <c r="E567" s="5" t="s">
        <v>71</v>
      </c>
      <c r="F567" s="5"/>
      <c r="G567" s="5" t="s">
        <v>1024</v>
      </c>
      <c r="H567" s="5" t="s">
        <v>27</v>
      </c>
      <c r="I567" s="6">
        <v>76000</v>
      </c>
      <c r="J567" s="6">
        <f>IF(D567="Thu",I567,0)</f>
        <v>0</v>
      </c>
      <c r="K567" s="6">
        <f>IF(D567="Chi",I567,0)</f>
        <v>76000</v>
      </c>
      <c r="L567" s="6" t="e">
        <f>L566+J567-K567</f>
        <v>#VALUE!</v>
      </c>
      <c r="M567" s="6">
        <f ca="1">IFERROR(__xludf.DUMMYFUNCTION("SUM(FILTER(J:J, H:H=""Tiền mặt"")) - SUM(FILTER(K:K, H:H=""Tiền mặt""))
"),959000)</f>
        <v>959000</v>
      </c>
      <c r="N567" s="6">
        <f ca="1">IFERROR(__xludf.DUMMYFUNCTION("SUM(FILTER(J:J, H:H=""Chuyển khoản"")) - SUM(FILTER(K:K, H:H=""Chuyển khoản""))
"),4468984)</f>
        <v>4468984</v>
      </c>
      <c r="O567" s="5"/>
      <c r="P567" s="5"/>
      <c r="Q567" s="5"/>
      <c r="R567" s="5"/>
      <c r="S567" s="5"/>
    </row>
    <row r="568" spans="1:19" ht="15.75" customHeight="1" x14ac:dyDescent="0.2">
      <c r="A568" s="3">
        <v>46130</v>
      </c>
      <c r="B568" s="4" t="str">
        <f>IF(A568="","","PC-"&amp;TEXT(A568,"mm/yyyy")&amp;"-"&amp;TEXT(COUNTIFS($A$2:A568,"&gt;="&amp;EOMONTH(A568,-1)+1,$A$2:A568,"&lt;="&amp;EOMONTH(A568,0)),"000"))</f>
        <v>PC-04/2026-075</v>
      </c>
      <c r="C568" s="5" t="s">
        <v>1025</v>
      </c>
      <c r="D568" s="5" t="s">
        <v>29</v>
      </c>
      <c r="E568" s="5" t="s">
        <v>71</v>
      </c>
      <c r="F568" s="5"/>
      <c r="G568" s="5" t="s">
        <v>1024</v>
      </c>
      <c r="H568" s="5" t="s">
        <v>27</v>
      </c>
      <c r="I568" s="6">
        <v>52000</v>
      </c>
      <c r="J568" s="6">
        <f>IF(D568="Thu",I568,0)</f>
        <v>0</v>
      </c>
      <c r="K568" s="6">
        <f>IF(D568="Chi",I568,0)</f>
        <v>52000</v>
      </c>
      <c r="L568" s="6" t="e">
        <f>L567+J568-K568</f>
        <v>#VALUE!</v>
      </c>
      <c r="M568" s="6">
        <f ca="1">IFERROR(__xludf.DUMMYFUNCTION("SUM(FILTER(J:J, H:H=""Tiền mặt"")) - SUM(FILTER(K:K, H:H=""Tiền mặt""))
"),959000)</f>
        <v>959000</v>
      </c>
      <c r="N568" s="6">
        <f ca="1">IFERROR(__xludf.DUMMYFUNCTION("SUM(FILTER(J:J, H:H=""Chuyển khoản"")) - SUM(FILTER(K:K, H:H=""Chuyển khoản""))
"),4468984)</f>
        <v>4468984</v>
      </c>
      <c r="O568" s="5"/>
      <c r="P568" s="5"/>
      <c r="Q568" s="5"/>
      <c r="R568" s="5"/>
      <c r="S568" s="5"/>
    </row>
    <row r="569" spans="1:19" ht="15.75" customHeight="1" x14ac:dyDescent="0.2">
      <c r="A569" s="3">
        <v>46130</v>
      </c>
      <c r="B569" s="4" t="str">
        <f>IF(A569="","","PC-"&amp;TEXT(A569,"mm/yyyy")&amp;"-"&amp;TEXT(COUNTIFS($A$2:A569,"&gt;="&amp;EOMONTH(A569,-1)+1,$A$2:A569,"&lt;="&amp;EOMONTH(A569,0)),"000"))</f>
        <v>PC-04/2026-076</v>
      </c>
      <c r="C569" s="5" t="s">
        <v>1026</v>
      </c>
      <c r="D569" s="5" t="s">
        <v>29</v>
      </c>
      <c r="E569" s="5" t="s">
        <v>78</v>
      </c>
      <c r="F569" s="5"/>
      <c r="G569" s="5" t="s">
        <v>72</v>
      </c>
      <c r="H569" s="5" t="s">
        <v>27</v>
      </c>
      <c r="I569" s="6">
        <v>292000</v>
      </c>
      <c r="J569" s="6">
        <f>IF(D569="Thu",I569,0)</f>
        <v>0</v>
      </c>
      <c r="K569" s="6">
        <f>IF(D569="Chi",I569,0)</f>
        <v>292000</v>
      </c>
      <c r="L569" s="6" t="e">
        <f>L568+J569-K569</f>
        <v>#VALUE!</v>
      </c>
      <c r="M569" s="6">
        <f ca="1">IFERROR(__xludf.DUMMYFUNCTION("SUM(FILTER(J:J, H:H=""Tiền mặt"")) - SUM(FILTER(K:K, H:H=""Tiền mặt""))
"),959000)</f>
        <v>959000</v>
      </c>
      <c r="N569" s="6">
        <f ca="1">IFERROR(__xludf.DUMMYFUNCTION("SUM(FILTER(J:J, H:H=""Chuyển khoản"")) - SUM(FILTER(K:K, H:H=""Chuyển khoản""))
"),4468984)</f>
        <v>4468984</v>
      </c>
      <c r="O569" s="5"/>
      <c r="P569" s="5"/>
      <c r="Q569" s="5"/>
      <c r="R569" s="5"/>
      <c r="S569" s="5"/>
    </row>
    <row r="570" spans="1:19" ht="15.75" customHeight="1" x14ac:dyDescent="0.2">
      <c r="A570" s="3">
        <v>46130</v>
      </c>
      <c r="B570" s="4" t="str">
        <f>IF(A570="","","PC-"&amp;TEXT(A570,"mm/yyyy")&amp;"-"&amp;TEXT(COUNTIFS($A$2:A570,"&gt;="&amp;EOMONTH(A570,-1)+1,$A$2:A570,"&lt;="&amp;EOMONTH(A570,0)),"000"))</f>
        <v>PC-04/2026-077</v>
      </c>
      <c r="C570" s="5" t="s">
        <v>1027</v>
      </c>
      <c r="D570" s="5" t="s">
        <v>29</v>
      </c>
      <c r="E570" s="5" t="s">
        <v>153</v>
      </c>
      <c r="F570" s="5"/>
      <c r="G570" s="5" t="s">
        <v>72</v>
      </c>
      <c r="H570" s="5" t="s">
        <v>27</v>
      </c>
      <c r="I570" s="6">
        <v>224000</v>
      </c>
      <c r="J570" s="6">
        <f>IF(D570="Thu",I570,0)</f>
        <v>0</v>
      </c>
      <c r="K570" s="6">
        <f>IF(D570="Chi",I570,0)</f>
        <v>224000</v>
      </c>
      <c r="L570" s="6" t="e">
        <f>L569+J570-K570</f>
        <v>#VALUE!</v>
      </c>
      <c r="M570" s="6">
        <f ca="1">IFERROR(__xludf.DUMMYFUNCTION("SUM(FILTER(J:J, H:H=""Tiền mặt"")) - SUM(FILTER(K:K, H:H=""Tiền mặt""))
"),959000)</f>
        <v>959000</v>
      </c>
      <c r="N570" s="6">
        <f ca="1">IFERROR(__xludf.DUMMYFUNCTION("SUM(FILTER(J:J, H:H=""Chuyển khoản"")) - SUM(FILTER(K:K, H:H=""Chuyển khoản""))
"),4468984)</f>
        <v>4468984</v>
      </c>
      <c r="O570" s="5"/>
      <c r="P570" s="5"/>
      <c r="Q570" s="5"/>
      <c r="R570" s="5"/>
      <c r="S570" s="5"/>
    </row>
    <row r="571" spans="1:19" ht="15.75" customHeight="1" x14ac:dyDescent="0.2">
      <c r="A571" s="3">
        <v>46129</v>
      </c>
      <c r="B571" s="4" t="str">
        <f>IF(A571="","","PC-"&amp;TEXT(A571,"mm/yyyy")&amp;"-"&amp;TEXT(COUNTIFS($A$2:A571,"&gt;="&amp;EOMONTH(A571,-1)+1,$A$2:A571,"&lt;="&amp;EOMONTH(A571,0)),"000"))</f>
        <v>PC-04/2026-078</v>
      </c>
      <c r="C571" s="5" t="s">
        <v>1009</v>
      </c>
      <c r="D571" s="5" t="s">
        <v>29</v>
      </c>
      <c r="E571" s="5" t="s">
        <v>36</v>
      </c>
      <c r="F571" s="5"/>
      <c r="G571" s="5" t="s">
        <v>37</v>
      </c>
      <c r="H571" s="5" t="s">
        <v>23</v>
      </c>
      <c r="I571" s="6">
        <v>225000</v>
      </c>
      <c r="J571" s="6">
        <f>IF(D571="Thu",I571,0)</f>
        <v>0</v>
      </c>
      <c r="K571" s="6">
        <f>IF(D571="Chi",I571,0)</f>
        <v>225000</v>
      </c>
      <c r="L571" s="6" t="e">
        <f>L570+J571-K571</f>
        <v>#VALUE!</v>
      </c>
      <c r="M571" s="6">
        <f ca="1">IFERROR(__xludf.DUMMYFUNCTION("SUM(FILTER(J:J, H:H=""Tiền mặt"")) - SUM(FILTER(K:K, H:H=""Tiền mặt""))
"),959000)</f>
        <v>959000</v>
      </c>
      <c r="N571" s="6">
        <f ca="1">IFERROR(__xludf.DUMMYFUNCTION("SUM(FILTER(J:J, H:H=""Chuyển khoản"")) - SUM(FILTER(K:K, H:H=""Chuyển khoản""))
"),4468984)</f>
        <v>4468984</v>
      </c>
      <c r="O571" s="5"/>
      <c r="P571" s="5"/>
      <c r="Q571" s="5"/>
      <c r="R571" s="5"/>
      <c r="S571" s="5"/>
    </row>
    <row r="572" spans="1:19" ht="15.75" customHeight="1" x14ac:dyDescent="0.2">
      <c r="A572" s="3">
        <v>46129</v>
      </c>
      <c r="B572" s="4" t="str">
        <f>IF(A572="","","PC-"&amp;TEXT(A572,"mm/yyyy")&amp;"-"&amp;TEXT(COUNTIFS($A$2:A572,"&gt;="&amp;EOMONTH(A572,-1)+1,$A$2:A572,"&lt;="&amp;EOMONTH(A572,0)),"000"))</f>
        <v>PC-04/2026-079</v>
      </c>
      <c r="C572" s="7" t="s">
        <v>1010</v>
      </c>
      <c r="D572" s="5" t="s">
        <v>29</v>
      </c>
      <c r="E572" s="5" t="s">
        <v>674</v>
      </c>
      <c r="F572" s="5"/>
      <c r="G572" s="5" t="s">
        <v>571</v>
      </c>
      <c r="H572" s="5" t="s">
        <v>23</v>
      </c>
      <c r="I572" s="6">
        <v>150000</v>
      </c>
      <c r="J572" s="6">
        <f>IF(D572="Thu",I572,0)</f>
        <v>0</v>
      </c>
      <c r="K572" s="6">
        <f>IF(D572="Chi",I572,0)</f>
        <v>150000</v>
      </c>
      <c r="L572" s="6" t="e">
        <f>L571+J572-K572</f>
        <v>#VALUE!</v>
      </c>
      <c r="M572" s="6">
        <f ca="1">IFERROR(__xludf.DUMMYFUNCTION("SUM(FILTER(J:J, H:H=""Tiền mặt"")) - SUM(FILTER(K:K, H:H=""Tiền mặt""))
"),959000)</f>
        <v>959000</v>
      </c>
      <c r="N572" s="6">
        <f ca="1">IFERROR(__xludf.DUMMYFUNCTION("SUM(FILTER(J:J, H:H=""Chuyển khoản"")) - SUM(FILTER(K:K, H:H=""Chuyển khoản""))
"),4468984)</f>
        <v>4468984</v>
      </c>
      <c r="O572" s="5"/>
      <c r="P572" s="5"/>
      <c r="Q572" s="5"/>
      <c r="R572" s="5"/>
      <c r="S572" s="5"/>
    </row>
    <row r="573" spans="1:19" ht="15.75" customHeight="1" x14ac:dyDescent="0.2">
      <c r="A573" s="3">
        <v>46129</v>
      </c>
      <c r="B573" s="4" t="str">
        <f>IF(A573="","","PC-"&amp;TEXT(A573,"mm/yyyy")&amp;"-"&amp;TEXT(COUNTIFS($A$2:A573,"&gt;="&amp;EOMONTH(A573,-1)+1,$A$2:A573,"&lt;="&amp;EOMONTH(A573,0)),"000"))</f>
        <v>PC-04/2026-080</v>
      </c>
      <c r="C573" s="5" t="s">
        <v>1011</v>
      </c>
      <c r="D573" s="5" t="s">
        <v>29</v>
      </c>
      <c r="E573" s="5" t="s">
        <v>41</v>
      </c>
      <c r="F573" s="5"/>
      <c r="G573" s="5" t="s">
        <v>82</v>
      </c>
      <c r="H573" s="5" t="s">
        <v>23</v>
      </c>
      <c r="I573" s="6">
        <v>100000</v>
      </c>
      <c r="J573" s="6">
        <f>IF(D573="Thu",I573,0)</f>
        <v>0</v>
      </c>
      <c r="K573" s="6">
        <f>IF(D573="Chi",I573,0)</f>
        <v>100000</v>
      </c>
      <c r="L573" s="6" t="e">
        <f>L572+J573-K573</f>
        <v>#VALUE!</v>
      </c>
      <c r="M573" s="6">
        <f ca="1">IFERROR(__xludf.DUMMYFUNCTION("SUM(FILTER(J:J, H:H=""Tiền mặt"")) - SUM(FILTER(K:K, H:H=""Tiền mặt""))
"),959000)</f>
        <v>959000</v>
      </c>
      <c r="N573" s="6">
        <f ca="1">IFERROR(__xludf.DUMMYFUNCTION("SUM(FILTER(J:J, H:H=""Chuyển khoản"")) - SUM(FILTER(K:K, H:H=""Chuyển khoản""))
"),4468984)</f>
        <v>4468984</v>
      </c>
      <c r="O573" s="5"/>
      <c r="P573" s="5"/>
      <c r="Q573" s="5"/>
      <c r="R573" s="5"/>
      <c r="S573" s="5"/>
    </row>
    <row r="574" spans="1:19" ht="15.75" customHeight="1" x14ac:dyDescent="0.2">
      <c r="A574" s="3">
        <v>46129</v>
      </c>
      <c r="B574" s="4" t="str">
        <f>IF(A574="","","PC-"&amp;TEXT(A574,"mm/yyyy")&amp;"-"&amp;TEXT(COUNTIFS($A$2:A574,"&gt;="&amp;EOMONTH(A574,-1)+1,$A$2:A574,"&lt;="&amp;EOMONTH(A574,0)),"000"))</f>
        <v>PC-04/2026-081</v>
      </c>
      <c r="C574" s="5" t="s">
        <v>1012</v>
      </c>
      <c r="D574" s="5" t="s">
        <v>29</v>
      </c>
      <c r="E574" s="5" t="s">
        <v>51</v>
      </c>
      <c r="F574" s="5"/>
      <c r="G574" s="5" t="s">
        <v>52</v>
      </c>
      <c r="H574" s="5" t="s">
        <v>27</v>
      </c>
      <c r="I574" s="6">
        <v>394850</v>
      </c>
      <c r="J574" s="6">
        <f>IF(D574="Thu",I574,0)</f>
        <v>0</v>
      </c>
      <c r="K574" s="6">
        <f>IF(D574="Chi",I574,0)</f>
        <v>394850</v>
      </c>
      <c r="L574" s="6" t="e">
        <f>L573+J574-K574</f>
        <v>#VALUE!</v>
      </c>
      <c r="M574" s="6">
        <f ca="1">IFERROR(__xludf.DUMMYFUNCTION("SUM(FILTER(J:J, H:H=""Tiền mặt"")) - SUM(FILTER(K:K, H:H=""Tiền mặt""))
"),959000)</f>
        <v>959000</v>
      </c>
      <c r="N574" s="6">
        <f ca="1">IFERROR(__xludf.DUMMYFUNCTION("SUM(FILTER(J:J, H:H=""Chuyển khoản"")) - SUM(FILTER(K:K, H:H=""Chuyển khoản""))
"),4468984)</f>
        <v>4468984</v>
      </c>
      <c r="O574" s="5"/>
      <c r="P574" s="5"/>
      <c r="Q574" s="5"/>
      <c r="R574" s="5"/>
      <c r="S574" s="5"/>
    </row>
    <row r="575" spans="1:19" ht="15.75" customHeight="1" x14ac:dyDescent="0.2">
      <c r="A575" s="3">
        <v>46129</v>
      </c>
      <c r="B575" s="4" t="str">
        <f>IF(A575="","","PC-"&amp;TEXT(A575,"mm/yyyy")&amp;"-"&amp;TEXT(COUNTIFS($A$2:A575,"&gt;="&amp;EOMONTH(A575,-1)+1,$A$2:A575,"&lt;="&amp;EOMONTH(A575,0)),"000"))</f>
        <v>PC-04/2026-082</v>
      </c>
      <c r="C575" s="5" t="s">
        <v>1013</v>
      </c>
      <c r="D575" s="5" t="s">
        <v>29</v>
      </c>
      <c r="E575" s="5" t="s">
        <v>71</v>
      </c>
      <c r="F575" s="5"/>
      <c r="G575" s="5" t="s">
        <v>1014</v>
      </c>
      <c r="H575" s="5" t="s">
        <v>27</v>
      </c>
      <c r="I575" s="6">
        <v>69000</v>
      </c>
      <c r="J575" s="6">
        <f>IF(D575="Thu",I575,0)</f>
        <v>0</v>
      </c>
      <c r="K575" s="6">
        <f>IF(D575="Chi",I575,0)</f>
        <v>69000</v>
      </c>
      <c r="L575" s="6" t="e">
        <f>L574+J575-K575</f>
        <v>#VALUE!</v>
      </c>
      <c r="M575" s="6">
        <f ca="1">IFERROR(__xludf.DUMMYFUNCTION("SUM(FILTER(J:J, H:H=""Tiền mặt"")) - SUM(FILTER(K:K, H:H=""Tiền mặt""))
"),959000)</f>
        <v>959000</v>
      </c>
      <c r="N575" s="6">
        <f ca="1">IFERROR(__xludf.DUMMYFUNCTION("SUM(FILTER(J:J, H:H=""Chuyển khoản"")) - SUM(FILTER(K:K, H:H=""Chuyển khoản""))
"),4468984)</f>
        <v>4468984</v>
      </c>
      <c r="O575" s="5"/>
      <c r="P575" s="5"/>
      <c r="Q575" s="5"/>
      <c r="R575" s="5"/>
      <c r="S575" s="5"/>
    </row>
    <row r="576" spans="1:19" ht="15.75" customHeight="1" x14ac:dyDescent="0.2">
      <c r="A576" s="3">
        <v>46129</v>
      </c>
      <c r="B576" s="4" t="str">
        <f>IF(A576="","","PC-"&amp;TEXT(A576,"mm/yyyy")&amp;"-"&amp;TEXT(COUNTIFS($A$2:A576,"&gt;="&amp;EOMONTH(A576,-1)+1,$A$2:A576,"&lt;="&amp;EOMONTH(A576,0)),"000"))</f>
        <v>PC-04/2026-083</v>
      </c>
      <c r="C576" s="5" t="s">
        <v>1015</v>
      </c>
      <c r="D576" s="5" t="s">
        <v>29</v>
      </c>
      <c r="E576" s="5" t="s">
        <v>41</v>
      </c>
      <c r="F576" s="5"/>
      <c r="G576" s="5" t="s">
        <v>192</v>
      </c>
      <c r="H576" s="5" t="s">
        <v>23</v>
      </c>
      <c r="I576" s="6">
        <v>100000</v>
      </c>
      <c r="J576" s="6">
        <f>IF(D576="Thu",I576,0)</f>
        <v>0</v>
      </c>
      <c r="K576" s="6">
        <f>IF(D576="Chi",I576,0)</f>
        <v>100000</v>
      </c>
      <c r="L576" s="6" t="e">
        <f>L575+J576-K576</f>
        <v>#VALUE!</v>
      </c>
      <c r="M576" s="6">
        <f ca="1">IFERROR(__xludf.DUMMYFUNCTION("SUM(FILTER(J:J, H:H=""Tiền mặt"")) - SUM(FILTER(K:K, H:H=""Tiền mặt""))
"),959000)</f>
        <v>959000</v>
      </c>
      <c r="N576" s="6">
        <f ca="1">IFERROR(__xludf.DUMMYFUNCTION("SUM(FILTER(J:J, H:H=""Chuyển khoản"")) - SUM(FILTER(K:K, H:H=""Chuyển khoản""))
"),4468984)</f>
        <v>4468984</v>
      </c>
      <c r="O576" s="5"/>
      <c r="P576" s="5"/>
      <c r="Q576" s="5"/>
      <c r="R576" s="5"/>
      <c r="S576" s="5"/>
    </row>
    <row r="577" spans="1:19" ht="15.75" customHeight="1" x14ac:dyDescent="0.2">
      <c r="A577" s="3">
        <v>46129</v>
      </c>
      <c r="B577" s="4" t="str">
        <f>IF(A577="","","PC-"&amp;TEXT(A577,"mm/yyyy")&amp;"-"&amp;TEXT(COUNTIFS($A$2:A577,"&gt;="&amp;EOMONTH(A577,-1)+1,$A$2:A577,"&lt;="&amp;EOMONTH(A577,0)),"000"))</f>
        <v>PC-04/2026-084</v>
      </c>
      <c r="C577" s="5" t="s">
        <v>1016</v>
      </c>
      <c r="D577" s="5" t="s">
        <v>29</v>
      </c>
      <c r="E577" s="5" t="s">
        <v>78</v>
      </c>
      <c r="F577" s="5"/>
      <c r="G577" s="5" t="s">
        <v>72</v>
      </c>
      <c r="H577" s="5" t="s">
        <v>27</v>
      </c>
      <c r="I577" s="6">
        <v>89000</v>
      </c>
      <c r="J577" s="6">
        <f>IF(D577="Thu",I577,0)</f>
        <v>0</v>
      </c>
      <c r="K577" s="6">
        <f>IF(D577="Chi",I577,0)</f>
        <v>89000</v>
      </c>
      <c r="L577" s="6" t="e">
        <f>L576+J577-K577</f>
        <v>#VALUE!</v>
      </c>
      <c r="M577" s="6">
        <f ca="1">IFERROR(__xludf.DUMMYFUNCTION("SUM(FILTER(J:J, H:H=""Tiền mặt"")) - SUM(FILTER(K:K, H:H=""Tiền mặt""))
"),959000)</f>
        <v>959000</v>
      </c>
      <c r="N577" s="6">
        <f ca="1">IFERROR(__xludf.DUMMYFUNCTION("SUM(FILTER(J:J, H:H=""Chuyển khoản"")) - SUM(FILTER(K:K, H:H=""Chuyển khoản""))
"),4468984)</f>
        <v>4468984</v>
      </c>
      <c r="O577" s="5"/>
      <c r="P577" s="5"/>
      <c r="Q577" s="5"/>
      <c r="R577" s="5"/>
      <c r="S577" s="5"/>
    </row>
    <row r="578" spans="1:19" ht="15.75" customHeight="1" x14ac:dyDescent="0.2">
      <c r="A578" s="3">
        <v>46129</v>
      </c>
      <c r="B578" s="4" t="str">
        <f>IF(A578="","","PC-"&amp;TEXT(A578,"mm/yyyy")&amp;"-"&amp;TEXT(COUNTIFS($A$2:A578,"&gt;="&amp;EOMONTH(A578,-1)+1,$A$2:A578,"&lt;="&amp;EOMONTH(A578,0)),"000"))</f>
        <v>PC-04/2026-085</v>
      </c>
      <c r="C578" s="5" t="s">
        <v>1017</v>
      </c>
      <c r="D578" s="5" t="s">
        <v>29</v>
      </c>
      <c r="E578" s="5" t="s">
        <v>71</v>
      </c>
      <c r="F578" s="5"/>
      <c r="G578" s="5" t="s">
        <v>72</v>
      </c>
      <c r="H578" s="5" t="s">
        <v>27</v>
      </c>
      <c r="I578" s="6">
        <v>64000</v>
      </c>
      <c r="J578" s="6">
        <f>IF(D578="Thu",I578,0)</f>
        <v>0</v>
      </c>
      <c r="K578" s="6">
        <f>IF(D578="Chi",I578,0)</f>
        <v>64000</v>
      </c>
      <c r="L578" s="6" t="e">
        <f>L577+J578-K578</f>
        <v>#VALUE!</v>
      </c>
      <c r="M578" s="6">
        <f ca="1">IFERROR(__xludf.DUMMYFUNCTION("SUM(FILTER(J:J, H:H=""Tiền mặt"")) - SUM(FILTER(K:K, H:H=""Tiền mặt""))
"),959000)</f>
        <v>959000</v>
      </c>
      <c r="N578" s="6">
        <f ca="1">IFERROR(__xludf.DUMMYFUNCTION("SUM(FILTER(J:J, H:H=""Chuyển khoản"")) - SUM(FILTER(K:K, H:H=""Chuyển khoản""))
"),4468984)</f>
        <v>4468984</v>
      </c>
      <c r="O578" s="5"/>
      <c r="P578" s="5"/>
      <c r="Q578" s="5"/>
      <c r="R578" s="5"/>
      <c r="S578" s="5"/>
    </row>
    <row r="579" spans="1:19" ht="15.75" customHeight="1" x14ac:dyDescent="0.2">
      <c r="A579" s="3">
        <v>46129</v>
      </c>
      <c r="B579" s="4" t="str">
        <f>IF(A579="","","PC-"&amp;TEXT(A579,"mm/yyyy")&amp;"-"&amp;TEXT(COUNTIFS($A$2:A579,"&gt;="&amp;EOMONTH(A579,-1)+1,$A$2:A579,"&lt;="&amp;EOMONTH(A579,0)),"000"))</f>
        <v>PC-04/2026-086</v>
      </c>
      <c r="C579" s="5" t="s">
        <v>1018</v>
      </c>
      <c r="D579" s="5" t="s">
        <v>29</v>
      </c>
      <c r="E579" s="5" t="s">
        <v>41</v>
      </c>
      <c r="F579" s="5"/>
      <c r="G579" s="5" t="s">
        <v>82</v>
      </c>
      <c r="H579" s="5" t="s">
        <v>23</v>
      </c>
      <c r="I579" s="6">
        <v>100000</v>
      </c>
      <c r="J579" s="6">
        <f>IF(D579="Thu",I579,0)</f>
        <v>0</v>
      </c>
      <c r="K579" s="6">
        <f>IF(D579="Chi",I579,0)</f>
        <v>100000</v>
      </c>
      <c r="L579" s="6" t="e">
        <f>L578+J579-K579</f>
        <v>#VALUE!</v>
      </c>
      <c r="M579" s="6">
        <f ca="1">IFERROR(__xludf.DUMMYFUNCTION("SUM(FILTER(J:J, H:H=""Tiền mặt"")) - SUM(FILTER(K:K, H:H=""Tiền mặt""))
"),959000)</f>
        <v>959000</v>
      </c>
      <c r="N579" s="6">
        <f ca="1">IFERROR(__xludf.DUMMYFUNCTION("SUM(FILTER(J:J, H:H=""Chuyển khoản"")) - SUM(FILTER(K:K, H:H=""Chuyển khoản""))
"),4468984)</f>
        <v>4468984</v>
      </c>
      <c r="O579" s="5"/>
      <c r="P579" s="5"/>
      <c r="Q579" s="5"/>
      <c r="R579" s="5"/>
      <c r="S579" s="5"/>
    </row>
    <row r="580" spans="1:19" ht="15.75" customHeight="1" x14ac:dyDescent="0.2">
      <c r="A580" s="3">
        <v>46129</v>
      </c>
      <c r="B580" s="4" t="str">
        <f>IF(A580="","","PC-"&amp;TEXT(A580,"mm/yyyy")&amp;"-"&amp;TEXT(COUNTIFS($A$2:A580,"&gt;="&amp;EOMONTH(A580,-1)+1,$A$2:A580,"&lt;="&amp;EOMONTH(A580,0)),"000"))</f>
        <v>PC-04/2026-087</v>
      </c>
      <c r="C580" s="5" t="s">
        <v>1019</v>
      </c>
      <c r="D580" s="5" t="s">
        <v>29</v>
      </c>
      <c r="E580" s="5" t="s">
        <v>71</v>
      </c>
      <c r="F580" s="5"/>
      <c r="G580" s="5" t="s">
        <v>219</v>
      </c>
      <c r="H580" s="5" t="s">
        <v>27</v>
      </c>
      <c r="I580" s="6">
        <v>73000</v>
      </c>
      <c r="J580" s="6">
        <f>IF(D580="Thu",I580,0)</f>
        <v>0</v>
      </c>
      <c r="K580" s="6">
        <f>IF(D580="Chi",I580,0)</f>
        <v>73000</v>
      </c>
      <c r="L580" s="6" t="e">
        <f>L579+J580-K580</f>
        <v>#VALUE!</v>
      </c>
      <c r="M580" s="6">
        <f ca="1">IFERROR(__xludf.DUMMYFUNCTION("SUM(FILTER(J:J, H:H=""Tiền mặt"")) - SUM(FILTER(K:K, H:H=""Tiền mặt""))
"),959000)</f>
        <v>959000</v>
      </c>
      <c r="N580" s="6">
        <f ca="1">IFERROR(__xludf.DUMMYFUNCTION("SUM(FILTER(J:J, H:H=""Chuyển khoản"")) - SUM(FILTER(K:K, H:H=""Chuyển khoản""))
"),4468984)</f>
        <v>4468984</v>
      </c>
      <c r="O580" s="5"/>
      <c r="P580" s="5"/>
      <c r="Q580" s="5"/>
      <c r="R580" s="5"/>
      <c r="S580" s="5"/>
    </row>
    <row r="581" spans="1:19" ht="15.75" customHeight="1" x14ac:dyDescent="0.2">
      <c r="A581" s="3">
        <v>46128</v>
      </c>
      <c r="B581" s="4" t="str">
        <f>IF(A581="","","PC-"&amp;TEXT(A581,"mm/yyyy")&amp;"-"&amp;TEXT(COUNTIFS($A$2:A581,"&gt;="&amp;EOMONTH(A581,-1)+1,$A$2:A581,"&lt;="&amp;EOMONTH(A581,0)),"000"))</f>
        <v>PC-04/2026-088</v>
      </c>
      <c r="C581" s="7" t="s">
        <v>993</v>
      </c>
      <c r="D581" s="5" t="s">
        <v>29</v>
      </c>
      <c r="E581" s="5" t="s">
        <v>41</v>
      </c>
      <c r="F581" s="5"/>
      <c r="G581" s="5" t="s">
        <v>192</v>
      </c>
      <c r="H581" s="5" t="s">
        <v>23</v>
      </c>
      <c r="I581" s="6">
        <v>100000</v>
      </c>
      <c r="J581" s="6">
        <f>IF(D581="Thu",I581,0)</f>
        <v>0</v>
      </c>
      <c r="K581" s="6">
        <f>IF(D581="Chi",I581,0)</f>
        <v>100000</v>
      </c>
      <c r="L581" s="6" t="e">
        <f>L580+J581-K581</f>
        <v>#VALUE!</v>
      </c>
      <c r="M581" s="6">
        <f ca="1">IFERROR(__xludf.DUMMYFUNCTION("SUM(FILTER(J:J, H:H=""Tiền mặt"")) - SUM(FILTER(K:K, H:H=""Tiền mặt""))
"),959000)</f>
        <v>959000</v>
      </c>
      <c r="N581" s="6">
        <f ca="1">IFERROR(__xludf.DUMMYFUNCTION("SUM(FILTER(J:J, H:H=""Chuyển khoản"")) - SUM(FILTER(K:K, H:H=""Chuyển khoản""))
"),4468984)</f>
        <v>4468984</v>
      </c>
      <c r="O581" s="5"/>
      <c r="P581" s="5"/>
      <c r="Q581" s="5"/>
      <c r="R581" s="5"/>
      <c r="S581" s="5"/>
    </row>
    <row r="582" spans="1:19" ht="15.75" customHeight="1" x14ac:dyDescent="0.2">
      <c r="A582" s="3">
        <v>46128</v>
      </c>
      <c r="B582" s="4" t="str">
        <f>IF(A582="","","PC-"&amp;TEXT(A582,"mm/yyyy")&amp;"-"&amp;TEXT(COUNTIFS($A$2:A582,"&gt;="&amp;EOMONTH(A582,-1)+1,$A$2:A582,"&lt;="&amp;EOMONTH(A582,0)),"000"))</f>
        <v>PC-04/2026-089</v>
      </c>
      <c r="C582" s="5" t="s">
        <v>994</v>
      </c>
      <c r="D582" s="5" t="s">
        <v>29</v>
      </c>
      <c r="E582" s="5" t="s">
        <v>44</v>
      </c>
      <c r="F582" s="5"/>
      <c r="G582" s="5" t="s">
        <v>995</v>
      </c>
      <c r="H582" s="5" t="s">
        <v>23</v>
      </c>
      <c r="I582" s="6">
        <v>1500000</v>
      </c>
      <c r="J582" s="6">
        <f>IF(D582="Thu",I582,0)</f>
        <v>0</v>
      </c>
      <c r="K582" s="6">
        <f>IF(D582="Chi",I582,0)</f>
        <v>1500000</v>
      </c>
      <c r="L582" s="6" t="e">
        <f>L581+J582-K582</f>
        <v>#VALUE!</v>
      </c>
      <c r="M582" s="6">
        <f ca="1">IFERROR(__xludf.DUMMYFUNCTION("SUM(FILTER(J:J, H:H=""Tiền mặt"")) - SUM(FILTER(K:K, H:H=""Tiền mặt""))
"),959000)</f>
        <v>959000</v>
      </c>
      <c r="N582" s="6">
        <f ca="1">IFERROR(__xludf.DUMMYFUNCTION("SUM(FILTER(J:J, H:H=""Chuyển khoản"")) - SUM(FILTER(K:K, H:H=""Chuyển khoản""))
"),4468984)</f>
        <v>4468984</v>
      </c>
      <c r="O582" s="5"/>
      <c r="P582" s="5"/>
      <c r="Q582" s="5"/>
      <c r="R582" s="5"/>
      <c r="S582" s="5"/>
    </row>
    <row r="583" spans="1:19" ht="15.75" customHeight="1" x14ac:dyDescent="0.2">
      <c r="A583" s="3">
        <v>46128</v>
      </c>
      <c r="B583" s="4" t="str">
        <f>IF(A583="","","PC-"&amp;TEXT(A583,"mm/yyyy")&amp;"-"&amp;TEXT(COUNTIFS($A$2:A583,"&gt;="&amp;EOMONTH(A583,-1)+1,$A$2:A583,"&lt;="&amp;EOMONTH(A583,0)),"000"))</f>
        <v>PC-04/2026-090</v>
      </c>
      <c r="C583" s="5" t="s">
        <v>996</v>
      </c>
      <c r="D583" s="5" t="s">
        <v>29</v>
      </c>
      <c r="E583" s="5" t="s">
        <v>44</v>
      </c>
      <c r="F583" s="5"/>
      <c r="G583" s="5" t="s">
        <v>995</v>
      </c>
      <c r="H583" s="5" t="s">
        <v>23</v>
      </c>
      <c r="I583" s="6">
        <v>1500000</v>
      </c>
      <c r="J583" s="6">
        <f>IF(D583="Thu",I583,0)</f>
        <v>0</v>
      </c>
      <c r="K583" s="6">
        <f>IF(D583="Chi",I583,0)</f>
        <v>1500000</v>
      </c>
      <c r="L583" s="6" t="e">
        <f>L582+J583-K583</f>
        <v>#VALUE!</v>
      </c>
      <c r="M583" s="6">
        <f ca="1">IFERROR(__xludf.DUMMYFUNCTION("SUM(FILTER(J:J, H:H=""Tiền mặt"")) - SUM(FILTER(K:K, H:H=""Tiền mặt""))
"),959000)</f>
        <v>959000</v>
      </c>
      <c r="N583" s="6">
        <f ca="1">IFERROR(__xludf.DUMMYFUNCTION("SUM(FILTER(J:J, H:H=""Chuyển khoản"")) - SUM(FILTER(K:K, H:H=""Chuyển khoản""))
"),4468984)</f>
        <v>4468984</v>
      </c>
      <c r="O583" s="5"/>
      <c r="P583" s="5"/>
      <c r="Q583" s="5"/>
      <c r="R583" s="5"/>
      <c r="S583" s="5"/>
    </row>
    <row r="584" spans="1:19" ht="15.75" customHeight="1" x14ac:dyDescent="0.2">
      <c r="A584" s="3">
        <v>46128</v>
      </c>
      <c r="B584" s="4" t="str">
        <f>IF(A584="","","PC-"&amp;TEXT(A584,"mm/yyyy")&amp;"-"&amp;TEXT(COUNTIFS($A$2:A584,"&gt;="&amp;EOMONTH(A584,-1)+1,$A$2:A584,"&lt;="&amp;EOMONTH(A584,0)),"000"))</f>
        <v>PC-04/2026-091</v>
      </c>
      <c r="C584" s="5" t="s">
        <v>997</v>
      </c>
      <c r="D584" s="5" t="s">
        <v>29</v>
      </c>
      <c r="E584" s="5" t="s">
        <v>47</v>
      </c>
      <c r="F584" s="5"/>
      <c r="G584" s="5" t="s">
        <v>48</v>
      </c>
      <c r="H584" s="5" t="s">
        <v>23</v>
      </c>
      <c r="I584" s="6">
        <v>50000</v>
      </c>
      <c r="J584" s="6">
        <f>IF(D584="Thu",I584,0)</f>
        <v>0</v>
      </c>
      <c r="K584" s="6">
        <f>IF(D584="Chi",I584,0)</f>
        <v>50000</v>
      </c>
      <c r="L584" s="6" t="e">
        <f>L583+J584-K584</f>
        <v>#VALUE!</v>
      </c>
      <c r="M584" s="6">
        <f ca="1">IFERROR(__xludf.DUMMYFUNCTION("SUM(FILTER(J:J, H:H=""Tiền mặt"")) - SUM(FILTER(K:K, H:H=""Tiền mặt""))
"),959000)</f>
        <v>959000</v>
      </c>
      <c r="N584" s="6">
        <f ca="1">IFERROR(__xludf.DUMMYFUNCTION("SUM(FILTER(J:J, H:H=""Chuyển khoản"")) - SUM(FILTER(K:K, H:H=""Chuyển khoản""))
"),4468984)</f>
        <v>4468984</v>
      </c>
      <c r="O584" s="5"/>
      <c r="P584" s="5"/>
      <c r="Q584" s="5"/>
      <c r="R584" s="5"/>
      <c r="S584" s="5"/>
    </row>
    <row r="585" spans="1:19" ht="15.75" customHeight="1" x14ac:dyDescent="0.2">
      <c r="A585" s="3">
        <v>46128</v>
      </c>
      <c r="B585" s="4" t="str">
        <f>IF(A585="","","PC-"&amp;TEXT(A585,"mm/yyyy")&amp;"-"&amp;TEXT(COUNTIFS($A$2:A585,"&gt;="&amp;EOMONTH(A585,-1)+1,$A$2:A585,"&lt;="&amp;EOMONTH(A585,0)),"000"))</f>
        <v>PC-04/2026-092</v>
      </c>
      <c r="C585" s="5" t="s">
        <v>68</v>
      </c>
      <c r="D585" s="5" t="s">
        <v>20</v>
      </c>
      <c r="E585" s="5" t="s">
        <v>68</v>
      </c>
      <c r="F585" s="5"/>
      <c r="G585" s="5" t="s">
        <v>998</v>
      </c>
      <c r="H585" s="5" t="s">
        <v>23</v>
      </c>
      <c r="I585" s="6">
        <v>200000</v>
      </c>
      <c r="J585" s="6">
        <f>IF(D585="Thu",I585,0)</f>
        <v>200000</v>
      </c>
      <c r="K585" s="6">
        <f>IF(D585="Chi",I585,0)</f>
        <v>0</v>
      </c>
      <c r="L585" s="6" t="e">
        <f>L584+J585-K585</f>
        <v>#VALUE!</v>
      </c>
      <c r="M585" s="6">
        <f ca="1">IFERROR(__xludf.DUMMYFUNCTION("SUM(FILTER(J:J, H:H=""Tiền mặt"")) - SUM(FILTER(K:K, H:H=""Tiền mặt""))
"),959000)</f>
        <v>959000</v>
      </c>
      <c r="N585" s="6">
        <f ca="1">IFERROR(__xludf.DUMMYFUNCTION("SUM(FILTER(J:J, H:H=""Chuyển khoản"")) - SUM(FILTER(K:K, H:H=""Chuyển khoản""))
"),4468984)</f>
        <v>4468984</v>
      </c>
      <c r="O585" s="5"/>
      <c r="P585" s="5"/>
      <c r="Q585" s="5"/>
      <c r="R585" s="5"/>
      <c r="S585" s="5"/>
    </row>
    <row r="586" spans="1:19" ht="15.75" customHeight="1" x14ac:dyDescent="0.2">
      <c r="A586" s="3">
        <v>46128</v>
      </c>
      <c r="B586" s="4" t="str">
        <f>IF(A586="","","PC-"&amp;TEXT(A586,"mm/yyyy")&amp;"-"&amp;TEXT(COUNTIFS($A$2:A586,"&gt;="&amp;EOMONTH(A586,-1)+1,$A$2:A586,"&lt;="&amp;EOMONTH(A586,0)),"000"))</f>
        <v>PC-04/2026-093</v>
      </c>
      <c r="C586" s="5" t="s">
        <v>68</v>
      </c>
      <c r="D586" s="5" t="s">
        <v>20</v>
      </c>
      <c r="E586" s="5" t="s">
        <v>68</v>
      </c>
      <c r="F586" s="5"/>
      <c r="G586" s="5" t="s">
        <v>999</v>
      </c>
      <c r="H586" s="5" t="s">
        <v>23</v>
      </c>
      <c r="I586" s="6">
        <v>200000</v>
      </c>
      <c r="J586" s="6">
        <f>IF(D586="Thu",I586,0)</f>
        <v>200000</v>
      </c>
      <c r="K586" s="6">
        <f>IF(D586="Chi",I586,0)</f>
        <v>0</v>
      </c>
      <c r="L586" s="6" t="e">
        <f>L585+J586-K586</f>
        <v>#VALUE!</v>
      </c>
      <c r="M586" s="6">
        <f ca="1">IFERROR(__xludf.DUMMYFUNCTION("SUM(FILTER(J:J, H:H=""Tiền mặt"")) - SUM(FILTER(K:K, H:H=""Tiền mặt""))
"),959000)</f>
        <v>959000</v>
      </c>
      <c r="N586" s="6">
        <f ca="1">IFERROR(__xludf.DUMMYFUNCTION("SUM(FILTER(J:J, H:H=""Chuyển khoản"")) - SUM(FILTER(K:K, H:H=""Chuyển khoản""))
"),4468984)</f>
        <v>4468984</v>
      </c>
      <c r="O586" s="5"/>
      <c r="P586" s="5"/>
      <c r="Q586" s="5"/>
      <c r="R586" s="5"/>
      <c r="S586" s="5"/>
    </row>
    <row r="587" spans="1:19" ht="15.75" customHeight="1" x14ac:dyDescent="0.2">
      <c r="A587" s="3">
        <v>46128</v>
      </c>
      <c r="B587" s="4" t="str">
        <f>IF(A587="","","PC-"&amp;TEXT(A587,"mm/yyyy")&amp;"-"&amp;TEXT(COUNTIFS($A$2:A587,"&gt;="&amp;EOMONTH(A587,-1)+1,$A$2:A587,"&lt;="&amp;EOMONTH(A587,0)),"000"))</f>
        <v>PC-04/2026-094</v>
      </c>
      <c r="C587" s="5" t="s">
        <v>1000</v>
      </c>
      <c r="D587" s="5" t="s">
        <v>29</v>
      </c>
      <c r="E587" s="5" t="s">
        <v>71</v>
      </c>
      <c r="F587" s="5"/>
      <c r="G587" s="5" t="s">
        <v>1001</v>
      </c>
      <c r="H587" s="5" t="s">
        <v>27</v>
      </c>
      <c r="I587" s="6">
        <v>43000</v>
      </c>
      <c r="J587" s="6">
        <f>IF(D587="Thu",I587,0)</f>
        <v>0</v>
      </c>
      <c r="K587" s="6">
        <f>IF(D587="Chi",I587,0)</f>
        <v>43000</v>
      </c>
      <c r="L587" s="6" t="e">
        <f>L586+J587-K587</f>
        <v>#VALUE!</v>
      </c>
      <c r="M587" s="6">
        <f ca="1">IFERROR(__xludf.DUMMYFUNCTION("SUM(FILTER(J:J, H:H=""Tiền mặt"")) - SUM(FILTER(K:K, H:H=""Tiền mặt""))
"),959000)</f>
        <v>959000</v>
      </c>
      <c r="N587" s="6">
        <f ca="1">IFERROR(__xludf.DUMMYFUNCTION("SUM(FILTER(J:J, H:H=""Chuyển khoản"")) - SUM(FILTER(K:K, H:H=""Chuyển khoản""))
"),4468984)</f>
        <v>4468984</v>
      </c>
      <c r="O587" s="5"/>
      <c r="P587" s="5"/>
      <c r="Q587" s="5"/>
      <c r="R587" s="5"/>
      <c r="S587" s="5"/>
    </row>
    <row r="588" spans="1:19" ht="15.75" customHeight="1" x14ac:dyDescent="0.2">
      <c r="A588" s="3">
        <v>46128</v>
      </c>
      <c r="B588" s="4" t="str">
        <f>IF(A588="","","PC-"&amp;TEXT(A588,"mm/yyyy")&amp;"-"&amp;TEXT(COUNTIFS($A$2:A588,"&gt;="&amp;EOMONTH(A588,-1)+1,$A$2:A588,"&lt;="&amp;EOMONTH(A588,0)),"000"))</f>
        <v>PC-04/2026-095</v>
      </c>
      <c r="C588" s="7" t="s">
        <v>1002</v>
      </c>
      <c r="D588" s="5" t="s">
        <v>29</v>
      </c>
      <c r="E588" s="5" t="s">
        <v>88</v>
      </c>
      <c r="F588" s="5"/>
      <c r="G588" s="5" t="s">
        <v>571</v>
      </c>
      <c r="H588" s="5" t="s">
        <v>23</v>
      </c>
      <c r="I588" s="6">
        <v>239000</v>
      </c>
      <c r="J588" s="6">
        <f>IF(D588="Thu",I588,0)</f>
        <v>0</v>
      </c>
      <c r="K588" s="6">
        <f>IF(D588="Chi",I588,0)</f>
        <v>239000</v>
      </c>
      <c r="L588" s="6" t="e">
        <f>L587+J588-K588</f>
        <v>#VALUE!</v>
      </c>
      <c r="M588" s="6">
        <f ca="1">IFERROR(__xludf.DUMMYFUNCTION("SUM(FILTER(J:J, H:H=""Tiền mặt"")) - SUM(FILTER(K:K, H:H=""Tiền mặt""))
"),959000)</f>
        <v>959000</v>
      </c>
      <c r="N588" s="6">
        <f ca="1">IFERROR(__xludf.DUMMYFUNCTION("SUM(FILTER(J:J, H:H=""Chuyển khoản"")) - SUM(FILTER(K:K, H:H=""Chuyển khoản""))
"),4468984)</f>
        <v>4468984</v>
      </c>
      <c r="O588" s="5"/>
      <c r="P588" s="5"/>
      <c r="Q588" s="5"/>
      <c r="R588" s="5"/>
      <c r="S588" s="5"/>
    </row>
    <row r="589" spans="1:19" ht="15.75" customHeight="1" x14ac:dyDescent="0.2">
      <c r="A589" s="3">
        <v>46128</v>
      </c>
      <c r="B589" s="4" t="str">
        <f>IF(A589="","","PC-"&amp;TEXT(A589,"mm/yyyy")&amp;"-"&amp;TEXT(COUNTIFS($A$2:A589,"&gt;="&amp;EOMONTH(A589,-1)+1,$A$2:A589,"&lt;="&amp;EOMONTH(A589,0)),"000"))</f>
        <v>PC-04/2026-096</v>
      </c>
      <c r="C589" s="5" t="s">
        <v>1003</v>
      </c>
      <c r="D589" s="5" t="s">
        <v>29</v>
      </c>
      <c r="E589" s="5" t="s">
        <v>51</v>
      </c>
      <c r="F589" s="5"/>
      <c r="G589" s="5" t="s">
        <v>52</v>
      </c>
      <c r="H589" s="5" t="s">
        <v>27</v>
      </c>
      <c r="I589" s="6">
        <v>155017</v>
      </c>
      <c r="J589" s="6">
        <f>IF(D589="Thu",I589,0)</f>
        <v>0</v>
      </c>
      <c r="K589" s="6">
        <f>IF(D589="Chi",I589,0)</f>
        <v>155017</v>
      </c>
      <c r="L589" s="6" t="e">
        <f>L588+J589-K589</f>
        <v>#VALUE!</v>
      </c>
      <c r="M589" s="6">
        <f ca="1">IFERROR(__xludf.DUMMYFUNCTION("SUM(FILTER(J:J, H:H=""Tiền mặt"")) - SUM(FILTER(K:K, H:H=""Tiền mặt""))
"),959000)</f>
        <v>959000</v>
      </c>
      <c r="N589" s="6">
        <f ca="1">IFERROR(__xludf.DUMMYFUNCTION("SUM(FILTER(J:J, H:H=""Chuyển khoản"")) - SUM(FILTER(K:K, H:H=""Chuyển khoản""))
"),4468984)</f>
        <v>4468984</v>
      </c>
      <c r="O589" s="5"/>
      <c r="P589" s="5"/>
      <c r="Q589" s="5"/>
      <c r="R589" s="5"/>
      <c r="S589" s="5"/>
    </row>
    <row r="590" spans="1:19" ht="15.75" customHeight="1" x14ac:dyDescent="0.2">
      <c r="A590" s="3">
        <v>46128</v>
      </c>
      <c r="B590" s="4" t="str">
        <f>IF(A590="","","PC-"&amp;TEXT(A590,"mm/yyyy")&amp;"-"&amp;TEXT(COUNTIFS($A$2:A590,"&gt;="&amp;EOMONTH(A590,-1)+1,$A$2:A590,"&lt;="&amp;EOMONTH(A590,0)),"000"))</f>
        <v>PC-04/2026-097</v>
      </c>
      <c r="C590" s="5" t="s">
        <v>1004</v>
      </c>
      <c r="D590" s="5" t="s">
        <v>29</v>
      </c>
      <c r="E590" s="5" t="s">
        <v>51</v>
      </c>
      <c r="F590" s="5"/>
      <c r="G590" s="5" t="s">
        <v>52</v>
      </c>
      <c r="H590" s="5" t="s">
        <v>27</v>
      </c>
      <c r="I590" s="6">
        <v>79200</v>
      </c>
      <c r="J590" s="6">
        <f>IF(D590="Thu",I590,0)</f>
        <v>0</v>
      </c>
      <c r="K590" s="6">
        <f>IF(D590="Chi",I590,0)</f>
        <v>79200</v>
      </c>
      <c r="L590" s="6" t="e">
        <f>L589+J590-K590</f>
        <v>#VALUE!</v>
      </c>
      <c r="M590" s="6">
        <f ca="1">IFERROR(__xludf.DUMMYFUNCTION("SUM(FILTER(J:J, H:H=""Tiền mặt"")) - SUM(FILTER(K:K, H:H=""Tiền mặt""))
"),959000)</f>
        <v>959000</v>
      </c>
      <c r="N590" s="6">
        <f ca="1">IFERROR(__xludf.DUMMYFUNCTION("SUM(FILTER(J:J, H:H=""Chuyển khoản"")) - SUM(FILTER(K:K, H:H=""Chuyển khoản""))
"),4468984)</f>
        <v>4468984</v>
      </c>
      <c r="O590" s="5"/>
      <c r="P590" s="5"/>
      <c r="Q590" s="5"/>
      <c r="R590" s="5"/>
      <c r="S590" s="5"/>
    </row>
    <row r="591" spans="1:19" ht="15.75" customHeight="1" x14ac:dyDescent="0.2">
      <c r="A591" s="3">
        <v>46128</v>
      </c>
      <c r="B591" s="4" t="str">
        <f>IF(A591="","","PC-"&amp;TEXT(A591,"mm/yyyy")&amp;"-"&amp;TEXT(COUNTIFS($A$2:A591,"&gt;="&amp;EOMONTH(A591,-1)+1,$A$2:A591,"&lt;="&amp;EOMONTH(A591,0)),"000"))</f>
        <v>PC-04/2026-098</v>
      </c>
      <c r="C591" s="5" t="s">
        <v>1005</v>
      </c>
      <c r="D591" s="5" t="s">
        <v>29</v>
      </c>
      <c r="E591" s="5" t="s">
        <v>41</v>
      </c>
      <c r="F591" s="5"/>
      <c r="G591" s="5" t="s">
        <v>192</v>
      </c>
      <c r="H591" s="5" t="s">
        <v>23</v>
      </c>
      <c r="I591" s="6">
        <v>100000</v>
      </c>
      <c r="J591" s="6">
        <f>IF(D591="Thu",I591,0)</f>
        <v>0</v>
      </c>
      <c r="K591" s="6">
        <f>IF(D591="Chi",I591,0)</f>
        <v>100000</v>
      </c>
      <c r="L591" s="6" t="e">
        <f>L590+J591-K591</f>
        <v>#VALUE!</v>
      </c>
      <c r="M591" s="6">
        <f ca="1">IFERROR(__xludf.DUMMYFUNCTION("SUM(FILTER(J:J, H:H=""Tiền mặt"")) - SUM(FILTER(K:K, H:H=""Tiền mặt""))
"),959000)</f>
        <v>959000</v>
      </c>
      <c r="N591" s="6">
        <f ca="1">IFERROR(__xludf.DUMMYFUNCTION("SUM(FILTER(J:J, H:H=""Chuyển khoản"")) - SUM(FILTER(K:K, H:H=""Chuyển khoản""))
"),4468984)</f>
        <v>4468984</v>
      </c>
      <c r="O591" s="5"/>
      <c r="P591" s="5"/>
      <c r="Q591" s="5"/>
      <c r="R591" s="5"/>
      <c r="S591" s="5"/>
    </row>
    <row r="592" spans="1:19" ht="15.75" customHeight="1" x14ac:dyDescent="0.2">
      <c r="A592" s="3">
        <v>46128</v>
      </c>
      <c r="B592" s="4" t="str">
        <f>IF(A592="","","PC-"&amp;TEXT(A592,"mm/yyyy")&amp;"-"&amp;TEXT(COUNTIFS($A$2:A592,"&gt;="&amp;EOMONTH(A592,-1)+1,$A$2:A592,"&lt;="&amp;EOMONTH(A592,0)),"000"))</f>
        <v>PC-04/2026-099</v>
      </c>
      <c r="C592" s="5" t="s">
        <v>1006</v>
      </c>
      <c r="D592" s="5" t="s">
        <v>29</v>
      </c>
      <c r="E592" s="5" t="s">
        <v>71</v>
      </c>
      <c r="F592" s="5"/>
      <c r="G592" s="5" t="s">
        <v>1007</v>
      </c>
      <c r="H592" s="5" t="s">
        <v>27</v>
      </c>
      <c r="I592" s="6">
        <v>42000</v>
      </c>
      <c r="J592" s="6">
        <f>IF(D592="Thu",I592,0)</f>
        <v>0</v>
      </c>
      <c r="K592" s="6">
        <f>IF(D592="Chi",I592,0)</f>
        <v>42000</v>
      </c>
      <c r="L592" s="6" t="e">
        <f>L591+J592-K592</f>
        <v>#VALUE!</v>
      </c>
      <c r="M592" s="6">
        <f ca="1">IFERROR(__xludf.DUMMYFUNCTION("SUM(FILTER(J:J, H:H=""Tiền mặt"")) - SUM(FILTER(K:K, H:H=""Tiền mặt""))
"),959000)</f>
        <v>959000</v>
      </c>
      <c r="N592" s="6">
        <f ca="1">IFERROR(__xludf.DUMMYFUNCTION("SUM(FILTER(J:J, H:H=""Chuyển khoản"")) - SUM(FILTER(K:K, H:H=""Chuyển khoản""))
"),4468984)</f>
        <v>4468984</v>
      </c>
      <c r="O592" s="5"/>
      <c r="P592" s="5"/>
      <c r="Q592" s="5"/>
      <c r="R592" s="5"/>
      <c r="S592" s="5"/>
    </row>
    <row r="593" spans="1:19" ht="15.75" customHeight="1" x14ac:dyDescent="0.2">
      <c r="A593" s="3">
        <v>46128</v>
      </c>
      <c r="B593" s="4" t="str">
        <f>IF(A593="","","PC-"&amp;TEXT(A593,"mm/yyyy")&amp;"-"&amp;TEXT(COUNTIFS($A$2:A593,"&gt;="&amp;EOMONTH(A593,-1)+1,$A$2:A593,"&lt;="&amp;EOMONTH(A593,0)),"000"))</f>
        <v>PC-04/2026-100</v>
      </c>
      <c r="C593" s="5" t="s">
        <v>1008</v>
      </c>
      <c r="D593" s="5" t="s">
        <v>29</v>
      </c>
      <c r="E593" s="5" t="s">
        <v>71</v>
      </c>
      <c r="F593" s="5"/>
      <c r="G593" s="5" t="s">
        <v>219</v>
      </c>
      <c r="H593" s="5" t="s">
        <v>27</v>
      </c>
      <c r="I593" s="6">
        <v>73000</v>
      </c>
      <c r="J593" s="6">
        <f>IF(D593="Thu",I593,0)</f>
        <v>0</v>
      </c>
      <c r="K593" s="6">
        <f>IF(D593="Chi",I593,0)</f>
        <v>73000</v>
      </c>
      <c r="L593" s="6" t="e">
        <f>L592+J593-K593</f>
        <v>#VALUE!</v>
      </c>
      <c r="M593" s="6">
        <f ca="1">IFERROR(__xludf.DUMMYFUNCTION("SUM(FILTER(J:J, H:H=""Tiền mặt"")) - SUM(FILTER(K:K, H:H=""Tiền mặt""))
"),959000)</f>
        <v>959000</v>
      </c>
      <c r="N593" s="6">
        <f ca="1">IFERROR(__xludf.DUMMYFUNCTION("SUM(FILTER(J:J, H:H=""Chuyển khoản"")) - SUM(FILTER(K:K, H:H=""Chuyển khoản""))
"),4468984)</f>
        <v>4468984</v>
      </c>
      <c r="O593" s="5"/>
      <c r="P593" s="5"/>
      <c r="Q593" s="5"/>
      <c r="R593" s="5"/>
      <c r="S593" s="5"/>
    </row>
    <row r="594" spans="1:19" ht="15.75" customHeight="1" x14ac:dyDescent="0.2">
      <c r="A594" s="3">
        <v>46127</v>
      </c>
      <c r="B594" s="4" t="str">
        <f>IF(A594="","","PC-"&amp;TEXT(A594,"mm/yyyy")&amp;"-"&amp;TEXT(COUNTIFS($A$2:A594,"&gt;="&amp;EOMONTH(A594,-1)+1,$A$2:A594,"&lt;="&amp;EOMONTH(A594,0)),"000"))</f>
        <v>PC-04/2026-101</v>
      </c>
      <c r="C594" s="7" t="s">
        <v>979</v>
      </c>
      <c r="D594" s="5" t="s">
        <v>29</v>
      </c>
      <c r="E594" s="5" t="s">
        <v>41</v>
      </c>
      <c r="F594" s="5"/>
      <c r="G594" s="5" t="s">
        <v>82</v>
      </c>
      <c r="H594" s="5" t="s">
        <v>23</v>
      </c>
      <c r="I594" s="6">
        <v>100000</v>
      </c>
      <c r="J594" s="6">
        <f>IF(D594="Thu",I594,0)</f>
        <v>0</v>
      </c>
      <c r="K594" s="6">
        <f>IF(D594="Chi",I594,0)</f>
        <v>100000</v>
      </c>
      <c r="L594" s="6" t="e">
        <f>L593+J594-K594</f>
        <v>#VALUE!</v>
      </c>
      <c r="M594" s="6">
        <f ca="1">IFERROR(__xludf.DUMMYFUNCTION("SUM(FILTER(J:J, H:H=""Tiền mặt"")) - SUM(FILTER(K:K, H:H=""Tiền mặt""))
"),959000)</f>
        <v>959000</v>
      </c>
      <c r="N594" s="6">
        <f ca="1">IFERROR(__xludf.DUMMYFUNCTION("SUM(FILTER(J:J, H:H=""Chuyển khoản"")) - SUM(FILTER(K:K, H:H=""Chuyển khoản""))
"),4468984)</f>
        <v>4468984</v>
      </c>
      <c r="O594" s="5"/>
      <c r="P594" s="5"/>
      <c r="Q594" s="5"/>
      <c r="R594" s="5"/>
      <c r="S594" s="5"/>
    </row>
    <row r="595" spans="1:19" ht="15.75" customHeight="1" x14ac:dyDescent="0.2">
      <c r="A595" s="3">
        <v>46127</v>
      </c>
      <c r="B595" s="4" t="str">
        <f>IF(A595="","","PC-"&amp;TEXT(A595,"mm/yyyy")&amp;"-"&amp;TEXT(COUNTIFS($A$2:A595,"&gt;="&amp;EOMONTH(A595,-1)+1,$A$2:A595,"&lt;="&amp;EOMONTH(A595,0)),"000"))</f>
        <v>PC-04/2026-102</v>
      </c>
      <c r="C595" s="5" t="s">
        <v>980</v>
      </c>
      <c r="D595" s="5" t="s">
        <v>29</v>
      </c>
      <c r="E595" s="5" t="s">
        <v>141</v>
      </c>
      <c r="F595" s="5"/>
      <c r="G595" s="5" t="s">
        <v>52</v>
      </c>
      <c r="H595" s="5" t="s">
        <v>27</v>
      </c>
      <c r="I595" s="6">
        <v>15000</v>
      </c>
      <c r="J595" s="6">
        <f>IF(D595="Thu",I595,0)</f>
        <v>0</v>
      </c>
      <c r="K595" s="6">
        <f>IF(D595="Chi",I595,0)</f>
        <v>15000</v>
      </c>
      <c r="L595" s="6" t="e">
        <f>L594+J595-K595</f>
        <v>#VALUE!</v>
      </c>
      <c r="M595" s="6">
        <f ca="1">IFERROR(__xludf.DUMMYFUNCTION("SUM(FILTER(J:J, H:H=""Tiền mặt"")) - SUM(FILTER(K:K, H:H=""Tiền mặt""))
"),959000)</f>
        <v>959000</v>
      </c>
      <c r="N595" s="6">
        <f ca="1">IFERROR(__xludf.DUMMYFUNCTION("SUM(FILTER(J:J, H:H=""Chuyển khoản"")) - SUM(FILTER(K:K, H:H=""Chuyển khoản""))
"),4468984)</f>
        <v>4468984</v>
      </c>
      <c r="O595" s="5"/>
      <c r="P595" s="5"/>
      <c r="Q595" s="5"/>
      <c r="R595" s="5"/>
      <c r="S595" s="5"/>
    </row>
    <row r="596" spans="1:19" ht="15.75" customHeight="1" x14ac:dyDescent="0.2">
      <c r="A596" s="3">
        <v>46127</v>
      </c>
      <c r="B596" s="4" t="str">
        <f>IF(A596="","","PC-"&amp;TEXT(A596,"mm/yyyy")&amp;"-"&amp;TEXT(COUNTIFS($A$2:A596,"&gt;="&amp;EOMONTH(A596,-1)+1,$A$2:A596,"&lt;="&amp;EOMONTH(A596,0)),"000"))</f>
        <v>PC-04/2026-103</v>
      </c>
      <c r="C596" s="5" t="s">
        <v>981</v>
      </c>
      <c r="D596" s="5" t="s">
        <v>20</v>
      </c>
      <c r="E596" s="5" t="s">
        <v>21</v>
      </c>
      <c r="F596" s="5"/>
      <c r="G596" s="5" t="s">
        <v>22</v>
      </c>
      <c r="H596" s="5" t="s">
        <v>27</v>
      </c>
      <c r="I596" s="6">
        <v>10000000</v>
      </c>
      <c r="J596" s="6">
        <f>IF(D596="Thu",I596,0)</f>
        <v>10000000</v>
      </c>
      <c r="K596" s="6">
        <f>IF(D596="Chi",I596,0)</f>
        <v>0</v>
      </c>
      <c r="L596" s="6" t="e">
        <f>L595+J596-K596</f>
        <v>#VALUE!</v>
      </c>
      <c r="M596" s="6">
        <f ca="1">IFERROR(__xludf.DUMMYFUNCTION("SUM(FILTER(J:J, H:H=""Tiền mặt"")) - SUM(FILTER(K:K, H:H=""Tiền mặt""))
"),959000)</f>
        <v>959000</v>
      </c>
      <c r="N596" s="6">
        <f ca="1">IFERROR(__xludf.DUMMYFUNCTION("SUM(FILTER(J:J, H:H=""Chuyển khoản"")) - SUM(FILTER(K:K, H:H=""Chuyển khoản""))
"),4468984)</f>
        <v>4468984</v>
      </c>
      <c r="O596" s="5"/>
      <c r="P596" s="5"/>
      <c r="Q596" s="5"/>
      <c r="R596" s="5"/>
      <c r="S596" s="5"/>
    </row>
    <row r="597" spans="1:19" ht="15.75" customHeight="1" x14ac:dyDescent="0.2">
      <c r="A597" s="3">
        <v>46127</v>
      </c>
      <c r="B597" s="4" t="str">
        <f>IF(A597="","","PC-"&amp;TEXT(A597,"mm/yyyy")&amp;"-"&amp;TEXT(COUNTIFS($A$2:A597,"&gt;="&amp;EOMONTH(A597,-1)+1,$A$2:A597,"&lt;="&amp;EOMONTH(A597,0)),"000"))</f>
        <v>PC-04/2026-104</v>
      </c>
      <c r="C597" s="5" t="s">
        <v>982</v>
      </c>
      <c r="D597" s="5" t="s">
        <v>29</v>
      </c>
      <c r="E597" s="5" t="s">
        <v>41</v>
      </c>
      <c r="F597" s="5"/>
      <c r="G597" s="5" t="s">
        <v>82</v>
      </c>
      <c r="H597" s="5" t="s">
        <v>23</v>
      </c>
      <c r="I597" s="6">
        <v>100000</v>
      </c>
      <c r="J597" s="6">
        <f>IF(D597="Thu",I597,0)</f>
        <v>0</v>
      </c>
      <c r="K597" s="6">
        <f>IF(D597="Chi",I597,0)</f>
        <v>100000</v>
      </c>
      <c r="L597" s="6" t="e">
        <f>L596+J597-K597</f>
        <v>#VALUE!</v>
      </c>
      <c r="M597" s="6">
        <f ca="1">IFERROR(__xludf.DUMMYFUNCTION("SUM(FILTER(J:J, H:H=""Tiền mặt"")) - SUM(FILTER(K:K, H:H=""Tiền mặt""))
"),959000)</f>
        <v>959000</v>
      </c>
      <c r="N597" s="6">
        <f ca="1">IFERROR(__xludf.DUMMYFUNCTION("SUM(FILTER(J:J, H:H=""Chuyển khoản"")) - SUM(FILTER(K:K, H:H=""Chuyển khoản""))
"),4468984)</f>
        <v>4468984</v>
      </c>
      <c r="O597" s="5"/>
      <c r="P597" s="5"/>
      <c r="Q597" s="5"/>
      <c r="R597" s="5"/>
      <c r="S597" s="5"/>
    </row>
    <row r="598" spans="1:19" ht="15.75" customHeight="1" x14ac:dyDescent="0.2">
      <c r="A598" s="3">
        <v>46127</v>
      </c>
      <c r="B598" s="4" t="str">
        <f>IF(A598="","","PC-"&amp;TEXT(A598,"mm/yyyy")&amp;"-"&amp;TEXT(COUNTIFS($A$2:A598,"&gt;="&amp;EOMONTH(A598,-1)+1,$A$2:A598,"&lt;="&amp;EOMONTH(A598,0)),"000"))</f>
        <v>PC-04/2026-105</v>
      </c>
      <c r="C598" s="5" t="s">
        <v>983</v>
      </c>
      <c r="D598" s="5" t="s">
        <v>29</v>
      </c>
      <c r="E598" s="5" t="s">
        <v>141</v>
      </c>
      <c r="F598" s="5"/>
      <c r="G598" s="5" t="s">
        <v>52</v>
      </c>
      <c r="H598" s="5" t="s">
        <v>27</v>
      </c>
      <c r="I598" s="6">
        <v>15000</v>
      </c>
      <c r="J598" s="6">
        <f>IF(D598="Thu",I598,0)</f>
        <v>0</v>
      </c>
      <c r="K598" s="6">
        <f>IF(D598="Chi",I598,0)</f>
        <v>15000</v>
      </c>
      <c r="L598" s="6" t="e">
        <f>L597+J598-K598</f>
        <v>#VALUE!</v>
      </c>
      <c r="M598" s="6">
        <f ca="1">IFERROR(__xludf.DUMMYFUNCTION("SUM(FILTER(J:J, H:H=""Tiền mặt"")) - SUM(FILTER(K:K, H:H=""Tiền mặt""))
"),959000)</f>
        <v>959000</v>
      </c>
      <c r="N598" s="6">
        <f ca="1">IFERROR(__xludf.DUMMYFUNCTION("SUM(FILTER(J:J, H:H=""Chuyển khoản"")) - SUM(FILTER(K:K, H:H=""Chuyển khoản""))
"),4468984)</f>
        <v>4468984</v>
      </c>
      <c r="O598" s="5"/>
      <c r="P598" s="5"/>
      <c r="Q598" s="5"/>
      <c r="R598" s="5"/>
      <c r="S598" s="5"/>
    </row>
    <row r="599" spans="1:19" ht="15.75" customHeight="1" x14ac:dyDescent="0.2">
      <c r="A599" s="3">
        <v>46127</v>
      </c>
      <c r="B599" s="4" t="str">
        <f>IF(A599="","","PC-"&amp;TEXT(A599,"mm/yyyy")&amp;"-"&amp;TEXT(COUNTIFS($A$2:A599,"&gt;="&amp;EOMONTH(A599,-1)+1,$A$2:A599,"&lt;="&amp;EOMONTH(A599,0)),"000"))</f>
        <v>PC-04/2026-106</v>
      </c>
      <c r="C599" s="5" t="s">
        <v>68</v>
      </c>
      <c r="D599" s="5" t="s">
        <v>20</v>
      </c>
      <c r="E599" s="5" t="s">
        <v>68</v>
      </c>
      <c r="F599" s="5"/>
      <c r="G599" s="5" t="s">
        <v>984</v>
      </c>
      <c r="H599" s="5" t="s">
        <v>23</v>
      </c>
      <c r="I599" s="6">
        <v>200000</v>
      </c>
      <c r="J599" s="6">
        <f>IF(D599="Thu",I599,0)</f>
        <v>200000</v>
      </c>
      <c r="K599" s="6">
        <f>IF(D599="Chi",I599,0)</f>
        <v>0</v>
      </c>
      <c r="L599" s="6" t="e">
        <f>L598+J599-K599</f>
        <v>#VALUE!</v>
      </c>
      <c r="M599" s="6">
        <f ca="1">IFERROR(__xludf.DUMMYFUNCTION("SUM(FILTER(J:J, H:H=""Tiền mặt"")) - SUM(FILTER(K:K, H:H=""Tiền mặt""))
"),959000)</f>
        <v>959000</v>
      </c>
      <c r="N599" s="6">
        <f ca="1">IFERROR(__xludf.DUMMYFUNCTION("SUM(FILTER(J:J, H:H=""Chuyển khoản"")) - SUM(FILTER(K:K, H:H=""Chuyển khoản""))
"),4468984)</f>
        <v>4468984</v>
      </c>
      <c r="O599" s="5"/>
      <c r="P599" s="5"/>
      <c r="Q599" s="5"/>
      <c r="R599" s="5"/>
      <c r="S599" s="5"/>
    </row>
    <row r="600" spans="1:19" ht="15.75" customHeight="1" x14ac:dyDescent="0.2">
      <c r="A600" s="3">
        <v>46127</v>
      </c>
      <c r="B600" s="4" t="str">
        <f>IF(A600="","","PC-"&amp;TEXT(A600,"mm/yyyy")&amp;"-"&amp;TEXT(COUNTIFS($A$2:A600,"&gt;="&amp;EOMONTH(A600,-1)+1,$A$2:A600,"&lt;="&amp;EOMONTH(A600,0)),"000"))</f>
        <v>PC-04/2026-107</v>
      </c>
      <c r="C600" s="5" t="s">
        <v>657</v>
      </c>
      <c r="D600" s="5" t="s">
        <v>29</v>
      </c>
      <c r="E600" s="5" t="s">
        <v>30</v>
      </c>
      <c r="F600" s="5"/>
      <c r="G600" s="5" t="s">
        <v>282</v>
      </c>
      <c r="H600" s="5" t="s">
        <v>27</v>
      </c>
      <c r="I600" s="6">
        <v>225000</v>
      </c>
      <c r="J600" s="6">
        <f>IF(D600="Thu",I600,0)</f>
        <v>0</v>
      </c>
      <c r="K600" s="6">
        <f>IF(D600="Chi",I600,0)</f>
        <v>225000</v>
      </c>
      <c r="L600" s="6" t="e">
        <f>L599+J600-K600</f>
        <v>#VALUE!</v>
      </c>
      <c r="M600" s="6">
        <f ca="1">IFERROR(__xludf.DUMMYFUNCTION("SUM(FILTER(J:J, H:H=""Tiền mặt"")) - SUM(FILTER(K:K, H:H=""Tiền mặt""))
"),959000)</f>
        <v>959000</v>
      </c>
      <c r="N600" s="6">
        <f ca="1">IFERROR(__xludf.DUMMYFUNCTION("SUM(FILTER(J:J, H:H=""Chuyển khoản"")) - SUM(FILTER(K:K, H:H=""Chuyển khoản""))
"),4468984)</f>
        <v>4468984</v>
      </c>
      <c r="O600" s="5"/>
      <c r="P600" s="5"/>
      <c r="Q600" s="5"/>
      <c r="R600" s="5"/>
      <c r="S600" s="5"/>
    </row>
    <row r="601" spans="1:19" ht="15.75" customHeight="1" x14ac:dyDescent="0.2">
      <c r="A601" s="3">
        <v>46127</v>
      </c>
      <c r="B601" s="4" t="str">
        <f>IF(A601="","","PC-"&amp;TEXT(A601,"mm/yyyy")&amp;"-"&amp;TEXT(COUNTIFS($A$2:A601,"&gt;="&amp;EOMONTH(A601,-1)+1,$A$2:A601,"&lt;="&amp;EOMONTH(A601,0)),"000"))</f>
        <v>PC-04/2026-108</v>
      </c>
      <c r="C601" s="5" t="s">
        <v>985</v>
      </c>
      <c r="D601" s="5" t="s">
        <v>29</v>
      </c>
      <c r="E601" s="5" t="s">
        <v>71</v>
      </c>
      <c r="F601" s="5"/>
      <c r="G601" s="5" t="s">
        <v>571</v>
      </c>
      <c r="H601" s="5" t="s">
        <v>27</v>
      </c>
      <c r="I601" s="6">
        <v>72000</v>
      </c>
      <c r="J601" s="6">
        <f>IF(D601="Thu",I601,0)</f>
        <v>0</v>
      </c>
      <c r="K601" s="6">
        <f>IF(D601="Chi",I601,0)</f>
        <v>72000</v>
      </c>
      <c r="L601" s="6" t="e">
        <f>L600+J601-K601</f>
        <v>#VALUE!</v>
      </c>
      <c r="M601" s="6">
        <f ca="1">IFERROR(__xludf.DUMMYFUNCTION("SUM(FILTER(J:J, H:H=""Tiền mặt"")) - SUM(FILTER(K:K, H:H=""Tiền mặt""))
"),959000)</f>
        <v>959000</v>
      </c>
      <c r="N601" s="6">
        <f ca="1">IFERROR(__xludf.DUMMYFUNCTION("SUM(FILTER(J:J, H:H=""Chuyển khoản"")) - SUM(FILTER(K:K, H:H=""Chuyển khoản""))
"),4468984)</f>
        <v>4468984</v>
      </c>
      <c r="O601" s="5"/>
      <c r="P601" s="5"/>
      <c r="Q601" s="5"/>
      <c r="R601" s="5"/>
      <c r="S601" s="5"/>
    </row>
    <row r="602" spans="1:19" ht="15.75" customHeight="1" x14ac:dyDescent="0.2">
      <c r="A602" s="3">
        <v>46127</v>
      </c>
      <c r="B602" s="4" t="str">
        <f>IF(A602="","","PC-"&amp;TEXT(A602,"mm/yyyy")&amp;"-"&amp;TEXT(COUNTIFS($A$2:A602,"&gt;="&amp;EOMONTH(A602,-1)+1,$A$2:A602,"&lt;="&amp;EOMONTH(A602,0)),"000"))</f>
        <v>PC-04/2026-109</v>
      </c>
      <c r="C602" s="5" t="s">
        <v>986</v>
      </c>
      <c r="D602" s="5" t="s">
        <v>29</v>
      </c>
      <c r="E602" s="5" t="s">
        <v>71</v>
      </c>
      <c r="F602" s="5"/>
      <c r="G602" s="5" t="s">
        <v>987</v>
      </c>
      <c r="H602" s="5" t="s">
        <v>27</v>
      </c>
      <c r="I602" s="6">
        <v>90000</v>
      </c>
      <c r="J602" s="6">
        <f>IF(D602="Thu",I602,0)</f>
        <v>0</v>
      </c>
      <c r="K602" s="6">
        <f>IF(D602="Chi",I602,0)</f>
        <v>90000</v>
      </c>
      <c r="L602" s="6" t="e">
        <f>L601+J602-K602</f>
        <v>#VALUE!</v>
      </c>
      <c r="M602" s="6">
        <f ca="1">IFERROR(__xludf.DUMMYFUNCTION("SUM(FILTER(J:J, H:H=""Tiền mặt"")) - SUM(FILTER(K:K, H:H=""Tiền mặt""))
"),959000)</f>
        <v>959000</v>
      </c>
      <c r="N602" s="6">
        <f ca="1">IFERROR(__xludf.DUMMYFUNCTION("SUM(FILTER(J:J, H:H=""Chuyển khoản"")) - SUM(FILTER(K:K, H:H=""Chuyển khoản""))
"),4468984)</f>
        <v>4468984</v>
      </c>
      <c r="O602" s="5"/>
      <c r="P602" s="5"/>
      <c r="Q602" s="5"/>
      <c r="R602" s="5"/>
      <c r="S602" s="5"/>
    </row>
    <row r="603" spans="1:19" ht="15.75" customHeight="1" x14ac:dyDescent="0.2">
      <c r="A603" s="3">
        <v>46127</v>
      </c>
      <c r="B603" s="4" t="str">
        <f>IF(A603="","","PC-"&amp;TEXT(A603,"mm/yyyy")&amp;"-"&amp;TEXT(COUNTIFS($A$2:A603,"&gt;="&amp;EOMONTH(A603,-1)+1,$A$2:A603,"&lt;="&amp;EOMONTH(A603,0)),"000"))</f>
        <v>PC-04/2026-110</v>
      </c>
      <c r="C603" s="5" t="s">
        <v>988</v>
      </c>
      <c r="D603" s="5" t="s">
        <v>29</v>
      </c>
      <c r="E603" s="5" t="s">
        <v>71</v>
      </c>
      <c r="F603" s="5"/>
      <c r="G603" s="5" t="s">
        <v>219</v>
      </c>
      <c r="H603" s="5" t="s">
        <v>27</v>
      </c>
      <c r="I603" s="6">
        <v>67000</v>
      </c>
      <c r="J603" s="6">
        <f>IF(D603="Thu",I603,0)</f>
        <v>0</v>
      </c>
      <c r="K603" s="6">
        <f>IF(D603="Chi",I603,0)</f>
        <v>67000</v>
      </c>
      <c r="L603" s="6" t="e">
        <f>L602+J603-K603</f>
        <v>#VALUE!</v>
      </c>
      <c r="M603" s="6">
        <f ca="1">IFERROR(__xludf.DUMMYFUNCTION("SUM(FILTER(J:J, H:H=""Tiền mặt"")) - SUM(FILTER(K:K, H:H=""Tiền mặt""))
"),959000)</f>
        <v>959000</v>
      </c>
      <c r="N603" s="6">
        <f ca="1">IFERROR(__xludf.DUMMYFUNCTION("SUM(FILTER(J:J, H:H=""Chuyển khoản"")) - SUM(FILTER(K:K, H:H=""Chuyển khoản""))
"),4468984)</f>
        <v>4468984</v>
      </c>
      <c r="O603" s="5"/>
      <c r="P603" s="5"/>
      <c r="Q603" s="5"/>
      <c r="R603" s="5"/>
      <c r="S603" s="5"/>
    </row>
    <row r="604" spans="1:19" ht="15.75" customHeight="1" x14ac:dyDescent="0.2">
      <c r="A604" s="3">
        <v>46127</v>
      </c>
      <c r="B604" s="4" t="str">
        <f>IF(A604="","","PC-"&amp;TEXT(A604,"mm/yyyy")&amp;"-"&amp;TEXT(COUNTIFS($A$2:A604,"&gt;="&amp;EOMONTH(A604,-1)+1,$A$2:A604,"&lt;="&amp;EOMONTH(A604,0)),"000"))</f>
        <v>PC-04/2026-111</v>
      </c>
      <c r="C604" s="5" t="s">
        <v>989</v>
      </c>
      <c r="D604" s="5" t="s">
        <v>29</v>
      </c>
      <c r="E604" s="5" t="s">
        <v>41</v>
      </c>
      <c r="F604" s="5"/>
      <c r="G604" s="5" t="s">
        <v>192</v>
      </c>
      <c r="H604" s="5" t="s">
        <v>23</v>
      </c>
      <c r="I604" s="6">
        <v>100000</v>
      </c>
      <c r="J604" s="6">
        <f>IF(D604="Thu",I604,0)</f>
        <v>0</v>
      </c>
      <c r="K604" s="6">
        <f>IF(D604="Chi",I604,0)</f>
        <v>100000</v>
      </c>
      <c r="L604" s="6" t="e">
        <f>L603+J604-K604</f>
        <v>#VALUE!</v>
      </c>
      <c r="M604" s="6">
        <f ca="1">IFERROR(__xludf.DUMMYFUNCTION("SUM(FILTER(J:J, H:H=""Tiền mặt"")) - SUM(FILTER(K:K, H:H=""Tiền mặt""))
"),959000)</f>
        <v>959000</v>
      </c>
      <c r="N604" s="6">
        <f ca="1">IFERROR(__xludf.DUMMYFUNCTION("SUM(FILTER(J:J, H:H=""Chuyển khoản"")) - SUM(FILTER(K:K, H:H=""Chuyển khoản""))
"),4468984)</f>
        <v>4468984</v>
      </c>
      <c r="O604" s="5"/>
      <c r="P604" s="5"/>
      <c r="Q604" s="5"/>
      <c r="R604" s="5"/>
      <c r="S604" s="5"/>
    </row>
    <row r="605" spans="1:19" ht="15.75" customHeight="1" x14ac:dyDescent="0.2">
      <c r="A605" s="3">
        <v>46127</v>
      </c>
      <c r="B605" s="4" t="str">
        <f>IF(A605="","","PC-"&amp;TEXT(A605,"mm/yyyy")&amp;"-"&amp;TEXT(COUNTIFS($A$2:A605,"&gt;="&amp;EOMONTH(A605,-1)+1,$A$2:A605,"&lt;="&amp;EOMONTH(A605,0)),"000"))</f>
        <v>PC-04/2026-112</v>
      </c>
      <c r="C605" s="5" t="s">
        <v>990</v>
      </c>
      <c r="D605" s="5" t="s">
        <v>29</v>
      </c>
      <c r="E605" s="5" t="s">
        <v>44</v>
      </c>
      <c r="F605" s="5"/>
      <c r="G605" s="5" t="s">
        <v>103</v>
      </c>
      <c r="H605" s="5" t="s">
        <v>23</v>
      </c>
      <c r="I605" s="6">
        <v>2000000</v>
      </c>
      <c r="J605" s="6">
        <f>IF(D605="Thu",I605,0)</f>
        <v>0</v>
      </c>
      <c r="K605" s="6">
        <f>IF(D605="Chi",I605,0)</f>
        <v>2000000</v>
      </c>
      <c r="L605" s="6" t="e">
        <f>L604+J605-K605</f>
        <v>#VALUE!</v>
      </c>
      <c r="M605" s="6">
        <f ca="1">IFERROR(__xludf.DUMMYFUNCTION("SUM(FILTER(J:J, H:H=""Tiền mặt"")) - SUM(FILTER(K:K, H:H=""Tiền mặt""))
"),959000)</f>
        <v>959000</v>
      </c>
      <c r="N605" s="6">
        <f ca="1">IFERROR(__xludf.DUMMYFUNCTION("SUM(FILTER(J:J, H:H=""Chuyển khoản"")) - SUM(FILTER(K:K, H:H=""Chuyển khoản""))
"),4468984)</f>
        <v>4468984</v>
      </c>
      <c r="O605" s="5"/>
      <c r="P605" s="5"/>
      <c r="Q605" s="5"/>
      <c r="R605" s="5"/>
      <c r="S605" s="5"/>
    </row>
    <row r="606" spans="1:19" ht="15.75" customHeight="1" x14ac:dyDescent="0.2">
      <c r="A606" s="3">
        <v>46127</v>
      </c>
      <c r="B606" s="4" t="str">
        <f>IF(A606="","","PC-"&amp;TEXT(A606,"mm/yyyy")&amp;"-"&amp;TEXT(COUNTIFS($A$2:A606,"&gt;="&amp;EOMONTH(A606,-1)+1,$A$2:A606,"&lt;="&amp;EOMONTH(A606,0)),"000"))</f>
        <v>PC-04/2026-113</v>
      </c>
      <c r="C606" s="5" t="s">
        <v>991</v>
      </c>
      <c r="D606" s="5" t="s">
        <v>29</v>
      </c>
      <c r="E606" s="5" t="s">
        <v>47</v>
      </c>
      <c r="F606" s="5"/>
      <c r="G606" s="5" t="s">
        <v>48</v>
      </c>
      <c r="H606" s="5" t="s">
        <v>23</v>
      </c>
      <c r="I606" s="6">
        <v>50000</v>
      </c>
      <c r="J606" s="6">
        <f>IF(D606="Thu",I606,0)</f>
        <v>0</v>
      </c>
      <c r="K606" s="6">
        <f>IF(D606="Chi",I606,0)</f>
        <v>50000</v>
      </c>
      <c r="L606" s="6" t="e">
        <f>L605+J606-K606</f>
        <v>#VALUE!</v>
      </c>
      <c r="M606" s="6">
        <f ca="1">IFERROR(__xludf.DUMMYFUNCTION("SUM(FILTER(J:J, H:H=""Tiền mặt"")) - SUM(FILTER(K:K, H:H=""Tiền mặt""))
"),959000)</f>
        <v>959000</v>
      </c>
      <c r="N606" s="6">
        <f ca="1">IFERROR(__xludf.DUMMYFUNCTION("SUM(FILTER(J:J, H:H=""Chuyển khoản"")) - SUM(FILTER(K:K, H:H=""Chuyển khoản""))
"),4468984)</f>
        <v>4468984</v>
      </c>
      <c r="O606" s="5"/>
      <c r="P606" s="5"/>
      <c r="Q606" s="5"/>
      <c r="R606" s="5"/>
      <c r="S606" s="5"/>
    </row>
    <row r="607" spans="1:19" ht="15.75" customHeight="1" x14ac:dyDescent="0.2">
      <c r="A607" s="3">
        <v>46127</v>
      </c>
      <c r="B607" s="4" t="str">
        <f>IF(A607="","","PC-"&amp;TEXT(A607,"mm/yyyy")&amp;"-"&amp;TEXT(COUNTIFS($A$2:A607,"&gt;="&amp;EOMONTH(A607,-1)+1,$A$2:A607,"&lt;="&amp;EOMONTH(A607,0)),"000"))</f>
        <v>PC-04/2026-114</v>
      </c>
      <c r="C607" s="5" t="s">
        <v>992</v>
      </c>
      <c r="D607" s="5" t="s">
        <v>29</v>
      </c>
      <c r="E607" s="5" t="s">
        <v>44</v>
      </c>
      <c r="F607" s="5"/>
      <c r="G607" s="5" t="s">
        <v>99</v>
      </c>
      <c r="H607" s="5" t="s">
        <v>23</v>
      </c>
      <c r="I607" s="6">
        <v>2000000</v>
      </c>
      <c r="J607" s="6">
        <f>IF(D607="Thu",I607,0)</f>
        <v>0</v>
      </c>
      <c r="K607" s="6">
        <f>IF(D607="Chi",I607,0)</f>
        <v>2000000</v>
      </c>
      <c r="L607" s="6" t="e">
        <f>L606+J607-K607</f>
        <v>#VALUE!</v>
      </c>
      <c r="M607" s="6">
        <f ca="1">IFERROR(__xludf.DUMMYFUNCTION("SUM(FILTER(J:J, H:H=""Tiền mặt"")) - SUM(FILTER(K:K, H:H=""Tiền mặt""))
"),959000)</f>
        <v>959000</v>
      </c>
      <c r="N607" s="6">
        <f ca="1">IFERROR(__xludf.DUMMYFUNCTION("SUM(FILTER(J:J, H:H=""Chuyển khoản"")) - SUM(FILTER(K:K, H:H=""Chuyển khoản""))
"),4468984)</f>
        <v>4468984</v>
      </c>
      <c r="O607" s="5"/>
      <c r="P607" s="5"/>
      <c r="Q607" s="5"/>
      <c r="R607" s="5"/>
      <c r="S607" s="5"/>
    </row>
    <row r="608" spans="1:19" ht="15.75" customHeight="1" x14ac:dyDescent="0.2">
      <c r="A608" s="3">
        <v>46126</v>
      </c>
      <c r="B608" s="4" t="str">
        <f>IF(A608="","","PC-"&amp;TEXT(A608,"mm/yyyy")&amp;"-"&amp;TEXT(COUNTIFS($A$2:A608,"&gt;="&amp;EOMONTH(A608,-1)+1,$A$2:A608,"&lt;="&amp;EOMONTH(A608,0)),"000"))</f>
        <v>PC-04/2026-115</v>
      </c>
      <c r="C608" s="5" t="s">
        <v>967</v>
      </c>
      <c r="D608" s="5" t="s">
        <v>29</v>
      </c>
      <c r="E608" s="5" t="s">
        <v>61</v>
      </c>
      <c r="F608" s="5"/>
      <c r="G608" s="5" t="s">
        <v>52</v>
      </c>
      <c r="H608" s="5" t="s">
        <v>27</v>
      </c>
      <c r="I608" s="6">
        <v>200000</v>
      </c>
      <c r="J608" s="6">
        <f>IF(D608="Thu",I608,0)</f>
        <v>0</v>
      </c>
      <c r="K608" s="6">
        <f>IF(D608="Chi",I608,0)</f>
        <v>200000</v>
      </c>
      <c r="L608" s="6" t="e">
        <f>L607+J608-K608</f>
        <v>#VALUE!</v>
      </c>
      <c r="M608" s="6">
        <f ca="1">IFERROR(__xludf.DUMMYFUNCTION("SUM(FILTER(J:J, H:H=""Tiền mặt"")) - SUM(FILTER(K:K, H:H=""Tiền mặt""))
"),959000)</f>
        <v>959000</v>
      </c>
      <c r="N608" s="6">
        <f ca="1">IFERROR(__xludf.DUMMYFUNCTION("SUM(FILTER(J:J, H:H=""Chuyển khoản"")) - SUM(FILTER(K:K, H:H=""Chuyển khoản""))
"),4468984)</f>
        <v>4468984</v>
      </c>
      <c r="O608" s="5"/>
      <c r="P608" s="5"/>
      <c r="Q608" s="5"/>
      <c r="R608" s="5"/>
      <c r="S608" s="5"/>
    </row>
    <row r="609" spans="1:19" ht="15.75" customHeight="1" x14ac:dyDescent="0.2">
      <c r="A609" s="3">
        <v>46126</v>
      </c>
      <c r="B609" s="4" t="str">
        <f>IF(A609="","","PC-"&amp;TEXT(A609,"mm/yyyy")&amp;"-"&amp;TEXT(COUNTIFS($A$2:A609,"&gt;="&amp;EOMONTH(A609,-1)+1,$A$2:A609,"&lt;="&amp;EOMONTH(A609,0)),"000"))</f>
        <v>PC-04/2026-116</v>
      </c>
      <c r="C609" s="5" t="s">
        <v>968</v>
      </c>
      <c r="D609" s="5" t="s">
        <v>29</v>
      </c>
      <c r="E609" s="5" t="s">
        <v>51</v>
      </c>
      <c r="F609" s="5"/>
      <c r="G609" s="5" t="s">
        <v>52</v>
      </c>
      <c r="H609" s="5" t="s">
        <v>27</v>
      </c>
      <c r="I609" s="6">
        <v>178842</v>
      </c>
      <c r="J609" s="6">
        <f>IF(D609="Thu",I609,0)</f>
        <v>0</v>
      </c>
      <c r="K609" s="6">
        <f>IF(D609="Chi",I609,0)</f>
        <v>178842</v>
      </c>
      <c r="L609" s="6" t="e">
        <f>L608+J609-K609</f>
        <v>#VALUE!</v>
      </c>
      <c r="M609" s="6">
        <f ca="1">IFERROR(__xludf.DUMMYFUNCTION("SUM(FILTER(J:J, H:H=""Tiền mặt"")) - SUM(FILTER(K:K, H:H=""Tiền mặt""))
"),959000)</f>
        <v>959000</v>
      </c>
      <c r="N609" s="6">
        <f ca="1">IFERROR(__xludf.DUMMYFUNCTION("SUM(FILTER(J:J, H:H=""Chuyển khoản"")) - SUM(FILTER(K:K, H:H=""Chuyển khoản""))
"),4468984)</f>
        <v>4468984</v>
      </c>
      <c r="O609" s="5"/>
      <c r="P609" s="5"/>
      <c r="Q609" s="5"/>
      <c r="R609" s="5"/>
      <c r="S609" s="5"/>
    </row>
    <row r="610" spans="1:19" ht="15.75" customHeight="1" x14ac:dyDescent="0.2">
      <c r="A610" s="3">
        <v>46126</v>
      </c>
      <c r="B610" s="4" t="str">
        <f>IF(A610="","","PC-"&amp;TEXT(A610,"mm/yyyy")&amp;"-"&amp;TEXT(COUNTIFS($A$2:A610,"&gt;="&amp;EOMONTH(A610,-1)+1,$A$2:A610,"&lt;="&amp;EOMONTH(A610,0)),"000"))</f>
        <v>PC-04/2026-117</v>
      </c>
      <c r="C610" s="7" t="s">
        <v>969</v>
      </c>
      <c r="D610" s="5" t="s">
        <v>29</v>
      </c>
      <c r="E610" s="5" t="s">
        <v>41</v>
      </c>
      <c r="F610" s="5"/>
      <c r="G610" s="5" t="s">
        <v>192</v>
      </c>
      <c r="H610" s="5" t="s">
        <v>23</v>
      </c>
      <c r="I610" s="6">
        <v>100000</v>
      </c>
      <c r="J610" s="6">
        <f>IF(D610="Thu",I610,0)</f>
        <v>0</v>
      </c>
      <c r="K610" s="6">
        <f>IF(D610="Chi",I610,0)</f>
        <v>100000</v>
      </c>
      <c r="L610" s="6" t="e">
        <f>L609+J610-K610</f>
        <v>#VALUE!</v>
      </c>
      <c r="M610" s="6">
        <f ca="1">IFERROR(__xludf.DUMMYFUNCTION("SUM(FILTER(J:J, H:H=""Tiền mặt"")) - SUM(FILTER(K:K, H:H=""Tiền mặt""))
"),959000)</f>
        <v>959000</v>
      </c>
      <c r="N610" s="6">
        <f ca="1">IFERROR(__xludf.DUMMYFUNCTION("SUM(FILTER(J:J, H:H=""Chuyển khoản"")) - SUM(FILTER(K:K, H:H=""Chuyển khoản""))
"),4468984)</f>
        <v>4468984</v>
      </c>
      <c r="O610" s="5"/>
      <c r="P610" s="5"/>
      <c r="Q610" s="5"/>
      <c r="R610" s="5"/>
      <c r="S610" s="5"/>
    </row>
    <row r="611" spans="1:19" ht="15.75" customHeight="1" x14ac:dyDescent="0.2">
      <c r="A611" s="3">
        <v>46126</v>
      </c>
      <c r="B611" s="4" t="str">
        <f>IF(A611="","","PC-"&amp;TEXT(A611,"mm/yyyy")&amp;"-"&amp;TEXT(COUNTIFS($A$2:A611,"&gt;="&amp;EOMONTH(A611,-1)+1,$A$2:A611,"&lt;="&amp;EOMONTH(A611,0)),"000"))</f>
        <v>PC-04/2026-118</v>
      </c>
      <c r="C611" s="5" t="s">
        <v>970</v>
      </c>
      <c r="D611" s="5" t="s">
        <v>29</v>
      </c>
      <c r="E611" s="5" t="s">
        <v>41</v>
      </c>
      <c r="F611" s="5"/>
      <c r="G611" s="5" t="s">
        <v>82</v>
      </c>
      <c r="H611" s="5" t="s">
        <v>23</v>
      </c>
      <c r="I611" s="6">
        <v>100000</v>
      </c>
      <c r="J611" s="6">
        <f>IF(D611="Thu",I611,0)</f>
        <v>0</v>
      </c>
      <c r="K611" s="6">
        <f>IF(D611="Chi",I611,0)</f>
        <v>100000</v>
      </c>
      <c r="L611" s="6" t="e">
        <f>L610+J611-K611</f>
        <v>#VALUE!</v>
      </c>
      <c r="M611" s="6">
        <f ca="1">IFERROR(__xludf.DUMMYFUNCTION("SUM(FILTER(J:J, H:H=""Tiền mặt"")) - SUM(FILTER(K:K, H:H=""Tiền mặt""))
"),959000)</f>
        <v>959000</v>
      </c>
      <c r="N611" s="6">
        <f ca="1">IFERROR(__xludf.DUMMYFUNCTION("SUM(FILTER(J:J, H:H=""Chuyển khoản"")) - SUM(FILTER(K:K, H:H=""Chuyển khoản""))
"),4468984)</f>
        <v>4468984</v>
      </c>
      <c r="O611" s="5"/>
      <c r="P611" s="5"/>
      <c r="Q611" s="5"/>
      <c r="R611" s="5"/>
      <c r="S611" s="5"/>
    </row>
    <row r="612" spans="1:19" ht="15.75" customHeight="1" x14ac:dyDescent="0.2">
      <c r="A612" s="3">
        <v>46126</v>
      </c>
      <c r="B612" s="4" t="str">
        <f>IF(A612="","","PC-"&amp;TEXT(A612,"mm/yyyy")&amp;"-"&amp;TEXT(COUNTIFS($A$2:A612,"&gt;="&amp;EOMONTH(A612,-1)+1,$A$2:A612,"&lt;="&amp;EOMONTH(A612,0)),"000"))</f>
        <v>PC-04/2026-119</v>
      </c>
      <c r="C612" s="7" t="s">
        <v>971</v>
      </c>
      <c r="D612" s="5" t="s">
        <v>29</v>
      </c>
      <c r="E612" s="5" t="s">
        <v>36</v>
      </c>
      <c r="F612" s="5"/>
      <c r="G612" s="5" t="s">
        <v>972</v>
      </c>
      <c r="H612" s="5" t="s">
        <v>27</v>
      </c>
      <c r="I612" s="6">
        <v>1000000</v>
      </c>
      <c r="J612" s="6">
        <f>IF(D612="Thu",I612,0)</f>
        <v>0</v>
      </c>
      <c r="K612" s="6">
        <f>IF(D612="Chi",I612,0)</f>
        <v>1000000</v>
      </c>
      <c r="L612" s="6" t="e">
        <f>L611+J612-K612</f>
        <v>#VALUE!</v>
      </c>
      <c r="M612" s="6">
        <f ca="1">IFERROR(__xludf.DUMMYFUNCTION("SUM(FILTER(J:J, H:H=""Tiền mặt"")) - SUM(FILTER(K:K, H:H=""Tiền mặt""))
"),959000)</f>
        <v>959000</v>
      </c>
      <c r="N612" s="6">
        <f ca="1">IFERROR(__xludf.DUMMYFUNCTION("SUM(FILTER(J:J, H:H=""Chuyển khoản"")) - SUM(FILTER(K:K, H:H=""Chuyển khoản""))
"),4468984)</f>
        <v>4468984</v>
      </c>
      <c r="O612" s="5"/>
      <c r="P612" s="5"/>
      <c r="Q612" s="5"/>
      <c r="R612" s="5"/>
      <c r="S612" s="5"/>
    </row>
    <row r="613" spans="1:19" ht="15.75" customHeight="1" x14ac:dyDescent="0.2">
      <c r="A613" s="3">
        <v>46126</v>
      </c>
      <c r="B613" s="4" t="str">
        <f>IF(A613="","","PC-"&amp;TEXT(A613,"mm/yyyy")&amp;"-"&amp;TEXT(COUNTIFS($A$2:A613,"&gt;="&amp;EOMONTH(A613,-1)+1,$A$2:A613,"&lt;="&amp;EOMONTH(A613,0)),"000"))</f>
        <v>PC-04/2026-120</v>
      </c>
      <c r="C613" s="5" t="s">
        <v>973</v>
      </c>
      <c r="D613" s="5" t="s">
        <v>29</v>
      </c>
      <c r="E613" s="5" t="s">
        <v>88</v>
      </c>
      <c r="F613" s="5"/>
      <c r="G613" s="5" t="s">
        <v>974</v>
      </c>
      <c r="H613" s="5" t="s">
        <v>23</v>
      </c>
      <c r="I613" s="6">
        <v>2000000</v>
      </c>
      <c r="J613" s="6">
        <f>IF(D613="Thu",I613,0)</f>
        <v>0</v>
      </c>
      <c r="K613" s="6">
        <f>IF(D613="Chi",I613,0)</f>
        <v>2000000</v>
      </c>
      <c r="L613" s="6" t="e">
        <f>L612+J613-K613</f>
        <v>#VALUE!</v>
      </c>
      <c r="M613" s="6">
        <f ca="1">IFERROR(__xludf.DUMMYFUNCTION("SUM(FILTER(J:J, H:H=""Tiền mặt"")) - SUM(FILTER(K:K, H:H=""Tiền mặt""))
"),959000)</f>
        <v>959000</v>
      </c>
      <c r="N613" s="6">
        <f ca="1">IFERROR(__xludf.DUMMYFUNCTION("SUM(FILTER(J:J, H:H=""Chuyển khoản"")) - SUM(FILTER(K:K, H:H=""Chuyển khoản""))
"),4468984)</f>
        <v>4468984</v>
      </c>
      <c r="O613" s="5"/>
      <c r="P613" s="5"/>
      <c r="Q613" s="5"/>
      <c r="R613" s="5"/>
      <c r="S613" s="5"/>
    </row>
    <row r="614" spans="1:19" ht="15.75" customHeight="1" x14ac:dyDescent="0.2">
      <c r="A614" s="3">
        <v>46126</v>
      </c>
      <c r="B614" s="4" t="str">
        <f>IF(A614="","","PC-"&amp;TEXT(A614,"mm/yyyy")&amp;"-"&amp;TEXT(COUNTIFS($A$2:A614,"&gt;="&amp;EOMONTH(A614,-1)+1,$A$2:A614,"&lt;="&amp;EOMONTH(A614,0)),"000"))</f>
        <v>PC-04/2026-121</v>
      </c>
      <c r="C614" s="5" t="s">
        <v>975</v>
      </c>
      <c r="D614" s="5" t="s">
        <v>20</v>
      </c>
      <c r="E614" s="5" t="s">
        <v>21</v>
      </c>
      <c r="F614" s="5"/>
      <c r="G614" s="5" t="s">
        <v>22</v>
      </c>
      <c r="H614" s="5" t="s">
        <v>23</v>
      </c>
      <c r="I614" s="6">
        <v>13000000</v>
      </c>
      <c r="J614" s="6">
        <f>IF(D614="Thu",I614,0)</f>
        <v>13000000</v>
      </c>
      <c r="K614" s="6">
        <f>IF(D614="Chi",I614,0)</f>
        <v>0</v>
      </c>
      <c r="L614" s="6" t="e">
        <f>L613+J614-K614</f>
        <v>#VALUE!</v>
      </c>
      <c r="M614" s="6">
        <f ca="1">IFERROR(__xludf.DUMMYFUNCTION("SUM(FILTER(J:J, H:H=""Tiền mặt"")) - SUM(FILTER(K:K, H:H=""Tiền mặt""))
"),959000)</f>
        <v>959000</v>
      </c>
      <c r="N614" s="6">
        <f ca="1">IFERROR(__xludf.DUMMYFUNCTION("SUM(FILTER(J:J, H:H=""Chuyển khoản"")) - SUM(FILTER(K:K, H:H=""Chuyển khoản""))
"),4468984)</f>
        <v>4468984</v>
      </c>
      <c r="O614" s="5"/>
      <c r="P614" s="5"/>
      <c r="Q614" s="5"/>
      <c r="R614" s="5"/>
      <c r="S614" s="5"/>
    </row>
    <row r="615" spans="1:19" ht="15.75" customHeight="1" x14ac:dyDescent="0.2">
      <c r="A615" s="3">
        <v>46126</v>
      </c>
      <c r="B615" s="4" t="str">
        <f>IF(A615="","","PC-"&amp;TEXT(A615,"mm/yyyy")&amp;"-"&amp;TEXT(COUNTIFS($A$2:A615,"&gt;="&amp;EOMONTH(A615,-1)+1,$A$2:A615,"&lt;="&amp;EOMONTH(A615,0)),"000"))</f>
        <v>PC-04/2026-122</v>
      </c>
      <c r="C615" s="5" t="s">
        <v>976</v>
      </c>
      <c r="D615" s="5" t="s">
        <v>29</v>
      </c>
      <c r="E615" s="5" t="s">
        <v>44</v>
      </c>
      <c r="F615" s="5"/>
      <c r="G615" s="5" t="s">
        <v>977</v>
      </c>
      <c r="H615" s="5" t="s">
        <v>23</v>
      </c>
      <c r="I615" s="6">
        <v>1500000</v>
      </c>
      <c r="J615" s="6">
        <f>IF(D615="Thu",I615,0)</f>
        <v>0</v>
      </c>
      <c r="K615" s="6">
        <f>IF(D615="Chi",I615,0)</f>
        <v>1500000</v>
      </c>
      <c r="L615" s="6" t="e">
        <f>L614+J615-K615</f>
        <v>#VALUE!</v>
      </c>
      <c r="M615" s="6">
        <f ca="1">IFERROR(__xludf.DUMMYFUNCTION("SUM(FILTER(J:J, H:H=""Tiền mặt"")) - SUM(FILTER(K:K, H:H=""Tiền mặt""))
"),959000)</f>
        <v>959000</v>
      </c>
      <c r="N615" s="6">
        <f ca="1">IFERROR(__xludf.DUMMYFUNCTION("SUM(FILTER(J:J, H:H=""Chuyển khoản"")) - SUM(FILTER(K:K, H:H=""Chuyển khoản""))
"),4468984)</f>
        <v>4468984</v>
      </c>
      <c r="O615" s="5"/>
      <c r="P615" s="5"/>
      <c r="Q615" s="5"/>
      <c r="R615" s="5"/>
      <c r="S615" s="5"/>
    </row>
    <row r="616" spans="1:19" ht="15.75" customHeight="1" x14ac:dyDescent="0.2">
      <c r="A616" s="3">
        <v>46126</v>
      </c>
      <c r="B616" s="4" t="str">
        <f>IF(A616="","","PC-"&amp;TEXT(A616,"mm/yyyy")&amp;"-"&amp;TEXT(COUNTIFS($A$2:A616,"&gt;="&amp;EOMONTH(A616,-1)+1,$A$2:A616,"&lt;="&amp;EOMONTH(A616,0)),"000"))</f>
        <v>PC-04/2026-123</v>
      </c>
      <c r="C616" s="5" t="s">
        <v>978</v>
      </c>
      <c r="D616" s="5" t="s">
        <v>29</v>
      </c>
      <c r="E616" s="5" t="s">
        <v>44</v>
      </c>
      <c r="F616" s="5"/>
      <c r="G616" s="5" t="s">
        <v>977</v>
      </c>
      <c r="H616" s="5" t="s">
        <v>23</v>
      </c>
      <c r="I616" s="6">
        <v>1500000</v>
      </c>
      <c r="J616" s="6">
        <f>IF(D616="Thu",I616,0)</f>
        <v>0</v>
      </c>
      <c r="K616" s="6">
        <f>IF(D616="Chi",I616,0)</f>
        <v>1500000</v>
      </c>
      <c r="L616" s="6" t="e">
        <f>L615+J616-K616</f>
        <v>#VALUE!</v>
      </c>
      <c r="M616" s="6">
        <f ca="1">IFERROR(__xludf.DUMMYFUNCTION("SUM(FILTER(J:J, H:H=""Tiền mặt"")) - SUM(FILTER(K:K, H:H=""Tiền mặt""))
"),959000)</f>
        <v>959000</v>
      </c>
      <c r="N616" s="6">
        <f ca="1">IFERROR(__xludf.DUMMYFUNCTION("SUM(FILTER(J:J, H:H=""Chuyển khoản"")) - SUM(FILTER(K:K, H:H=""Chuyển khoản""))
"),4468984)</f>
        <v>4468984</v>
      </c>
      <c r="O616" s="5"/>
      <c r="P616" s="5"/>
      <c r="Q616" s="5"/>
      <c r="R616" s="5"/>
      <c r="S616" s="5"/>
    </row>
    <row r="617" spans="1:19" ht="15.75" customHeight="1" x14ac:dyDescent="0.2">
      <c r="A617" s="3">
        <v>46125</v>
      </c>
      <c r="B617" s="4" t="str">
        <f>IF(A617="","","PC-"&amp;TEXT(A617,"mm/yyyy")&amp;"-"&amp;TEXT(COUNTIFS($A$2:A617,"&gt;="&amp;EOMONTH(A617,-1)+1,$A$2:A617,"&lt;="&amp;EOMONTH(A617,0)),"000"))</f>
        <v>PC-04/2026-124</v>
      </c>
      <c r="C617" s="5" t="s">
        <v>954</v>
      </c>
      <c r="D617" s="5" t="s">
        <v>29</v>
      </c>
      <c r="E617" s="5" t="s">
        <v>44</v>
      </c>
      <c r="F617" s="5"/>
      <c r="G617" s="5" t="s">
        <v>432</v>
      </c>
      <c r="H617" s="5" t="s">
        <v>23</v>
      </c>
      <c r="I617" s="6">
        <v>1500000</v>
      </c>
      <c r="J617" s="6">
        <f>IF(D617="Thu",I617,0)</f>
        <v>0</v>
      </c>
      <c r="K617" s="6">
        <f>IF(D617="Chi",I617,0)</f>
        <v>1500000</v>
      </c>
      <c r="L617" s="6" t="e">
        <f>L616+J617-K617</f>
        <v>#VALUE!</v>
      </c>
      <c r="M617" s="6">
        <f ca="1">IFERROR(__xludf.DUMMYFUNCTION("SUM(FILTER(J:J, H:H=""Tiền mặt"")) - SUM(FILTER(K:K, H:H=""Tiền mặt""))
"),959000)</f>
        <v>959000</v>
      </c>
      <c r="N617" s="6">
        <f ca="1">IFERROR(__xludf.DUMMYFUNCTION("SUM(FILTER(J:J, H:H=""Chuyển khoản"")) - SUM(FILTER(K:K, H:H=""Chuyển khoản""))
"),4468984)</f>
        <v>4468984</v>
      </c>
      <c r="O617" s="5"/>
      <c r="P617" s="5"/>
      <c r="Q617" s="5"/>
      <c r="R617" s="5"/>
      <c r="S617" s="5"/>
    </row>
    <row r="618" spans="1:19" ht="15.75" customHeight="1" x14ac:dyDescent="0.2">
      <c r="A618" s="3">
        <v>46125</v>
      </c>
      <c r="B618" s="4" t="str">
        <f>IF(A618="","","PC-"&amp;TEXT(A618,"mm/yyyy")&amp;"-"&amp;TEXT(COUNTIFS($A$2:A618,"&gt;="&amp;EOMONTH(A618,-1)+1,$A$2:A618,"&lt;="&amp;EOMONTH(A618,0)),"000"))</f>
        <v>PC-04/2026-125</v>
      </c>
      <c r="C618" s="5" t="s">
        <v>955</v>
      </c>
      <c r="D618" s="5" t="s">
        <v>29</v>
      </c>
      <c r="E618" s="5" t="s">
        <v>47</v>
      </c>
      <c r="F618" s="5"/>
      <c r="G618" s="5" t="s">
        <v>48</v>
      </c>
      <c r="H618" s="5" t="s">
        <v>23</v>
      </c>
      <c r="I618" s="6">
        <v>50000</v>
      </c>
      <c r="J618" s="6">
        <f>IF(D618="Thu",I618,0)</f>
        <v>0</v>
      </c>
      <c r="K618" s="6">
        <f>IF(D618="Chi",I618,0)</f>
        <v>50000</v>
      </c>
      <c r="L618" s="6" t="e">
        <f>L617+J618-K618</f>
        <v>#VALUE!</v>
      </c>
      <c r="M618" s="6">
        <f ca="1">IFERROR(__xludf.DUMMYFUNCTION("SUM(FILTER(J:J, H:H=""Tiền mặt"")) - SUM(FILTER(K:K, H:H=""Tiền mặt""))
"),959000)</f>
        <v>959000</v>
      </c>
      <c r="N618" s="6">
        <f ca="1">IFERROR(__xludf.DUMMYFUNCTION("SUM(FILTER(J:J, H:H=""Chuyển khoản"")) - SUM(FILTER(K:K, H:H=""Chuyển khoản""))
"),4468984)</f>
        <v>4468984</v>
      </c>
      <c r="O618" s="5"/>
      <c r="P618" s="5"/>
      <c r="Q618" s="5"/>
      <c r="R618" s="5"/>
      <c r="S618" s="5"/>
    </row>
    <row r="619" spans="1:19" ht="15.75" customHeight="1" x14ac:dyDescent="0.2">
      <c r="A619" s="3">
        <v>46125</v>
      </c>
      <c r="B619" s="4" t="str">
        <f>IF(A619="","","PC-"&amp;TEXT(A619,"mm/yyyy")&amp;"-"&amp;TEXT(COUNTIFS($A$2:A619,"&gt;="&amp;EOMONTH(A619,-1)+1,$A$2:A619,"&lt;="&amp;EOMONTH(A619,0)),"000"))</f>
        <v>PC-04/2026-126</v>
      </c>
      <c r="C619" s="7" t="s">
        <v>956</v>
      </c>
      <c r="D619" s="5" t="s">
        <v>29</v>
      </c>
      <c r="E619" s="5" t="s">
        <v>41</v>
      </c>
      <c r="F619" s="5"/>
      <c r="G619" s="5" t="s">
        <v>957</v>
      </c>
      <c r="H619" s="5" t="s">
        <v>23</v>
      </c>
      <c r="I619" s="6">
        <v>100000</v>
      </c>
      <c r="J619" s="6">
        <f>IF(D619="Thu",I619,0)</f>
        <v>0</v>
      </c>
      <c r="K619" s="6">
        <f>IF(D619="Chi",I619,0)</f>
        <v>100000</v>
      </c>
      <c r="L619" s="6" t="e">
        <f>L618+J619-K619</f>
        <v>#VALUE!</v>
      </c>
      <c r="M619" s="6">
        <f ca="1">IFERROR(__xludf.DUMMYFUNCTION("SUM(FILTER(J:J, H:H=""Tiền mặt"")) - SUM(FILTER(K:K, H:H=""Tiền mặt""))
"),959000)</f>
        <v>959000</v>
      </c>
      <c r="N619" s="6">
        <f ca="1">IFERROR(__xludf.DUMMYFUNCTION("SUM(FILTER(J:J, H:H=""Chuyển khoản"")) - SUM(FILTER(K:K, H:H=""Chuyển khoản""))
"),4468984)</f>
        <v>4468984</v>
      </c>
      <c r="O619" s="5"/>
      <c r="P619" s="5"/>
      <c r="Q619" s="5"/>
      <c r="R619" s="5"/>
      <c r="S619" s="5"/>
    </row>
    <row r="620" spans="1:19" ht="15.75" customHeight="1" x14ac:dyDescent="0.2">
      <c r="A620" s="3">
        <v>46125</v>
      </c>
      <c r="B620" s="4" t="str">
        <f>IF(A620="","","PC-"&amp;TEXT(A620,"mm/yyyy")&amp;"-"&amp;TEXT(COUNTIFS($A$2:A620,"&gt;="&amp;EOMONTH(A620,-1)+1,$A$2:A620,"&lt;="&amp;EOMONTH(A620,0)),"000"))</f>
        <v>PC-04/2026-127</v>
      </c>
      <c r="C620" s="5" t="s">
        <v>528</v>
      </c>
      <c r="D620" s="5" t="s">
        <v>29</v>
      </c>
      <c r="E620" s="5" t="s">
        <v>36</v>
      </c>
      <c r="F620" s="5"/>
      <c r="G620" s="5" t="s">
        <v>37</v>
      </c>
      <c r="H620" s="5" t="s">
        <v>23</v>
      </c>
      <c r="I620" s="6">
        <v>138000</v>
      </c>
      <c r="J620" s="6">
        <f>IF(D620="Thu",I620,0)</f>
        <v>0</v>
      </c>
      <c r="K620" s="6">
        <f>IF(D620="Chi",I620,0)</f>
        <v>138000</v>
      </c>
      <c r="L620" s="6" t="e">
        <f>L619+J620-K620</f>
        <v>#VALUE!</v>
      </c>
      <c r="M620" s="6">
        <f ca="1">IFERROR(__xludf.DUMMYFUNCTION("SUM(FILTER(J:J, H:H=""Tiền mặt"")) - SUM(FILTER(K:K, H:H=""Tiền mặt""))
"),959000)</f>
        <v>959000</v>
      </c>
      <c r="N620" s="6">
        <f ca="1">IFERROR(__xludf.DUMMYFUNCTION("SUM(FILTER(J:J, H:H=""Chuyển khoản"")) - SUM(FILTER(K:K, H:H=""Chuyển khoản""))
"),4468984)</f>
        <v>4468984</v>
      </c>
      <c r="O620" s="5"/>
      <c r="P620" s="5"/>
      <c r="Q620" s="5"/>
      <c r="R620" s="5"/>
      <c r="S620" s="5"/>
    </row>
    <row r="621" spans="1:19" ht="15.75" customHeight="1" x14ac:dyDescent="0.2">
      <c r="A621" s="3">
        <v>46125</v>
      </c>
      <c r="B621" s="4" t="str">
        <f>IF(A621="","","PC-"&amp;TEXT(A621,"mm/yyyy")&amp;"-"&amp;TEXT(COUNTIFS($A$2:A621,"&gt;="&amp;EOMONTH(A621,-1)+1,$A$2:A621,"&lt;="&amp;EOMONTH(A621,0)),"000"))</f>
        <v>PC-04/2026-128</v>
      </c>
      <c r="C621" s="5" t="s">
        <v>958</v>
      </c>
      <c r="D621" s="5" t="s">
        <v>29</v>
      </c>
      <c r="E621" s="5" t="s">
        <v>429</v>
      </c>
      <c r="F621" s="5"/>
      <c r="G621" s="5" t="s">
        <v>37</v>
      </c>
      <c r="H621" s="5" t="s">
        <v>23</v>
      </c>
      <c r="I621" s="6">
        <v>27000</v>
      </c>
      <c r="J621" s="6">
        <f>IF(D621="Thu",I621,0)</f>
        <v>0</v>
      </c>
      <c r="K621" s="6">
        <f>IF(D621="Chi",I621,0)</f>
        <v>27000</v>
      </c>
      <c r="L621" s="6" t="e">
        <f>L620+J621-K621</f>
        <v>#VALUE!</v>
      </c>
      <c r="M621" s="6">
        <f ca="1">IFERROR(__xludf.DUMMYFUNCTION("SUM(FILTER(J:J, H:H=""Tiền mặt"")) - SUM(FILTER(K:K, H:H=""Tiền mặt""))
"),959000)</f>
        <v>959000</v>
      </c>
      <c r="N621" s="6">
        <f ca="1">IFERROR(__xludf.DUMMYFUNCTION("SUM(FILTER(J:J, H:H=""Chuyển khoản"")) - SUM(FILTER(K:K, H:H=""Chuyển khoản""))
"),4468984)</f>
        <v>4468984</v>
      </c>
      <c r="O621" s="5"/>
      <c r="P621" s="5"/>
      <c r="Q621" s="5"/>
      <c r="R621" s="5"/>
      <c r="S621" s="5"/>
    </row>
    <row r="622" spans="1:19" ht="15.75" customHeight="1" x14ac:dyDescent="0.2">
      <c r="A622" s="3">
        <v>46125</v>
      </c>
      <c r="B622" s="4" t="str">
        <f>IF(A622="","","PC-"&amp;TEXT(A622,"mm/yyyy")&amp;"-"&amp;TEXT(COUNTIFS($A$2:A622,"&gt;="&amp;EOMONTH(A622,-1)+1,$A$2:A622,"&lt;="&amp;EOMONTH(A622,0)),"000"))</f>
        <v>PC-04/2026-129</v>
      </c>
      <c r="C622" s="5" t="s">
        <v>959</v>
      </c>
      <c r="D622" s="5" t="s">
        <v>29</v>
      </c>
      <c r="E622" s="5" t="s">
        <v>429</v>
      </c>
      <c r="F622" s="5"/>
      <c r="G622" s="5" t="s">
        <v>571</v>
      </c>
      <c r="H622" s="5" t="s">
        <v>23</v>
      </c>
      <c r="I622" s="6">
        <v>15000</v>
      </c>
      <c r="J622" s="6">
        <f>IF(D622="Thu",I622,0)</f>
        <v>0</v>
      </c>
      <c r="K622" s="6">
        <f>IF(D622="Chi",I622,0)</f>
        <v>15000</v>
      </c>
      <c r="L622" s="6" t="e">
        <f>L621+J622-K622</f>
        <v>#VALUE!</v>
      </c>
      <c r="M622" s="6">
        <f ca="1">IFERROR(__xludf.DUMMYFUNCTION("SUM(FILTER(J:J, H:H=""Tiền mặt"")) - SUM(FILTER(K:K, H:H=""Tiền mặt""))
"),959000)</f>
        <v>959000</v>
      </c>
      <c r="N622" s="6">
        <f ca="1">IFERROR(__xludf.DUMMYFUNCTION("SUM(FILTER(J:J, H:H=""Chuyển khoản"")) - SUM(FILTER(K:K, H:H=""Chuyển khoản""))
"),4468984)</f>
        <v>4468984</v>
      </c>
      <c r="O622" s="5"/>
      <c r="P622" s="5"/>
      <c r="Q622" s="5"/>
      <c r="R622" s="5"/>
      <c r="S622" s="5"/>
    </row>
    <row r="623" spans="1:19" ht="15.75" customHeight="1" x14ac:dyDescent="0.2">
      <c r="A623" s="3">
        <v>46125</v>
      </c>
      <c r="B623" s="4" t="str">
        <f>IF(A623="","","PC-"&amp;TEXT(A623,"mm/yyyy")&amp;"-"&amp;TEXT(COUNTIFS($A$2:A623,"&gt;="&amp;EOMONTH(A623,-1)+1,$A$2:A623,"&lt;="&amp;EOMONTH(A623,0)),"000"))</f>
        <v>PC-04/2026-130</v>
      </c>
      <c r="C623" s="5" t="s">
        <v>960</v>
      </c>
      <c r="D623" s="5" t="s">
        <v>29</v>
      </c>
      <c r="E623" s="5" t="s">
        <v>41</v>
      </c>
      <c r="F623" s="5"/>
      <c r="G623" s="5" t="s">
        <v>82</v>
      </c>
      <c r="H623" s="5" t="s">
        <v>23</v>
      </c>
      <c r="I623" s="6">
        <v>100000</v>
      </c>
      <c r="J623" s="6">
        <f>IF(D623="Thu",I623,0)</f>
        <v>0</v>
      </c>
      <c r="K623" s="6">
        <f>IF(D623="Chi",I623,0)</f>
        <v>100000</v>
      </c>
      <c r="L623" s="6" t="e">
        <f>L622+J623-K623</f>
        <v>#VALUE!</v>
      </c>
      <c r="M623" s="6">
        <f ca="1">IFERROR(__xludf.DUMMYFUNCTION("SUM(FILTER(J:J, H:H=""Tiền mặt"")) - SUM(FILTER(K:K, H:H=""Tiền mặt""))
"),959000)</f>
        <v>959000</v>
      </c>
      <c r="N623" s="6">
        <f ca="1">IFERROR(__xludf.DUMMYFUNCTION("SUM(FILTER(J:J, H:H=""Chuyển khoản"")) - SUM(FILTER(K:K, H:H=""Chuyển khoản""))
"),4468984)</f>
        <v>4468984</v>
      </c>
      <c r="O623" s="5"/>
      <c r="P623" s="5"/>
      <c r="Q623" s="5"/>
      <c r="R623" s="5"/>
      <c r="S623" s="5"/>
    </row>
    <row r="624" spans="1:19" ht="15.75" customHeight="1" x14ac:dyDescent="0.2">
      <c r="A624" s="3">
        <v>46125</v>
      </c>
      <c r="B624" s="4" t="str">
        <f>IF(A624="","","PC-"&amp;TEXT(A624,"mm/yyyy")&amp;"-"&amp;TEXT(COUNTIFS($A$2:A624,"&gt;="&amp;EOMONTH(A624,-1)+1,$A$2:A624,"&lt;="&amp;EOMONTH(A624,0)),"000"))</f>
        <v>PC-04/2026-131</v>
      </c>
      <c r="C624" s="5" t="s">
        <v>961</v>
      </c>
      <c r="D624" s="5" t="s">
        <v>29</v>
      </c>
      <c r="E624" s="5" t="s">
        <v>44</v>
      </c>
      <c r="F624" s="5"/>
      <c r="G624" s="5" t="s">
        <v>353</v>
      </c>
      <c r="H624" s="5" t="s">
        <v>23</v>
      </c>
      <c r="I624" s="6">
        <v>1500000</v>
      </c>
      <c r="J624" s="6">
        <f>IF(D624="Thu",I624,0)</f>
        <v>0</v>
      </c>
      <c r="K624" s="6">
        <f>IF(D624="Chi",I624,0)</f>
        <v>1500000</v>
      </c>
      <c r="L624" s="6" t="e">
        <f>L623+J624-K624</f>
        <v>#VALUE!</v>
      </c>
      <c r="M624" s="6">
        <f ca="1">IFERROR(__xludf.DUMMYFUNCTION("SUM(FILTER(J:J, H:H=""Tiền mặt"")) - SUM(FILTER(K:K, H:H=""Tiền mặt""))
"),959000)</f>
        <v>959000</v>
      </c>
      <c r="N624" s="6">
        <f ca="1">IFERROR(__xludf.DUMMYFUNCTION("SUM(FILTER(J:J, H:H=""Chuyển khoản"")) - SUM(FILTER(K:K, H:H=""Chuyển khoản""))
"),4468984)</f>
        <v>4468984</v>
      </c>
      <c r="O624" s="5"/>
      <c r="P624" s="5"/>
      <c r="Q624" s="5"/>
      <c r="R624" s="5"/>
      <c r="S624" s="5"/>
    </row>
    <row r="625" spans="1:19" ht="15.75" customHeight="1" x14ac:dyDescent="0.2">
      <c r="A625" s="3">
        <v>46125</v>
      </c>
      <c r="B625" s="4" t="str">
        <f>IF(A625="","","PC-"&amp;TEXT(A625,"mm/yyyy")&amp;"-"&amp;TEXT(COUNTIFS($A$2:A625,"&gt;="&amp;EOMONTH(A625,-1)+1,$A$2:A625,"&lt;="&amp;EOMONTH(A625,0)),"000"))</f>
        <v>PC-04/2026-132</v>
      </c>
      <c r="C625" s="5" t="s">
        <v>962</v>
      </c>
      <c r="D625" s="5" t="s">
        <v>29</v>
      </c>
      <c r="E625" s="5" t="s">
        <v>47</v>
      </c>
      <c r="F625" s="5"/>
      <c r="G625" s="5" t="s">
        <v>48</v>
      </c>
      <c r="H625" s="5" t="s">
        <v>23</v>
      </c>
      <c r="I625" s="6">
        <v>50000</v>
      </c>
      <c r="J625" s="6">
        <f>IF(D625="Thu",I625,0)</f>
        <v>0</v>
      </c>
      <c r="K625" s="6">
        <f>IF(D625="Chi",I625,0)</f>
        <v>50000</v>
      </c>
      <c r="L625" s="6" t="e">
        <f>L624+J625-K625</f>
        <v>#VALUE!</v>
      </c>
      <c r="M625" s="6">
        <f ca="1">IFERROR(__xludf.DUMMYFUNCTION("SUM(FILTER(J:J, H:H=""Tiền mặt"")) - SUM(FILTER(K:K, H:H=""Tiền mặt""))
"),959000)</f>
        <v>959000</v>
      </c>
      <c r="N625" s="6">
        <f ca="1">IFERROR(__xludf.DUMMYFUNCTION("SUM(FILTER(J:J, H:H=""Chuyển khoản"")) - SUM(FILTER(K:K, H:H=""Chuyển khoản""))
"),4468984)</f>
        <v>4468984</v>
      </c>
      <c r="O625" s="5"/>
      <c r="P625" s="5"/>
      <c r="Q625" s="5"/>
      <c r="R625" s="5"/>
      <c r="S625" s="5"/>
    </row>
    <row r="626" spans="1:19" ht="15.75" customHeight="1" x14ac:dyDescent="0.2">
      <c r="A626" s="3">
        <v>46125</v>
      </c>
      <c r="B626" s="4" t="str">
        <f>IF(A626="","","PC-"&amp;TEXT(A626,"mm/yyyy")&amp;"-"&amp;TEXT(COUNTIFS($A$2:A626,"&gt;="&amp;EOMONTH(A626,-1)+1,$A$2:A626,"&lt;="&amp;EOMONTH(A626,0)),"000"))</f>
        <v>PC-04/2026-133</v>
      </c>
      <c r="C626" s="5" t="s">
        <v>963</v>
      </c>
      <c r="D626" s="5" t="s">
        <v>29</v>
      </c>
      <c r="E626" s="5" t="s">
        <v>41</v>
      </c>
      <c r="F626" s="5"/>
      <c r="G626" s="5" t="s">
        <v>192</v>
      </c>
      <c r="H626" s="5" t="s">
        <v>23</v>
      </c>
      <c r="I626" s="6">
        <v>100000</v>
      </c>
      <c r="J626" s="6">
        <f>IF(D626="Thu",I626,0)</f>
        <v>0</v>
      </c>
      <c r="K626" s="6">
        <f>IF(D626="Chi",I626,0)</f>
        <v>100000</v>
      </c>
      <c r="L626" s="6" t="e">
        <f>L625+J626-K626</f>
        <v>#VALUE!</v>
      </c>
      <c r="M626" s="6">
        <f ca="1">IFERROR(__xludf.DUMMYFUNCTION("SUM(FILTER(J:J, H:H=""Tiền mặt"")) - SUM(FILTER(K:K, H:H=""Tiền mặt""))
"),959000)</f>
        <v>959000</v>
      </c>
      <c r="N626" s="6">
        <f ca="1">IFERROR(__xludf.DUMMYFUNCTION("SUM(FILTER(J:J, H:H=""Chuyển khoản"")) - SUM(FILTER(K:K, H:H=""Chuyển khoản""))
"),4468984)</f>
        <v>4468984</v>
      </c>
      <c r="O626" s="5"/>
      <c r="P626" s="5"/>
      <c r="Q626" s="5"/>
      <c r="R626" s="5"/>
      <c r="S626" s="5"/>
    </row>
    <row r="627" spans="1:19" ht="15.75" customHeight="1" x14ac:dyDescent="0.2">
      <c r="A627" s="3">
        <v>46125</v>
      </c>
      <c r="B627" s="4" t="str">
        <f>IF(A627="","","PC-"&amp;TEXT(A627,"mm/yyyy")&amp;"-"&amp;TEXT(COUNTIFS($A$2:A627,"&gt;="&amp;EOMONTH(A627,-1)+1,$A$2:A627,"&lt;="&amp;EOMONTH(A627,0)),"000"))</f>
        <v>PC-04/2026-134</v>
      </c>
      <c r="C627" s="5" t="s">
        <v>964</v>
      </c>
      <c r="D627" s="5" t="s">
        <v>29</v>
      </c>
      <c r="E627" s="5" t="s">
        <v>41</v>
      </c>
      <c r="F627" s="5"/>
      <c r="G627" s="5" t="s">
        <v>82</v>
      </c>
      <c r="H627" s="5" t="s">
        <v>23</v>
      </c>
      <c r="I627" s="6">
        <v>100000</v>
      </c>
      <c r="J627" s="6">
        <f>IF(D627="Thu",I627,0)</f>
        <v>0</v>
      </c>
      <c r="K627" s="6">
        <f>IF(D627="Chi",I627,0)</f>
        <v>100000</v>
      </c>
      <c r="L627" s="6" t="e">
        <f>L626+J627-K627</f>
        <v>#VALUE!</v>
      </c>
      <c r="M627" s="6">
        <f ca="1">IFERROR(__xludf.DUMMYFUNCTION("SUM(FILTER(J:J, H:H=""Tiền mặt"")) - SUM(FILTER(K:K, H:H=""Tiền mặt""))
"),959000)</f>
        <v>959000</v>
      </c>
      <c r="N627" s="6">
        <f ca="1">IFERROR(__xludf.DUMMYFUNCTION("SUM(FILTER(J:J, H:H=""Chuyển khoản"")) - SUM(FILTER(K:K, H:H=""Chuyển khoản""))
"),4468984)</f>
        <v>4468984</v>
      </c>
      <c r="O627" s="5"/>
      <c r="P627" s="5"/>
      <c r="Q627" s="5"/>
      <c r="R627" s="5"/>
      <c r="S627" s="5"/>
    </row>
    <row r="628" spans="1:19" ht="15.75" customHeight="1" x14ac:dyDescent="0.2">
      <c r="A628" s="3">
        <v>46125</v>
      </c>
      <c r="B628" s="4" t="str">
        <f>IF(A628="","","PC-"&amp;TEXT(A628,"mm/yyyy")&amp;"-"&amp;TEXT(COUNTIFS($A$2:A628,"&gt;="&amp;EOMONTH(A628,-1)+1,$A$2:A628,"&lt;="&amp;EOMONTH(A628,0)),"000"))</f>
        <v>PC-04/2026-135</v>
      </c>
      <c r="C628" s="5" t="s">
        <v>965</v>
      </c>
      <c r="D628" s="5" t="s">
        <v>29</v>
      </c>
      <c r="E628" s="5" t="s">
        <v>346</v>
      </c>
      <c r="F628" s="5"/>
      <c r="G628" s="5" t="s">
        <v>381</v>
      </c>
      <c r="H628" s="5" t="s">
        <v>23</v>
      </c>
      <c r="I628" s="6">
        <v>2000000</v>
      </c>
      <c r="J628" s="6">
        <f>IF(D628="Thu",I628,0)</f>
        <v>0</v>
      </c>
      <c r="K628" s="6">
        <f>IF(D628="Chi",I628,0)</f>
        <v>2000000</v>
      </c>
      <c r="L628" s="6" t="e">
        <f>L627+J628-K628</f>
        <v>#VALUE!</v>
      </c>
      <c r="M628" s="6">
        <f ca="1">IFERROR(__xludf.DUMMYFUNCTION("SUM(FILTER(J:J, H:H=""Tiền mặt"")) - SUM(FILTER(K:K, H:H=""Tiền mặt""))
"),959000)</f>
        <v>959000</v>
      </c>
      <c r="N628" s="6">
        <f ca="1">IFERROR(__xludf.DUMMYFUNCTION("SUM(FILTER(J:J, H:H=""Chuyển khoản"")) - SUM(FILTER(K:K, H:H=""Chuyển khoản""))
"),4468984)</f>
        <v>4468984</v>
      </c>
      <c r="O628" s="5"/>
      <c r="P628" s="5"/>
      <c r="Q628" s="5"/>
      <c r="R628" s="5"/>
      <c r="S628" s="5"/>
    </row>
    <row r="629" spans="1:19" ht="15.75" customHeight="1" x14ac:dyDescent="0.2">
      <c r="A629" s="3">
        <v>46125</v>
      </c>
      <c r="B629" s="4" t="str">
        <f>IF(A629="","","PC-"&amp;TEXT(A629,"mm/yyyy")&amp;"-"&amp;TEXT(COUNTIFS($A$2:A629,"&gt;="&amp;EOMONTH(A629,-1)+1,$A$2:A629,"&lt;="&amp;EOMONTH(A629,0)),"000"))</f>
        <v>PC-04/2026-136</v>
      </c>
      <c r="C629" s="5" t="s">
        <v>966</v>
      </c>
      <c r="D629" s="5" t="s">
        <v>29</v>
      </c>
      <c r="E629" s="5" t="s">
        <v>64</v>
      </c>
      <c r="F629" s="5"/>
      <c r="G629" s="5" t="s">
        <v>217</v>
      </c>
      <c r="H629" s="5" t="s">
        <v>27</v>
      </c>
      <c r="I629" s="6">
        <v>240000</v>
      </c>
      <c r="J629" s="6">
        <f>IF(D629="Thu",I629,0)</f>
        <v>0</v>
      </c>
      <c r="K629" s="6">
        <f>IF(D629="Chi",I629,0)</f>
        <v>240000</v>
      </c>
      <c r="L629" s="6" t="e">
        <f>L628+J629-K629</f>
        <v>#VALUE!</v>
      </c>
      <c r="M629" s="6">
        <f ca="1">IFERROR(__xludf.DUMMYFUNCTION("SUM(FILTER(J:J, H:H=""Tiền mặt"")) - SUM(FILTER(K:K, H:H=""Tiền mặt""))
"),959000)</f>
        <v>959000</v>
      </c>
      <c r="N629" s="6">
        <f ca="1">IFERROR(__xludf.DUMMYFUNCTION("SUM(FILTER(J:J, H:H=""Chuyển khoản"")) - SUM(FILTER(K:K, H:H=""Chuyển khoản""))
"),4468984)</f>
        <v>4468984</v>
      </c>
      <c r="O629" s="5"/>
      <c r="P629" s="5"/>
      <c r="Q629" s="5"/>
      <c r="R629" s="5"/>
      <c r="S629" s="5"/>
    </row>
    <row r="630" spans="1:19" ht="15.75" customHeight="1" x14ac:dyDescent="0.2">
      <c r="A630" s="3">
        <v>46124</v>
      </c>
      <c r="B630" s="4" t="str">
        <f>IF(A630="","","PC-"&amp;TEXT(A630,"mm/yyyy")&amp;"-"&amp;TEXT(COUNTIFS($A$2:A630,"&gt;="&amp;EOMONTH(A630,-1)+1,$A$2:A630,"&lt;="&amp;EOMONTH(A630,0)),"000"))</f>
        <v>PC-04/2026-137</v>
      </c>
      <c r="C630" s="5" t="s">
        <v>952</v>
      </c>
      <c r="D630" s="5" t="s">
        <v>29</v>
      </c>
      <c r="E630" s="5" t="s">
        <v>153</v>
      </c>
      <c r="F630" s="5"/>
      <c r="G630" s="5" t="s">
        <v>953</v>
      </c>
      <c r="H630" s="5" t="s">
        <v>27</v>
      </c>
      <c r="I630" s="6">
        <v>4315000</v>
      </c>
      <c r="J630" s="6">
        <f>IF(D630="Thu",I630,0)</f>
        <v>0</v>
      </c>
      <c r="K630" s="6">
        <f>IF(D630="Chi",I630,0)</f>
        <v>4315000</v>
      </c>
      <c r="L630" s="6" t="e">
        <f>L629+J630-K630</f>
        <v>#VALUE!</v>
      </c>
      <c r="M630" s="6">
        <f ca="1">IFERROR(__xludf.DUMMYFUNCTION("SUM(FILTER(J:J, H:H=""Tiền mặt"")) - SUM(FILTER(K:K, H:H=""Tiền mặt""))
"),959000)</f>
        <v>959000</v>
      </c>
      <c r="N630" s="6">
        <f ca="1">IFERROR(__xludf.DUMMYFUNCTION("SUM(FILTER(J:J, H:H=""Chuyển khoản"")) - SUM(FILTER(K:K, H:H=""Chuyển khoản""))
"),4468984)</f>
        <v>4468984</v>
      </c>
      <c r="O630" s="5"/>
      <c r="P630" s="5"/>
      <c r="Q630" s="5"/>
      <c r="R630" s="5"/>
      <c r="S630" s="5"/>
    </row>
    <row r="631" spans="1:19" ht="15.75" customHeight="1" x14ac:dyDescent="0.2">
      <c r="A631" s="3">
        <v>46123</v>
      </c>
      <c r="B631" s="4" t="str">
        <f>IF(A631="","","PC-"&amp;TEXT(A631,"mm/yyyy")&amp;"-"&amp;TEXT(COUNTIFS($A$2:A631,"&gt;="&amp;EOMONTH(A631,-1)+1,$A$2:A631,"&lt;="&amp;EOMONTH(A631,0)),"000"))</f>
        <v>PC-04/2026-138</v>
      </c>
      <c r="C631" s="5" t="s">
        <v>947</v>
      </c>
      <c r="D631" s="5" t="s">
        <v>29</v>
      </c>
      <c r="E631" s="5" t="s">
        <v>36</v>
      </c>
      <c r="F631" s="5"/>
      <c r="G631" s="5" t="s">
        <v>37</v>
      </c>
      <c r="H631" s="5" t="s">
        <v>23</v>
      </c>
      <c r="I631" s="6">
        <v>45000</v>
      </c>
      <c r="J631" s="6">
        <f>IF(D631="Thu",I631,0)</f>
        <v>0</v>
      </c>
      <c r="K631" s="6">
        <f>IF(D631="Chi",I631,0)</f>
        <v>45000</v>
      </c>
      <c r="L631" s="6" t="e">
        <f>L630+J631-K631</f>
        <v>#VALUE!</v>
      </c>
      <c r="M631" s="6">
        <f ca="1">IFERROR(__xludf.DUMMYFUNCTION("SUM(FILTER(J:J, H:H=""Tiền mặt"")) - SUM(FILTER(K:K, H:H=""Tiền mặt""))
"),959000)</f>
        <v>959000</v>
      </c>
      <c r="N631" s="6">
        <f ca="1">IFERROR(__xludf.DUMMYFUNCTION("SUM(FILTER(J:J, H:H=""Chuyển khoản"")) - SUM(FILTER(K:K, H:H=""Chuyển khoản""))
"),4468984)</f>
        <v>4468984</v>
      </c>
      <c r="O631" s="5"/>
      <c r="P631" s="5"/>
      <c r="Q631" s="5"/>
      <c r="R631" s="5"/>
      <c r="S631" s="5"/>
    </row>
    <row r="632" spans="1:19" ht="15.75" customHeight="1" x14ac:dyDescent="0.2">
      <c r="A632" s="3">
        <v>46123</v>
      </c>
      <c r="B632" s="4" t="str">
        <f>IF(A632="","","PC-"&amp;TEXT(A632,"mm/yyyy")&amp;"-"&amp;TEXT(COUNTIFS($A$2:A632,"&gt;="&amp;EOMONTH(A632,-1)+1,$A$2:A632,"&lt;="&amp;EOMONTH(A632,0)),"000"))</f>
        <v>PC-04/2026-139</v>
      </c>
      <c r="C632" s="5" t="s">
        <v>948</v>
      </c>
      <c r="D632" s="5" t="s">
        <v>29</v>
      </c>
      <c r="E632" s="5" t="s">
        <v>41</v>
      </c>
      <c r="F632" s="5"/>
      <c r="G632" s="5" t="s">
        <v>42</v>
      </c>
      <c r="H632" s="5" t="s">
        <v>23</v>
      </c>
      <c r="I632" s="6">
        <v>100000</v>
      </c>
      <c r="J632" s="6">
        <f>IF(D632="Thu",I632,0)</f>
        <v>0</v>
      </c>
      <c r="K632" s="6">
        <f>IF(D632="Chi",I632,0)</f>
        <v>100000</v>
      </c>
      <c r="L632" s="6" t="e">
        <f>L631+J632-K632</f>
        <v>#VALUE!</v>
      </c>
      <c r="M632" s="6">
        <f ca="1">IFERROR(__xludf.DUMMYFUNCTION("SUM(FILTER(J:J, H:H=""Tiền mặt"")) - SUM(FILTER(K:K, H:H=""Tiền mặt""))
"),959000)</f>
        <v>959000</v>
      </c>
      <c r="N632" s="6">
        <f ca="1">IFERROR(__xludf.DUMMYFUNCTION("SUM(FILTER(J:J, H:H=""Chuyển khoản"")) - SUM(FILTER(K:K, H:H=""Chuyển khoản""))
"),4468984)</f>
        <v>4468984</v>
      </c>
      <c r="O632" s="5"/>
      <c r="P632" s="5"/>
      <c r="Q632" s="5"/>
      <c r="R632" s="5"/>
      <c r="S632" s="5"/>
    </row>
    <row r="633" spans="1:19" ht="15.75" customHeight="1" x14ac:dyDescent="0.2">
      <c r="A633" s="3">
        <v>46123</v>
      </c>
      <c r="B633" s="4" t="str">
        <f>IF(A633="","","PC-"&amp;TEXT(A633,"mm/yyyy")&amp;"-"&amp;TEXT(COUNTIFS($A$2:A633,"&gt;="&amp;EOMONTH(A633,-1)+1,$A$2:A633,"&lt;="&amp;EOMONTH(A633,0)),"000"))</f>
        <v>PC-04/2026-140</v>
      </c>
      <c r="C633" s="5" t="s">
        <v>949</v>
      </c>
      <c r="D633" s="5" t="s">
        <v>29</v>
      </c>
      <c r="E633" s="5" t="s">
        <v>153</v>
      </c>
      <c r="F633" s="5"/>
      <c r="G633" s="5" t="s">
        <v>37</v>
      </c>
      <c r="H633" s="5" t="s">
        <v>27</v>
      </c>
      <c r="I633" s="6">
        <v>578000</v>
      </c>
      <c r="J633" s="6">
        <f>IF(D633="Thu",I633,0)</f>
        <v>0</v>
      </c>
      <c r="K633" s="6">
        <f>IF(D633="Chi",I633,0)</f>
        <v>578000</v>
      </c>
      <c r="L633" s="6" t="e">
        <f>L632+J633-K633</f>
        <v>#VALUE!</v>
      </c>
      <c r="M633" s="6">
        <f ca="1">IFERROR(__xludf.DUMMYFUNCTION("SUM(FILTER(J:J, H:H=""Tiền mặt"")) - SUM(FILTER(K:K, H:H=""Tiền mặt""))
"),959000)</f>
        <v>959000</v>
      </c>
      <c r="N633" s="6">
        <f ca="1">IFERROR(__xludf.DUMMYFUNCTION("SUM(FILTER(J:J, H:H=""Chuyển khoản"")) - SUM(FILTER(K:K, H:H=""Chuyển khoản""))
"),4468984)</f>
        <v>4468984</v>
      </c>
      <c r="O633" s="5"/>
      <c r="P633" s="5"/>
      <c r="Q633" s="5"/>
      <c r="R633" s="5"/>
      <c r="S633" s="5"/>
    </row>
    <row r="634" spans="1:19" ht="15.75" customHeight="1" x14ac:dyDescent="0.2">
      <c r="A634" s="3">
        <v>46123</v>
      </c>
      <c r="B634" s="4" t="str">
        <f>IF(A634="","","PC-"&amp;TEXT(A634,"mm/yyyy")&amp;"-"&amp;TEXT(COUNTIFS($A$2:A634,"&gt;="&amp;EOMONTH(A634,-1)+1,$A$2:A634,"&lt;="&amp;EOMONTH(A634,0)),"000"))</f>
        <v>PC-04/2026-141</v>
      </c>
      <c r="C634" s="5" t="s">
        <v>950</v>
      </c>
      <c r="D634" s="5" t="s">
        <v>29</v>
      </c>
      <c r="E634" s="5" t="s">
        <v>36</v>
      </c>
      <c r="F634" s="5"/>
      <c r="G634" s="5" t="s">
        <v>951</v>
      </c>
      <c r="H634" s="5" t="s">
        <v>23</v>
      </c>
      <c r="I634" s="6">
        <v>350000</v>
      </c>
      <c r="J634" s="6">
        <f>IF(D634="Thu",I634,0)</f>
        <v>0</v>
      </c>
      <c r="K634" s="6">
        <f>IF(D634="Chi",I634,0)</f>
        <v>350000</v>
      </c>
      <c r="L634" s="6" t="e">
        <f>L633+J634-K634</f>
        <v>#VALUE!</v>
      </c>
      <c r="M634" s="6">
        <f ca="1">IFERROR(__xludf.DUMMYFUNCTION("SUM(FILTER(J:J, H:H=""Tiền mặt"")) - SUM(FILTER(K:K, H:H=""Tiền mặt""))
"),959000)</f>
        <v>959000</v>
      </c>
      <c r="N634" s="6">
        <f ca="1">IFERROR(__xludf.DUMMYFUNCTION("SUM(FILTER(J:J, H:H=""Chuyển khoản"")) - SUM(FILTER(K:K, H:H=""Chuyển khoản""))
"),4468984)</f>
        <v>4468984</v>
      </c>
      <c r="O634" s="5"/>
      <c r="P634" s="5"/>
      <c r="Q634" s="5"/>
      <c r="R634" s="5"/>
      <c r="S634" s="5"/>
    </row>
    <row r="635" spans="1:19" ht="15.75" customHeight="1" x14ac:dyDescent="0.2">
      <c r="A635" s="3">
        <v>46122</v>
      </c>
      <c r="B635" s="4" t="str">
        <f>IF(A635="","","PC-"&amp;TEXT(A635,"mm/yyyy")&amp;"-"&amp;TEXT(COUNTIFS($A$2:A635,"&gt;="&amp;EOMONTH(A635,-1)+1,$A$2:A635,"&lt;="&amp;EOMONTH(A635,0)),"000"))</f>
        <v>PC-04/2026-142</v>
      </c>
      <c r="C635" s="7" t="s">
        <v>937</v>
      </c>
      <c r="D635" s="5" t="s">
        <v>29</v>
      </c>
      <c r="E635" s="5" t="s">
        <v>41</v>
      </c>
      <c r="F635" s="5"/>
      <c r="G635" s="7" t="s">
        <v>82</v>
      </c>
      <c r="H635" s="5" t="s">
        <v>23</v>
      </c>
      <c r="I635" s="6">
        <v>100000</v>
      </c>
      <c r="J635" s="6">
        <f>IF(D635="Thu",I635,0)</f>
        <v>0</v>
      </c>
      <c r="K635" s="6">
        <f>IF(D635="Chi",I635,0)</f>
        <v>100000</v>
      </c>
      <c r="L635" s="6" t="e">
        <f>L634+J635-K635</f>
        <v>#VALUE!</v>
      </c>
      <c r="M635" s="6">
        <f ca="1">IFERROR(__xludf.DUMMYFUNCTION("SUM(FILTER(J:J, H:H=""Tiền mặt"")) - SUM(FILTER(K:K, H:H=""Tiền mặt""))
"),959000)</f>
        <v>959000</v>
      </c>
      <c r="N635" s="6">
        <f ca="1">IFERROR(__xludf.DUMMYFUNCTION("SUM(FILTER(J:J, H:H=""Chuyển khoản"")) - SUM(FILTER(K:K, H:H=""Chuyển khoản""))
"),4468984)</f>
        <v>4468984</v>
      </c>
      <c r="O635" s="5"/>
      <c r="P635" s="5"/>
      <c r="Q635" s="5"/>
      <c r="R635" s="5"/>
      <c r="S635" s="5"/>
    </row>
    <row r="636" spans="1:19" ht="15.75" customHeight="1" x14ac:dyDescent="0.2">
      <c r="A636" s="3">
        <v>46122</v>
      </c>
      <c r="B636" s="4" t="str">
        <f>IF(A636="","","PC-"&amp;TEXT(A636,"mm/yyyy")&amp;"-"&amp;TEXT(COUNTIFS($A$2:A636,"&gt;="&amp;EOMONTH(A636,-1)+1,$A$2:A636,"&lt;="&amp;EOMONTH(A636,0)),"000"))</f>
        <v>PC-04/2026-143</v>
      </c>
      <c r="C636" s="5" t="s">
        <v>938</v>
      </c>
      <c r="D636" s="5" t="s">
        <v>29</v>
      </c>
      <c r="E636" s="5" t="s">
        <v>47</v>
      </c>
      <c r="F636" s="5"/>
      <c r="G636" s="5" t="s">
        <v>48</v>
      </c>
      <c r="H636" s="5" t="s">
        <v>23</v>
      </c>
      <c r="I636" s="6">
        <v>50000</v>
      </c>
      <c r="J636" s="6">
        <f>IF(D636="Thu",I636,0)</f>
        <v>0</v>
      </c>
      <c r="K636" s="6">
        <f>IF(D636="Chi",I636,0)</f>
        <v>50000</v>
      </c>
      <c r="L636" s="6" t="e">
        <f>L635+J636-K636</f>
        <v>#VALUE!</v>
      </c>
      <c r="M636" s="6">
        <f ca="1">IFERROR(__xludf.DUMMYFUNCTION("SUM(FILTER(J:J, H:H=""Tiền mặt"")) - SUM(FILTER(K:K, H:H=""Tiền mặt""))
"),959000)</f>
        <v>959000</v>
      </c>
      <c r="N636" s="6">
        <f ca="1">IFERROR(__xludf.DUMMYFUNCTION("SUM(FILTER(J:J, H:H=""Chuyển khoản"")) - SUM(FILTER(K:K, H:H=""Chuyển khoản""))
"),4468984)</f>
        <v>4468984</v>
      </c>
      <c r="O636" s="5"/>
      <c r="P636" s="5"/>
      <c r="Q636" s="5"/>
      <c r="R636" s="5"/>
      <c r="S636" s="5"/>
    </row>
    <row r="637" spans="1:19" ht="15.75" customHeight="1" x14ac:dyDescent="0.2">
      <c r="A637" s="3">
        <v>46122</v>
      </c>
      <c r="B637" s="4" t="str">
        <f>IF(A637="","","PC-"&amp;TEXT(A637,"mm/yyyy")&amp;"-"&amp;TEXT(COUNTIFS($A$2:A637,"&gt;="&amp;EOMONTH(A637,-1)+1,$A$2:A637,"&lt;="&amp;EOMONTH(A637,0)),"000"))</f>
        <v>PC-04/2026-144</v>
      </c>
      <c r="C637" s="7" t="s">
        <v>939</v>
      </c>
      <c r="D637" s="5" t="s">
        <v>29</v>
      </c>
      <c r="E637" s="5" t="s">
        <v>41</v>
      </c>
      <c r="F637" s="5"/>
      <c r="G637" s="5" t="s">
        <v>82</v>
      </c>
      <c r="H637" s="5" t="s">
        <v>23</v>
      </c>
      <c r="I637" s="6">
        <v>100000</v>
      </c>
      <c r="J637" s="6">
        <f>IF(D637="Thu",I637,0)</f>
        <v>0</v>
      </c>
      <c r="K637" s="6">
        <f>IF(D637="Chi",I637,0)</f>
        <v>100000</v>
      </c>
      <c r="L637" s="6" t="e">
        <f>L636+J637-K637</f>
        <v>#VALUE!</v>
      </c>
      <c r="M637" s="6">
        <f ca="1">IFERROR(__xludf.DUMMYFUNCTION("SUM(FILTER(J:J, H:H=""Tiền mặt"")) - SUM(FILTER(K:K, H:H=""Tiền mặt""))
"),959000)</f>
        <v>959000</v>
      </c>
      <c r="N637" s="6">
        <f ca="1">IFERROR(__xludf.DUMMYFUNCTION("SUM(FILTER(J:J, H:H=""Chuyển khoản"")) - SUM(FILTER(K:K, H:H=""Chuyển khoản""))
"),4468984)</f>
        <v>4468984</v>
      </c>
      <c r="O637" s="5"/>
      <c r="P637" s="5"/>
      <c r="Q637" s="5"/>
      <c r="R637" s="5"/>
      <c r="S637" s="5"/>
    </row>
    <row r="638" spans="1:19" ht="15.75" customHeight="1" x14ac:dyDescent="0.2">
      <c r="A638" s="3">
        <v>46122</v>
      </c>
      <c r="B638" s="4" t="str">
        <f>IF(A638="","","PC-"&amp;TEXT(A638,"mm/yyyy")&amp;"-"&amp;TEXT(COUNTIFS($A$2:A638,"&gt;="&amp;EOMONTH(A638,-1)+1,$A$2:A638,"&lt;="&amp;EOMONTH(A638,0)),"000"))</f>
        <v>PC-04/2026-145</v>
      </c>
      <c r="C638" s="5" t="s">
        <v>940</v>
      </c>
      <c r="D638" s="5" t="s">
        <v>29</v>
      </c>
      <c r="E638" s="5" t="s">
        <v>51</v>
      </c>
      <c r="F638" s="5"/>
      <c r="G638" s="5" t="s">
        <v>52</v>
      </c>
      <c r="H638" s="5" t="s">
        <v>27</v>
      </c>
      <c r="I638" s="6">
        <v>119620</v>
      </c>
      <c r="J638" s="6">
        <f>IF(D638="Thu",I638,0)</f>
        <v>0</v>
      </c>
      <c r="K638" s="6">
        <f>IF(D638="Chi",I638,0)</f>
        <v>119620</v>
      </c>
      <c r="L638" s="6" t="e">
        <f>L637+J638-K638</f>
        <v>#VALUE!</v>
      </c>
      <c r="M638" s="6">
        <f ca="1">IFERROR(__xludf.DUMMYFUNCTION("SUM(FILTER(J:J, H:H=""Tiền mặt"")) - SUM(FILTER(K:K, H:H=""Tiền mặt""))
"),959000)</f>
        <v>959000</v>
      </c>
      <c r="N638" s="6">
        <f ca="1">IFERROR(__xludf.DUMMYFUNCTION("SUM(FILTER(J:J, H:H=""Chuyển khoản"")) - SUM(FILTER(K:K, H:H=""Chuyển khoản""))
"),4468984)</f>
        <v>4468984</v>
      </c>
      <c r="O638" s="5"/>
      <c r="P638" s="5"/>
      <c r="Q638" s="5"/>
      <c r="R638" s="5"/>
      <c r="S638" s="5"/>
    </row>
    <row r="639" spans="1:19" ht="15.75" customHeight="1" x14ac:dyDescent="0.2">
      <c r="A639" s="3">
        <v>46122</v>
      </c>
      <c r="B639" s="4" t="str">
        <f>IF(A639="","","PC-"&amp;TEXT(A639,"mm/yyyy")&amp;"-"&amp;TEXT(COUNTIFS($A$2:A639,"&gt;="&amp;EOMONTH(A639,-1)+1,$A$2:A639,"&lt;="&amp;EOMONTH(A639,0)),"000"))</f>
        <v>PC-04/2026-146</v>
      </c>
      <c r="C639" s="5" t="s">
        <v>941</v>
      </c>
      <c r="D639" s="5" t="s">
        <v>29</v>
      </c>
      <c r="E639" s="5" t="s">
        <v>41</v>
      </c>
      <c r="F639" s="5"/>
      <c r="G639" s="5" t="s">
        <v>42</v>
      </c>
      <c r="H639" s="5" t="s">
        <v>23</v>
      </c>
      <c r="I639" s="6">
        <v>100000</v>
      </c>
      <c r="J639" s="6">
        <f>IF(D639="Thu",I639,0)</f>
        <v>0</v>
      </c>
      <c r="K639" s="6">
        <f>IF(D639="Chi",I639,0)</f>
        <v>100000</v>
      </c>
      <c r="L639" s="6" t="e">
        <f>L638+J639-K639</f>
        <v>#VALUE!</v>
      </c>
      <c r="M639" s="6">
        <f ca="1">IFERROR(__xludf.DUMMYFUNCTION("SUM(FILTER(J:J, H:H=""Tiền mặt"")) - SUM(FILTER(K:K, H:H=""Tiền mặt""))
"),959000)</f>
        <v>959000</v>
      </c>
      <c r="N639" s="6">
        <f ca="1">IFERROR(__xludf.DUMMYFUNCTION("SUM(FILTER(J:J, H:H=""Chuyển khoản"")) - SUM(FILTER(K:K, H:H=""Chuyển khoản""))
"),4468984)</f>
        <v>4468984</v>
      </c>
      <c r="O639" s="5"/>
      <c r="P639" s="5"/>
      <c r="Q639" s="5"/>
      <c r="R639" s="5"/>
      <c r="S639" s="5"/>
    </row>
    <row r="640" spans="1:19" ht="15.75" customHeight="1" x14ac:dyDescent="0.2">
      <c r="A640" s="3">
        <v>46122</v>
      </c>
      <c r="B640" s="4" t="str">
        <f>IF(A640="","","PC-"&amp;TEXT(A640,"mm/yyyy")&amp;"-"&amp;TEXT(COUNTIFS($A$2:A640,"&gt;="&amp;EOMONTH(A640,-1)+1,$A$2:A640,"&lt;="&amp;EOMONTH(A640,0)),"000"))</f>
        <v>PC-04/2026-147</v>
      </c>
      <c r="C640" s="4" t="s">
        <v>942</v>
      </c>
      <c r="D640" s="5" t="s">
        <v>29</v>
      </c>
      <c r="E640" s="5" t="s">
        <v>44</v>
      </c>
      <c r="F640" s="5"/>
      <c r="G640" s="5" t="s">
        <v>99</v>
      </c>
      <c r="H640" s="5" t="s">
        <v>23</v>
      </c>
      <c r="I640" s="6">
        <v>1500000</v>
      </c>
      <c r="J640" s="6">
        <f>IF(D640="Thu",I640,0)</f>
        <v>0</v>
      </c>
      <c r="K640" s="6">
        <f>IF(D640="Chi",I640,0)</f>
        <v>1500000</v>
      </c>
      <c r="L640" s="6" t="e">
        <f>L639+J640-K640</f>
        <v>#VALUE!</v>
      </c>
      <c r="M640" s="6">
        <f ca="1">IFERROR(__xludf.DUMMYFUNCTION("SUM(FILTER(J:J, H:H=""Tiền mặt"")) - SUM(FILTER(K:K, H:H=""Tiền mặt""))
"),959000)</f>
        <v>959000</v>
      </c>
      <c r="N640" s="6">
        <f ca="1">IFERROR(__xludf.DUMMYFUNCTION("SUM(FILTER(J:J, H:H=""Chuyển khoản"")) - SUM(FILTER(K:K, H:H=""Chuyển khoản""))
"),4468984)</f>
        <v>4468984</v>
      </c>
      <c r="O640" s="5"/>
      <c r="P640" s="5"/>
      <c r="Q640" s="5"/>
      <c r="R640" s="5"/>
      <c r="S640" s="5"/>
    </row>
    <row r="641" spans="1:19" ht="15.75" customHeight="1" x14ac:dyDescent="0.2">
      <c r="A641" s="3">
        <v>46122</v>
      </c>
      <c r="B641" s="4" t="str">
        <f>IF(A641="","","PC-"&amp;TEXT(A641,"mm/yyyy")&amp;"-"&amp;TEXT(COUNTIFS($A$2:A641,"&gt;="&amp;EOMONTH(A641,-1)+1,$A$2:A641,"&lt;="&amp;EOMONTH(A641,0)),"000"))</f>
        <v>PC-04/2026-148</v>
      </c>
      <c r="C641" s="5" t="s">
        <v>943</v>
      </c>
      <c r="D641" s="5" t="s">
        <v>29</v>
      </c>
      <c r="E641" s="5" t="s">
        <v>41</v>
      </c>
      <c r="F641" s="5"/>
      <c r="G641" s="5" t="s">
        <v>944</v>
      </c>
      <c r="H641" s="5" t="s">
        <v>23</v>
      </c>
      <c r="I641" s="6">
        <v>100000</v>
      </c>
      <c r="J641" s="6">
        <f>IF(D641="Thu",I641,0)</f>
        <v>0</v>
      </c>
      <c r="K641" s="6">
        <f>IF(D641="Chi",I641,0)</f>
        <v>100000</v>
      </c>
      <c r="L641" s="6" t="e">
        <f>L640+J641-K641</f>
        <v>#VALUE!</v>
      </c>
      <c r="M641" s="6">
        <f ca="1">IFERROR(__xludf.DUMMYFUNCTION("SUM(FILTER(J:J, H:H=""Tiền mặt"")) - SUM(FILTER(K:K, H:H=""Tiền mặt""))
"),959000)</f>
        <v>959000</v>
      </c>
      <c r="N641" s="6">
        <f ca="1">IFERROR(__xludf.DUMMYFUNCTION("SUM(FILTER(J:J, H:H=""Chuyển khoản"")) - SUM(FILTER(K:K, H:H=""Chuyển khoản""))
"),4468984)</f>
        <v>4468984</v>
      </c>
      <c r="O641" s="5"/>
      <c r="P641" s="5"/>
      <c r="Q641" s="5"/>
      <c r="R641" s="5"/>
      <c r="S641" s="5"/>
    </row>
    <row r="642" spans="1:19" ht="15.75" customHeight="1" x14ac:dyDescent="0.2">
      <c r="A642" s="3">
        <v>46122</v>
      </c>
      <c r="B642" s="4" t="str">
        <f>IF(A642="","","PC-"&amp;TEXT(A642,"mm/yyyy")&amp;"-"&amp;TEXT(COUNTIFS($A$2:A642,"&gt;="&amp;EOMONTH(A642,-1)+1,$A$2:A642,"&lt;="&amp;EOMONTH(A642,0)),"000"))</f>
        <v>PC-04/2026-149</v>
      </c>
      <c r="C642" s="7" t="s">
        <v>945</v>
      </c>
      <c r="D642" s="5" t="s">
        <v>29</v>
      </c>
      <c r="E642" s="5" t="s">
        <v>64</v>
      </c>
      <c r="F642" s="5"/>
      <c r="G642" s="5" t="s">
        <v>946</v>
      </c>
      <c r="H642" s="5" t="s">
        <v>23</v>
      </c>
      <c r="I642" s="6">
        <v>1000000</v>
      </c>
      <c r="J642" s="6">
        <f>IF(D642="Thu",I642,0)</f>
        <v>0</v>
      </c>
      <c r="K642" s="6">
        <f>IF(D642="Chi",I642,0)</f>
        <v>1000000</v>
      </c>
      <c r="L642" s="6" t="e">
        <f>L641+J642-K642</f>
        <v>#VALUE!</v>
      </c>
      <c r="M642" s="6">
        <f ca="1">IFERROR(__xludf.DUMMYFUNCTION("SUM(FILTER(J:J, H:H=""Tiền mặt"")) - SUM(FILTER(K:K, H:H=""Tiền mặt""))
"),959000)</f>
        <v>959000</v>
      </c>
      <c r="N642" s="6">
        <f ca="1">IFERROR(__xludf.DUMMYFUNCTION("SUM(FILTER(J:J, H:H=""Chuyển khoản"")) - SUM(FILTER(K:K, H:H=""Chuyển khoản""))
"),4468984)</f>
        <v>4468984</v>
      </c>
      <c r="O642" s="5"/>
      <c r="P642" s="5"/>
      <c r="Q642" s="5"/>
      <c r="R642" s="5"/>
      <c r="S642" s="5"/>
    </row>
    <row r="643" spans="1:19" ht="15.75" customHeight="1" x14ac:dyDescent="0.2">
      <c r="A643" s="3">
        <v>46121</v>
      </c>
      <c r="B643" s="4" t="str">
        <f>IF(A643="","","PC-"&amp;TEXT(A643,"mm/yyyy")&amp;"-"&amp;TEXT(COUNTIFS($A$2:A643,"&gt;="&amp;EOMONTH(A643,-1)+1,$A$2:A643,"&lt;="&amp;EOMONTH(A643,0)),"000"))</f>
        <v>PC-04/2026-150</v>
      </c>
      <c r="C643" s="5" t="s">
        <v>926</v>
      </c>
      <c r="D643" s="5" t="s">
        <v>29</v>
      </c>
      <c r="E643" s="5" t="s">
        <v>75</v>
      </c>
      <c r="F643" s="5"/>
      <c r="G643" s="5" t="s">
        <v>927</v>
      </c>
      <c r="H643" s="5" t="s">
        <v>27</v>
      </c>
      <c r="I643" s="6">
        <v>150000</v>
      </c>
      <c r="J643" s="6">
        <f>IF(D643="Thu",I643,0)</f>
        <v>0</v>
      </c>
      <c r="K643" s="6">
        <f>IF(D643="Chi",I643,0)</f>
        <v>150000</v>
      </c>
      <c r="L643" s="6" t="e">
        <f>L642+J643-K643</f>
        <v>#VALUE!</v>
      </c>
      <c r="M643" s="6">
        <f ca="1">IFERROR(__xludf.DUMMYFUNCTION("SUM(FILTER(J:J, H:H=""Tiền mặt"")) - SUM(FILTER(K:K, H:H=""Tiền mặt""))
"),959000)</f>
        <v>959000</v>
      </c>
      <c r="N643" s="6">
        <f ca="1">IFERROR(__xludf.DUMMYFUNCTION("SUM(FILTER(J:J, H:H=""Chuyển khoản"")) - SUM(FILTER(K:K, H:H=""Chuyển khoản""))
"),4468984)</f>
        <v>4468984</v>
      </c>
      <c r="O643" s="5"/>
      <c r="P643" s="5"/>
      <c r="Q643" s="5"/>
      <c r="R643" s="5"/>
      <c r="S643" s="5"/>
    </row>
    <row r="644" spans="1:19" ht="15.75" customHeight="1" x14ac:dyDescent="0.2">
      <c r="A644" s="3">
        <v>46121</v>
      </c>
      <c r="B644" s="4" t="str">
        <f>IF(A644="","","PC-"&amp;TEXT(A644,"mm/yyyy")&amp;"-"&amp;TEXT(COUNTIFS($A$2:A644,"&gt;="&amp;EOMONTH(A644,-1)+1,$A$2:A644,"&lt;="&amp;EOMONTH(A644,0)),"000"))</f>
        <v>PC-04/2026-151</v>
      </c>
      <c r="C644" s="5" t="s">
        <v>928</v>
      </c>
      <c r="D644" s="5" t="s">
        <v>29</v>
      </c>
      <c r="E644" s="5" t="s">
        <v>346</v>
      </c>
      <c r="F644" s="5"/>
      <c r="G644" s="5" t="s">
        <v>381</v>
      </c>
      <c r="H644" s="5" t="s">
        <v>23</v>
      </c>
      <c r="I644" s="6">
        <v>1000000</v>
      </c>
      <c r="J644" s="6">
        <f>IF(D644="Thu",I644,0)</f>
        <v>0</v>
      </c>
      <c r="K644" s="6">
        <f>IF(D644="Chi",I644,0)</f>
        <v>1000000</v>
      </c>
      <c r="L644" s="6" t="e">
        <f>L643+J644-K644</f>
        <v>#VALUE!</v>
      </c>
      <c r="M644" s="6">
        <f ca="1">IFERROR(__xludf.DUMMYFUNCTION("SUM(FILTER(J:J, H:H=""Tiền mặt"")) - SUM(FILTER(K:K, H:H=""Tiền mặt""))
"),959000)</f>
        <v>959000</v>
      </c>
      <c r="N644" s="6">
        <f ca="1">IFERROR(__xludf.DUMMYFUNCTION("SUM(FILTER(J:J, H:H=""Chuyển khoản"")) - SUM(FILTER(K:K, H:H=""Chuyển khoản""))
"),4468984)</f>
        <v>4468984</v>
      </c>
      <c r="O644" s="5"/>
      <c r="P644" s="5"/>
      <c r="Q644" s="5"/>
      <c r="R644" s="5"/>
      <c r="S644" s="5"/>
    </row>
    <row r="645" spans="1:19" ht="15.75" customHeight="1" x14ac:dyDescent="0.2">
      <c r="A645" s="3">
        <v>46121</v>
      </c>
      <c r="B645" s="4" t="str">
        <f>IF(A645="","","PC-"&amp;TEXT(A645,"mm/yyyy")&amp;"-"&amp;TEXT(COUNTIFS($A$2:A645,"&gt;="&amp;EOMONTH(A645,-1)+1,$A$2:A645,"&lt;="&amp;EOMONTH(A645,0)),"000"))</f>
        <v>PC-04/2026-152</v>
      </c>
      <c r="C645" s="5" t="s">
        <v>929</v>
      </c>
      <c r="D645" s="5" t="s">
        <v>29</v>
      </c>
      <c r="E645" s="5" t="s">
        <v>674</v>
      </c>
      <c r="F645" s="5"/>
      <c r="G645" s="5" t="s">
        <v>571</v>
      </c>
      <c r="H645" s="5" t="s">
        <v>23</v>
      </c>
      <c r="I645" s="6">
        <v>30000</v>
      </c>
      <c r="J645" s="6">
        <f>IF(D645="Thu",I645,0)</f>
        <v>0</v>
      </c>
      <c r="K645" s="6">
        <f>IF(D645="Chi",I645,0)</f>
        <v>30000</v>
      </c>
      <c r="L645" s="6" t="e">
        <f>L644+J645-K645</f>
        <v>#VALUE!</v>
      </c>
      <c r="M645" s="6">
        <f ca="1">IFERROR(__xludf.DUMMYFUNCTION("SUM(FILTER(J:J, H:H=""Tiền mặt"")) - SUM(FILTER(K:K, H:H=""Tiền mặt""))
"),959000)</f>
        <v>959000</v>
      </c>
      <c r="N645" s="6">
        <f ca="1">IFERROR(__xludf.DUMMYFUNCTION("SUM(FILTER(J:J, H:H=""Chuyển khoản"")) - SUM(FILTER(K:K, H:H=""Chuyển khoản""))
"),4468984)</f>
        <v>4468984</v>
      </c>
      <c r="O645" s="5"/>
      <c r="P645" s="5"/>
      <c r="Q645" s="5"/>
      <c r="R645" s="5"/>
      <c r="S645" s="5"/>
    </row>
    <row r="646" spans="1:19" ht="15.75" customHeight="1" x14ac:dyDescent="0.2">
      <c r="A646" s="3">
        <v>46121</v>
      </c>
      <c r="B646" s="4" t="str">
        <f>IF(A646="","","PC-"&amp;TEXT(A646,"mm/yyyy")&amp;"-"&amp;TEXT(COUNTIFS($A$2:A646,"&gt;="&amp;EOMONTH(A646,-1)+1,$A$2:A646,"&lt;="&amp;EOMONTH(A646,0)),"000"))</f>
        <v>PC-04/2026-153</v>
      </c>
      <c r="C646" s="5" t="s">
        <v>930</v>
      </c>
      <c r="D646" s="5" t="s">
        <v>29</v>
      </c>
      <c r="E646" s="5" t="s">
        <v>44</v>
      </c>
      <c r="F646" s="5"/>
      <c r="G646" s="5" t="s">
        <v>931</v>
      </c>
      <c r="H646" s="5" t="s">
        <v>23</v>
      </c>
      <c r="I646" s="6">
        <v>1500000</v>
      </c>
      <c r="J646" s="6">
        <f>IF(D646="Thu",I646,0)</f>
        <v>0</v>
      </c>
      <c r="K646" s="6">
        <f>IF(D646="Chi",I646,0)</f>
        <v>1500000</v>
      </c>
      <c r="L646" s="6" t="e">
        <f>L645+J646-K646</f>
        <v>#VALUE!</v>
      </c>
      <c r="M646" s="6">
        <f ca="1">IFERROR(__xludf.DUMMYFUNCTION("SUM(FILTER(J:J, H:H=""Tiền mặt"")) - SUM(FILTER(K:K, H:H=""Tiền mặt""))
"),959000)</f>
        <v>959000</v>
      </c>
      <c r="N646" s="6">
        <f ca="1">IFERROR(__xludf.DUMMYFUNCTION("SUM(FILTER(J:J, H:H=""Chuyển khoản"")) - SUM(FILTER(K:K, H:H=""Chuyển khoản""))
"),4468984)</f>
        <v>4468984</v>
      </c>
      <c r="O646" s="5"/>
      <c r="P646" s="5"/>
      <c r="Q646" s="5"/>
      <c r="R646" s="5"/>
      <c r="S646" s="5"/>
    </row>
    <row r="647" spans="1:19" ht="15.75" customHeight="1" x14ac:dyDescent="0.2">
      <c r="A647" s="3">
        <v>46121</v>
      </c>
      <c r="B647" s="4" t="str">
        <f>IF(A647="","","PC-"&amp;TEXT(A647,"mm/yyyy")&amp;"-"&amp;TEXT(COUNTIFS($A$2:A647,"&gt;="&amp;EOMONTH(A647,-1)+1,$A$2:A647,"&lt;="&amp;EOMONTH(A647,0)),"000"))</f>
        <v>PC-04/2026-154</v>
      </c>
      <c r="C647" s="5" t="s">
        <v>932</v>
      </c>
      <c r="D647" s="5" t="s">
        <v>29</v>
      </c>
      <c r="E647" s="5" t="s">
        <v>47</v>
      </c>
      <c r="F647" s="5"/>
      <c r="G647" s="5" t="s">
        <v>48</v>
      </c>
      <c r="H647" s="5" t="s">
        <v>23</v>
      </c>
      <c r="I647" s="6">
        <v>50000</v>
      </c>
      <c r="J647" s="6">
        <f>IF(D647="Thu",I647,0)</f>
        <v>0</v>
      </c>
      <c r="K647" s="6">
        <f>IF(D647="Chi",I647,0)</f>
        <v>50000</v>
      </c>
      <c r="L647" s="6" t="e">
        <f>L646+J647-K647</f>
        <v>#VALUE!</v>
      </c>
      <c r="M647" s="6">
        <f ca="1">IFERROR(__xludf.DUMMYFUNCTION("SUM(FILTER(J:J, H:H=""Tiền mặt"")) - SUM(FILTER(K:K, H:H=""Tiền mặt""))
"),959000)</f>
        <v>959000</v>
      </c>
      <c r="N647" s="6">
        <f ca="1">IFERROR(__xludf.DUMMYFUNCTION("SUM(FILTER(J:J, H:H=""Chuyển khoản"")) - SUM(FILTER(K:K, H:H=""Chuyển khoản""))
"),4468984)</f>
        <v>4468984</v>
      </c>
      <c r="O647" s="5"/>
      <c r="P647" s="5"/>
      <c r="Q647" s="5"/>
      <c r="R647" s="5"/>
      <c r="S647" s="5"/>
    </row>
    <row r="648" spans="1:19" ht="15.75" customHeight="1" x14ac:dyDescent="0.2">
      <c r="A648" s="3">
        <v>46121</v>
      </c>
      <c r="B648" s="4" t="str">
        <f>IF(A648="","","PC-"&amp;TEXT(A648,"mm/yyyy")&amp;"-"&amp;TEXT(COUNTIFS($A$2:A648,"&gt;="&amp;EOMONTH(A648,-1)+1,$A$2:A648,"&lt;="&amp;EOMONTH(A648,0)),"000"))</f>
        <v>PC-04/2026-155</v>
      </c>
      <c r="C648" s="5" t="s">
        <v>933</v>
      </c>
      <c r="D648" s="5" t="s">
        <v>29</v>
      </c>
      <c r="E648" s="5" t="s">
        <v>41</v>
      </c>
      <c r="F648" s="5"/>
      <c r="G648" s="5" t="s">
        <v>42</v>
      </c>
      <c r="H648" s="5" t="s">
        <v>23</v>
      </c>
      <c r="I648" s="6">
        <v>100000</v>
      </c>
      <c r="J648" s="6">
        <f>IF(D648="Thu",I648,0)</f>
        <v>0</v>
      </c>
      <c r="K648" s="6">
        <f>IF(D648="Chi",I648,0)</f>
        <v>100000</v>
      </c>
      <c r="L648" s="6" t="e">
        <f>L647+J648-K648</f>
        <v>#VALUE!</v>
      </c>
      <c r="M648" s="6">
        <f ca="1">IFERROR(__xludf.DUMMYFUNCTION("SUM(FILTER(J:J, H:H=""Tiền mặt"")) - SUM(FILTER(K:K, H:H=""Tiền mặt""))
"),959000)</f>
        <v>959000</v>
      </c>
      <c r="N648" s="6">
        <f ca="1">IFERROR(__xludf.DUMMYFUNCTION("SUM(FILTER(J:J, H:H=""Chuyển khoản"")) - SUM(FILTER(K:K, H:H=""Chuyển khoản""))
"),4468984)</f>
        <v>4468984</v>
      </c>
      <c r="O648" s="5"/>
      <c r="P648" s="5"/>
      <c r="Q648" s="5"/>
      <c r="R648" s="5"/>
      <c r="S648" s="5"/>
    </row>
    <row r="649" spans="1:19" ht="15.75" customHeight="1" x14ac:dyDescent="0.2">
      <c r="A649" s="3">
        <v>46121</v>
      </c>
      <c r="B649" s="4" t="str">
        <f>IF(A649="","","PC-"&amp;TEXT(A649,"mm/yyyy")&amp;"-"&amp;TEXT(COUNTIFS($A$2:A649,"&gt;="&amp;EOMONTH(A649,-1)+1,$A$2:A649,"&lt;="&amp;EOMONTH(A649,0)),"000"))</f>
        <v>PC-04/2026-156</v>
      </c>
      <c r="C649" s="5" t="s">
        <v>934</v>
      </c>
      <c r="D649" s="5" t="s">
        <v>29</v>
      </c>
      <c r="E649" s="5" t="s">
        <v>71</v>
      </c>
      <c r="F649" s="5"/>
      <c r="G649" s="5" t="s">
        <v>935</v>
      </c>
      <c r="H649" s="5" t="s">
        <v>27</v>
      </c>
      <c r="I649" s="6">
        <v>240000</v>
      </c>
      <c r="J649" s="6">
        <f>IF(D649="Thu",I649,0)</f>
        <v>0</v>
      </c>
      <c r="K649" s="6">
        <f>IF(D649="Chi",I649,0)</f>
        <v>240000</v>
      </c>
      <c r="L649" s="6" t="e">
        <f>L648+J649-K649</f>
        <v>#VALUE!</v>
      </c>
      <c r="M649" s="6">
        <f ca="1">IFERROR(__xludf.DUMMYFUNCTION("SUM(FILTER(J:J, H:H=""Tiền mặt"")) - SUM(FILTER(K:K, H:H=""Tiền mặt""))
"),959000)</f>
        <v>959000</v>
      </c>
      <c r="N649" s="6">
        <f ca="1">IFERROR(__xludf.DUMMYFUNCTION("SUM(FILTER(J:J, H:H=""Chuyển khoản"")) - SUM(FILTER(K:K, H:H=""Chuyển khoản""))
"),4468984)</f>
        <v>4468984</v>
      </c>
      <c r="O649" s="5"/>
      <c r="P649" s="5"/>
      <c r="Q649" s="5"/>
      <c r="R649" s="5"/>
      <c r="S649" s="5"/>
    </row>
    <row r="650" spans="1:19" ht="15.75" customHeight="1" x14ac:dyDescent="0.2">
      <c r="A650" s="3">
        <v>46121</v>
      </c>
      <c r="B650" s="4" t="str">
        <f>IF(A650="","","PC-"&amp;TEXT(A650,"mm/yyyy")&amp;"-"&amp;TEXT(COUNTIFS($A$2:A650,"&gt;="&amp;EOMONTH(A650,-1)+1,$A$2:A650,"&lt;="&amp;EOMONTH(A650,0)),"000"))</f>
        <v>PC-04/2026-157</v>
      </c>
      <c r="C650" s="5" t="s">
        <v>715</v>
      </c>
      <c r="D650" s="5" t="s">
        <v>29</v>
      </c>
      <c r="E650" s="5" t="s">
        <v>78</v>
      </c>
      <c r="F650" s="5"/>
      <c r="G650" s="5" t="s">
        <v>72</v>
      </c>
      <c r="H650" s="5" t="s">
        <v>27</v>
      </c>
      <c r="I650" s="6">
        <v>470000</v>
      </c>
      <c r="J650" s="6">
        <f>IF(D650="Thu",I650,0)</f>
        <v>0</v>
      </c>
      <c r="K650" s="6">
        <f>IF(D650="Chi",I650,0)</f>
        <v>470000</v>
      </c>
      <c r="L650" s="6" t="e">
        <f>L649+J650-K650</f>
        <v>#VALUE!</v>
      </c>
      <c r="M650" s="6">
        <f ca="1">IFERROR(__xludf.DUMMYFUNCTION("SUM(FILTER(J:J, H:H=""Tiền mặt"")) - SUM(FILTER(K:K, H:H=""Tiền mặt""))
"),959000)</f>
        <v>959000</v>
      </c>
      <c r="N650" s="6">
        <f ca="1">IFERROR(__xludf.DUMMYFUNCTION("SUM(FILTER(J:J, H:H=""Chuyển khoản"")) - SUM(FILTER(K:K, H:H=""Chuyển khoản""))
"),4468984)</f>
        <v>4468984</v>
      </c>
      <c r="O650" s="5"/>
      <c r="P650" s="5"/>
      <c r="Q650" s="5"/>
      <c r="R650" s="5"/>
      <c r="S650" s="5"/>
    </row>
    <row r="651" spans="1:19" ht="15.75" customHeight="1" x14ac:dyDescent="0.2">
      <c r="A651" s="3">
        <v>46121</v>
      </c>
      <c r="B651" s="4" t="str">
        <f>IF(A651="","","PC-"&amp;TEXT(A651,"mm/yyyy")&amp;"-"&amp;TEXT(COUNTIFS($A$2:A651,"&gt;="&amp;EOMONTH(A651,-1)+1,$A$2:A651,"&lt;="&amp;EOMONTH(A651,0)),"000"))</f>
        <v>PC-04/2026-158</v>
      </c>
      <c r="C651" s="5" t="s">
        <v>843</v>
      </c>
      <c r="D651" s="5" t="s">
        <v>29</v>
      </c>
      <c r="E651" s="5" t="s">
        <v>51</v>
      </c>
      <c r="F651" s="5"/>
      <c r="G651" s="5" t="s">
        <v>52</v>
      </c>
      <c r="H651" s="5" t="s">
        <v>27</v>
      </c>
      <c r="I651" s="6">
        <v>203963</v>
      </c>
      <c r="J651" s="6">
        <f>IF(D651="Thu",I651,0)</f>
        <v>0</v>
      </c>
      <c r="K651" s="6">
        <f>IF(D651="Chi",I651,0)</f>
        <v>203963</v>
      </c>
      <c r="L651" s="6" t="e">
        <f>L650+J651-K651</f>
        <v>#VALUE!</v>
      </c>
      <c r="M651" s="6">
        <f ca="1">IFERROR(__xludf.DUMMYFUNCTION("SUM(FILTER(J:J, H:H=""Tiền mặt"")) - SUM(FILTER(K:K, H:H=""Tiền mặt""))
"),959000)</f>
        <v>959000</v>
      </c>
      <c r="N651" s="6">
        <f ca="1">IFERROR(__xludf.DUMMYFUNCTION("SUM(FILTER(J:J, H:H=""Chuyển khoản"")) - SUM(FILTER(K:K, H:H=""Chuyển khoản""))
"),4468984)</f>
        <v>4468984</v>
      </c>
      <c r="O651" s="5"/>
      <c r="P651" s="5"/>
      <c r="Q651" s="5"/>
      <c r="R651" s="5"/>
      <c r="S651" s="5"/>
    </row>
    <row r="652" spans="1:19" ht="15.75" customHeight="1" x14ac:dyDescent="0.2">
      <c r="A652" s="3">
        <v>46121</v>
      </c>
      <c r="B652" s="4" t="str">
        <f>IF(A652="","","PC-"&amp;TEXT(A652,"mm/yyyy")&amp;"-"&amp;TEXT(COUNTIFS($A$2:A652,"&gt;="&amp;EOMONTH(A652,-1)+1,$A$2:A652,"&lt;="&amp;EOMONTH(A652,0)),"000"))</f>
        <v>PC-04/2026-159</v>
      </c>
      <c r="D652" s="5" t="s">
        <v>20</v>
      </c>
      <c r="E652" s="5" t="s">
        <v>21</v>
      </c>
      <c r="F652" s="5"/>
      <c r="G652" s="5" t="s">
        <v>54</v>
      </c>
      <c r="H652" s="5" t="s">
        <v>23</v>
      </c>
      <c r="I652" s="6">
        <v>230000</v>
      </c>
      <c r="J652" s="6">
        <f>IF(D652="Thu",I652,0)</f>
        <v>230000</v>
      </c>
      <c r="K652" s="6">
        <f>IF(D652="Chi",I652,0)</f>
        <v>0</v>
      </c>
      <c r="L652" s="6" t="e">
        <f>L651+J652-K652</f>
        <v>#VALUE!</v>
      </c>
      <c r="M652" s="6">
        <f ca="1">IFERROR(__xludf.DUMMYFUNCTION("SUM(FILTER(J:J, H:H=""Tiền mặt"")) - SUM(FILTER(K:K, H:H=""Tiền mặt""))
"),959000)</f>
        <v>959000</v>
      </c>
      <c r="N652" s="6">
        <f ca="1">IFERROR(__xludf.DUMMYFUNCTION("SUM(FILTER(J:J, H:H=""Chuyển khoản"")) - SUM(FILTER(K:K, H:H=""Chuyển khoản""))
"),4468984)</f>
        <v>4468984</v>
      </c>
      <c r="O652" s="5"/>
      <c r="P652" s="5"/>
      <c r="Q652" s="5"/>
      <c r="R652" s="5"/>
      <c r="S652" s="5"/>
    </row>
    <row r="653" spans="1:19" ht="15.75" customHeight="1" x14ac:dyDescent="0.2">
      <c r="A653" s="3">
        <v>46121</v>
      </c>
      <c r="B653" s="4" t="str">
        <f>IF(A653="","","PC-"&amp;TEXT(A653,"mm/yyyy")&amp;"-"&amp;TEXT(COUNTIFS($A$2:A653,"&gt;="&amp;EOMONTH(A653,-1)+1,$A$2:A653,"&lt;="&amp;EOMONTH(A653,0)),"000"))</f>
        <v>PC-04/2026-160</v>
      </c>
      <c r="C653" s="5" t="s">
        <v>936</v>
      </c>
      <c r="D653" s="5" t="s">
        <v>20</v>
      </c>
      <c r="E653" s="5" t="s">
        <v>21</v>
      </c>
      <c r="F653" s="5"/>
      <c r="G653" s="5" t="s">
        <v>22</v>
      </c>
      <c r="H653" s="5" t="s">
        <v>23</v>
      </c>
      <c r="I653" s="6">
        <v>10000000</v>
      </c>
      <c r="J653" s="6">
        <f>IF(D653="Thu",I653,0)</f>
        <v>10000000</v>
      </c>
      <c r="K653" s="6">
        <f>IF(D653="Chi",I653,0)</f>
        <v>0</v>
      </c>
      <c r="L653" s="6" t="e">
        <f>L652+J653-K653</f>
        <v>#VALUE!</v>
      </c>
      <c r="M653" s="6">
        <f ca="1">IFERROR(__xludf.DUMMYFUNCTION("SUM(FILTER(J:J, H:H=""Tiền mặt"")) - SUM(FILTER(K:K, H:H=""Tiền mặt""))
"),959000)</f>
        <v>959000</v>
      </c>
      <c r="N653" s="6">
        <f ca="1">IFERROR(__xludf.DUMMYFUNCTION("SUM(FILTER(J:J, H:H=""Chuyển khoản"")) - SUM(FILTER(K:K, H:H=""Chuyển khoản""))
"),4468984)</f>
        <v>4468984</v>
      </c>
      <c r="O653" s="5"/>
      <c r="P653" s="5"/>
      <c r="Q653" s="5"/>
      <c r="R653" s="5"/>
      <c r="S653" s="5"/>
    </row>
    <row r="654" spans="1:19" ht="15.75" customHeight="1" x14ac:dyDescent="0.2">
      <c r="A654" s="3">
        <v>46120</v>
      </c>
      <c r="B654" s="4" t="str">
        <f>IF(A654="","","PC-"&amp;TEXT(A654,"mm/yyyy")&amp;"-"&amp;TEXT(COUNTIFS($A$2:A654,"&gt;="&amp;EOMONTH(A654,-1)+1,$A$2:A654,"&lt;="&amp;EOMONTH(A654,0)),"000"))</f>
        <v>PC-04/2026-161</v>
      </c>
      <c r="C654" s="5" t="s">
        <v>916</v>
      </c>
      <c r="D654" s="5" t="s">
        <v>29</v>
      </c>
      <c r="E654" s="5" t="s">
        <v>41</v>
      </c>
      <c r="F654" s="5"/>
      <c r="G654" s="5" t="s">
        <v>571</v>
      </c>
      <c r="H654" s="5" t="s">
        <v>23</v>
      </c>
      <c r="I654" s="6">
        <v>100000</v>
      </c>
      <c r="J654" s="6">
        <f>IF(D654="Thu",I654,0)</f>
        <v>0</v>
      </c>
      <c r="K654" s="6">
        <f>IF(D654="Chi",I654,0)</f>
        <v>100000</v>
      </c>
      <c r="L654" s="6" t="e">
        <f>L653+J654-K654</f>
        <v>#VALUE!</v>
      </c>
      <c r="M654" s="6">
        <f ca="1">IFERROR(__xludf.DUMMYFUNCTION("SUM(FILTER(J:J, H:H=""Tiền mặt"")) - SUM(FILTER(K:K, H:H=""Tiền mặt""))
"),959000)</f>
        <v>959000</v>
      </c>
      <c r="N654" s="6">
        <f ca="1">IFERROR(__xludf.DUMMYFUNCTION("SUM(FILTER(J:J, H:H=""Chuyển khoản"")) - SUM(FILTER(K:K, H:H=""Chuyển khoản""))
"),4468984)</f>
        <v>4468984</v>
      </c>
      <c r="O654" s="5"/>
      <c r="P654" s="5"/>
      <c r="Q654" s="5"/>
      <c r="R654" s="5"/>
      <c r="S654" s="5"/>
    </row>
    <row r="655" spans="1:19" ht="15.75" customHeight="1" x14ac:dyDescent="0.2">
      <c r="A655" s="3">
        <v>46120</v>
      </c>
      <c r="B655" s="4" t="str">
        <f>IF(A655="","","PC-"&amp;TEXT(A655,"mm/yyyy")&amp;"-"&amp;TEXT(COUNTIFS($A$2:A655,"&gt;="&amp;EOMONTH(A655,-1)+1,$A$2:A655,"&lt;="&amp;EOMONTH(A655,0)),"000"))</f>
        <v>PC-04/2026-162</v>
      </c>
      <c r="C655" s="5" t="s">
        <v>417</v>
      </c>
      <c r="D655" s="5" t="s">
        <v>29</v>
      </c>
      <c r="E655" s="5" t="s">
        <v>36</v>
      </c>
      <c r="F655" s="5"/>
      <c r="G655" s="5" t="s">
        <v>37</v>
      </c>
      <c r="H655" s="5" t="s">
        <v>23</v>
      </c>
      <c r="I655" s="6">
        <v>115000</v>
      </c>
      <c r="J655" s="6">
        <f>IF(D655="Thu",I655,0)</f>
        <v>0</v>
      </c>
      <c r="K655" s="6">
        <f>IF(D655="Chi",I655,0)</f>
        <v>115000</v>
      </c>
      <c r="L655" s="6" t="e">
        <f>L654+J655-K655</f>
        <v>#VALUE!</v>
      </c>
      <c r="M655" s="6">
        <f ca="1">IFERROR(__xludf.DUMMYFUNCTION("SUM(FILTER(J:J, H:H=""Tiền mặt"")) - SUM(FILTER(K:K, H:H=""Tiền mặt""))
"),959000)</f>
        <v>959000</v>
      </c>
      <c r="N655" s="6">
        <f ca="1">IFERROR(__xludf.DUMMYFUNCTION("SUM(FILTER(J:J, H:H=""Chuyển khoản"")) - SUM(FILTER(K:K, H:H=""Chuyển khoản""))
"),4468984)</f>
        <v>4468984</v>
      </c>
      <c r="O655" s="5"/>
      <c r="P655" s="5"/>
      <c r="Q655" s="5"/>
      <c r="R655" s="5"/>
      <c r="S655" s="5"/>
    </row>
    <row r="656" spans="1:19" ht="15.75" customHeight="1" x14ac:dyDescent="0.2">
      <c r="A656" s="3">
        <v>46120</v>
      </c>
      <c r="B656" s="4" t="str">
        <f>IF(A656="","","PC-"&amp;TEXT(A656,"mm/yyyy")&amp;"-"&amp;TEXT(COUNTIFS($A$2:A656,"&gt;="&amp;EOMONTH(A656,-1)+1,$A$2:A656,"&lt;="&amp;EOMONTH(A656,0)),"000"))</f>
        <v>PC-04/2026-163</v>
      </c>
      <c r="C656" s="5" t="s">
        <v>917</v>
      </c>
      <c r="D656" s="5" t="s">
        <v>29</v>
      </c>
      <c r="E656" s="5" t="s">
        <v>61</v>
      </c>
      <c r="F656" s="5"/>
      <c r="G656" s="5" t="s">
        <v>52</v>
      </c>
      <c r="H656" s="5" t="s">
        <v>27</v>
      </c>
      <c r="I656" s="6">
        <v>200000</v>
      </c>
      <c r="J656" s="6">
        <f>IF(D656="Thu",I656,0)</f>
        <v>0</v>
      </c>
      <c r="K656" s="6">
        <f>IF(D656="Chi",I656,0)</f>
        <v>200000</v>
      </c>
      <c r="L656" s="6" t="e">
        <f>L655+J656-K656</f>
        <v>#VALUE!</v>
      </c>
      <c r="M656" s="6">
        <f ca="1">IFERROR(__xludf.DUMMYFUNCTION("SUM(FILTER(J:J, H:H=""Tiền mặt"")) - SUM(FILTER(K:K, H:H=""Tiền mặt""))
"),959000)</f>
        <v>959000</v>
      </c>
      <c r="N656" s="6">
        <f ca="1">IFERROR(__xludf.DUMMYFUNCTION("SUM(FILTER(J:J, H:H=""Chuyển khoản"")) - SUM(FILTER(K:K, H:H=""Chuyển khoản""))
"),4468984)</f>
        <v>4468984</v>
      </c>
      <c r="O656" s="5"/>
      <c r="P656" s="5"/>
      <c r="Q656" s="5"/>
      <c r="R656" s="5"/>
      <c r="S656" s="5"/>
    </row>
    <row r="657" spans="1:19" ht="15.75" customHeight="1" x14ac:dyDescent="0.2">
      <c r="A657" s="3">
        <v>46120</v>
      </c>
      <c r="B657" s="4" t="str">
        <f>IF(A657="","","PC-"&amp;TEXT(A657,"mm/yyyy")&amp;"-"&amp;TEXT(COUNTIFS($A$2:A657,"&gt;="&amp;EOMONTH(A657,-1)+1,$A$2:A657,"&lt;="&amp;EOMONTH(A657,0)),"000"))</f>
        <v>PC-04/2026-164</v>
      </c>
      <c r="C657" s="5" t="s">
        <v>918</v>
      </c>
      <c r="D657" s="5" t="s">
        <v>29</v>
      </c>
      <c r="E657" s="5" t="s">
        <v>61</v>
      </c>
      <c r="F657" s="5"/>
      <c r="G657" s="5" t="s">
        <v>52</v>
      </c>
      <c r="H657" s="5" t="s">
        <v>27</v>
      </c>
      <c r="I657" s="6">
        <v>200000</v>
      </c>
      <c r="J657" s="6">
        <f>IF(D657="Thu",I657,0)</f>
        <v>0</v>
      </c>
      <c r="K657" s="6">
        <f>IF(D657="Chi",I657,0)</f>
        <v>200000</v>
      </c>
      <c r="L657" s="6" t="e">
        <f>L656+J657-K657</f>
        <v>#VALUE!</v>
      </c>
      <c r="M657" s="6">
        <f ca="1">IFERROR(__xludf.DUMMYFUNCTION("SUM(FILTER(J:J, H:H=""Tiền mặt"")) - SUM(FILTER(K:K, H:H=""Tiền mặt""))
"),959000)</f>
        <v>959000</v>
      </c>
      <c r="N657" s="6">
        <f ca="1">IFERROR(__xludf.DUMMYFUNCTION("SUM(FILTER(J:J, H:H=""Chuyển khoản"")) - SUM(FILTER(K:K, H:H=""Chuyển khoản""))
"),4468984)</f>
        <v>4468984</v>
      </c>
      <c r="O657" s="5"/>
      <c r="P657" s="5"/>
      <c r="Q657" s="5"/>
      <c r="R657" s="5"/>
      <c r="S657" s="5"/>
    </row>
    <row r="658" spans="1:19" ht="15.75" customHeight="1" x14ac:dyDescent="0.2">
      <c r="A658" s="3">
        <v>46120</v>
      </c>
      <c r="B658" s="4" t="str">
        <f>IF(A658="","","PC-"&amp;TEXT(A658,"mm/yyyy")&amp;"-"&amp;TEXT(COUNTIFS($A$2:A658,"&gt;="&amp;EOMONTH(A658,-1)+1,$A$2:A658,"&lt;="&amp;EOMONTH(A658,0)),"000"))</f>
        <v>PC-04/2026-165</v>
      </c>
      <c r="C658" s="5" t="s">
        <v>919</v>
      </c>
      <c r="D658" s="5" t="s">
        <v>29</v>
      </c>
      <c r="E658" s="5" t="s">
        <v>429</v>
      </c>
      <c r="F658" s="5"/>
      <c r="G658" s="5" t="s">
        <v>37</v>
      </c>
      <c r="H658" s="5" t="s">
        <v>23</v>
      </c>
      <c r="I658" s="6">
        <v>15000</v>
      </c>
      <c r="J658" s="6">
        <f>IF(D658="Thu",I658,0)</f>
        <v>0</v>
      </c>
      <c r="K658" s="6">
        <f>IF(D658="Chi",I658,0)</f>
        <v>15000</v>
      </c>
      <c r="L658" s="6" t="e">
        <f>L657+J658-K658</f>
        <v>#VALUE!</v>
      </c>
      <c r="M658" s="6">
        <f ca="1">IFERROR(__xludf.DUMMYFUNCTION("SUM(FILTER(J:J, H:H=""Tiền mặt"")) - SUM(FILTER(K:K, H:H=""Tiền mặt""))
"),959000)</f>
        <v>959000</v>
      </c>
      <c r="N658" s="6">
        <f ca="1">IFERROR(__xludf.DUMMYFUNCTION("SUM(FILTER(J:J, H:H=""Chuyển khoản"")) - SUM(FILTER(K:K, H:H=""Chuyển khoản""))
"),4468984)</f>
        <v>4468984</v>
      </c>
      <c r="O658" s="5"/>
      <c r="P658" s="5"/>
      <c r="Q658" s="5"/>
      <c r="R658" s="5"/>
      <c r="S658" s="5"/>
    </row>
    <row r="659" spans="1:19" ht="15.75" customHeight="1" x14ac:dyDescent="0.2">
      <c r="A659" s="3">
        <v>46120</v>
      </c>
      <c r="B659" s="4" t="str">
        <f>IF(A659="","","PC-"&amp;TEXT(A659,"mm/yyyy")&amp;"-"&amp;TEXT(COUNTIFS($A$2:A659,"&gt;="&amp;EOMONTH(A659,-1)+1,$A$2:A659,"&lt;="&amp;EOMONTH(A659,0)),"000"))</f>
        <v>PC-04/2026-166</v>
      </c>
      <c r="C659" s="7" t="s">
        <v>920</v>
      </c>
      <c r="D659" s="5" t="s">
        <v>29</v>
      </c>
      <c r="E659" s="5" t="s">
        <v>64</v>
      </c>
      <c r="F659" s="5"/>
      <c r="G659" s="5" t="s">
        <v>392</v>
      </c>
      <c r="H659" s="5" t="s">
        <v>23</v>
      </c>
      <c r="I659" s="6">
        <v>2000000</v>
      </c>
      <c r="J659" s="6">
        <f>IF(D659="Thu",I659,0)</f>
        <v>0</v>
      </c>
      <c r="K659" s="6">
        <f>IF(D659="Chi",I659,0)</f>
        <v>2000000</v>
      </c>
      <c r="L659" s="6" t="e">
        <f>L658+J659-K659</f>
        <v>#VALUE!</v>
      </c>
      <c r="M659" s="6">
        <f ca="1">IFERROR(__xludf.DUMMYFUNCTION("SUM(FILTER(J:J, H:H=""Tiền mặt"")) - SUM(FILTER(K:K, H:H=""Tiền mặt""))
"),959000)</f>
        <v>959000</v>
      </c>
      <c r="N659" s="6">
        <f ca="1">IFERROR(__xludf.DUMMYFUNCTION("SUM(FILTER(J:J, H:H=""Chuyển khoản"")) - SUM(FILTER(K:K, H:H=""Chuyển khoản""))
"),4468984)</f>
        <v>4468984</v>
      </c>
      <c r="O659" s="5"/>
      <c r="P659" s="5"/>
      <c r="Q659" s="5"/>
      <c r="R659" s="5"/>
      <c r="S659" s="5"/>
    </row>
    <row r="660" spans="1:19" ht="15.75" customHeight="1" x14ac:dyDescent="0.2">
      <c r="A660" s="3">
        <v>46120</v>
      </c>
      <c r="B660" s="4" t="str">
        <f>IF(A660="","","PC-"&amp;TEXT(A660,"mm/yyyy")&amp;"-"&amp;TEXT(COUNTIFS($A$2:A660,"&gt;="&amp;EOMONTH(A660,-1)+1,$A$2:A660,"&lt;="&amp;EOMONTH(A660,0)),"000"))</f>
        <v>PC-04/2026-167</v>
      </c>
      <c r="C660" s="5" t="s">
        <v>921</v>
      </c>
      <c r="D660" s="5" t="s">
        <v>29</v>
      </c>
      <c r="E660" s="5" t="s">
        <v>41</v>
      </c>
      <c r="F660" s="5"/>
      <c r="G660" s="5" t="s">
        <v>42</v>
      </c>
      <c r="H660" s="5" t="s">
        <v>23</v>
      </c>
      <c r="I660" s="6">
        <v>100000</v>
      </c>
      <c r="J660" s="6">
        <f>IF(D660="Thu",I660,0)</f>
        <v>0</v>
      </c>
      <c r="K660" s="6">
        <f>IF(D660="Chi",I660,0)</f>
        <v>100000</v>
      </c>
      <c r="L660" s="6" t="e">
        <f>L659+J660-K660</f>
        <v>#VALUE!</v>
      </c>
      <c r="M660" s="6">
        <f ca="1">IFERROR(__xludf.DUMMYFUNCTION("SUM(FILTER(J:J, H:H=""Tiền mặt"")) - SUM(FILTER(K:K, H:H=""Tiền mặt""))
"),959000)</f>
        <v>959000</v>
      </c>
      <c r="N660" s="6">
        <f ca="1">IFERROR(__xludf.DUMMYFUNCTION("SUM(FILTER(J:J, H:H=""Chuyển khoản"")) - SUM(FILTER(K:K, H:H=""Chuyển khoản""))
"),4468984)</f>
        <v>4468984</v>
      </c>
      <c r="O660" s="5"/>
      <c r="P660" s="5"/>
      <c r="Q660" s="5"/>
      <c r="R660" s="5"/>
      <c r="S660" s="5"/>
    </row>
    <row r="661" spans="1:19" ht="15.75" customHeight="1" x14ac:dyDescent="0.2">
      <c r="A661" s="3">
        <v>46120</v>
      </c>
      <c r="B661" s="4" t="str">
        <f>IF(A661="","","PC-"&amp;TEXT(A661,"mm/yyyy")&amp;"-"&amp;TEXT(COUNTIFS($A$2:A661,"&gt;="&amp;EOMONTH(A661,-1)+1,$A$2:A661,"&lt;="&amp;EOMONTH(A661,0)),"000"))</f>
        <v>PC-04/2026-168</v>
      </c>
      <c r="C661" s="5" t="s">
        <v>922</v>
      </c>
      <c r="D661" s="5" t="s">
        <v>29</v>
      </c>
      <c r="E661" s="5" t="s">
        <v>64</v>
      </c>
      <c r="F661" s="5"/>
      <c r="G661" s="5" t="s">
        <v>22</v>
      </c>
      <c r="H661" s="5" t="s">
        <v>23</v>
      </c>
      <c r="I661" s="6">
        <v>1000000</v>
      </c>
      <c r="J661" s="6">
        <f>IF(D661="Thu",I661,0)</f>
        <v>0</v>
      </c>
      <c r="K661" s="6">
        <f>IF(D661="Chi",I661,0)</f>
        <v>1000000</v>
      </c>
      <c r="L661" s="6" t="e">
        <f>L660+J661-K661</f>
        <v>#VALUE!</v>
      </c>
      <c r="M661" s="6">
        <f ca="1">IFERROR(__xludf.DUMMYFUNCTION("SUM(FILTER(J:J, H:H=""Tiền mặt"")) - SUM(FILTER(K:K, H:H=""Tiền mặt""))
"),959000)</f>
        <v>959000</v>
      </c>
      <c r="N661" s="6">
        <f ca="1">IFERROR(__xludf.DUMMYFUNCTION("SUM(FILTER(J:J, H:H=""Chuyển khoản"")) - SUM(FILTER(K:K, H:H=""Chuyển khoản""))
"),4468984)</f>
        <v>4468984</v>
      </c>
      <c r="O661" s="5"/>
      <c r="P661" s="5"/>
      <c r="Q661" s="5"/>
      <c r="R661" s="5"/>
      <c r="S661" s="5"/>
    </row>
    <row r="662" spans="1:19" ht="15.75" customHeight="1" x14ac:dyDescent="0.2">
      <c r="A662" s="3">
        <v>46120</v>
      </c>
      <c r="B662" s="4" t="str">
        <f>IF(A662="","","PC-"&amp;TEXT(A662,"mm/yyyy")&amp;"-"&amp;TEXT(COUNTIFS($A$2:A662,"&gt;="&amp;EOMONTH(A662,-1)+1,$A$2:A662,"&lt;="&amp;EOMONTH(A662,0)),"000"))</f>
        <v>PC-04/2026-169</v>
      </c>
      <c r="C662" s="5" t="s">
        <v>923</v>
      </c>
      <c r="D662" s="5" t="s">
        <v>29</v>
      </c>
      <c r="E662" s="5" t="s">
        <v>51</v>
      </c>
      <c r="F662" s="5"/>
      <c r="G662" s="5" t="s">
        <v>52</v>
      </c>
      <c r="H662" s="5" t="s">
        <v>27</v>
      </c>
      <c r="I662" s="6">
        <v>130811</v>
      </c>
      <c r="J662" s="6">
        <f>IF(D662="Thu",I662,0)</f>
        <v>0</v>
      </c>
      <c r="K662" s="6">
        <f>IF(D662="Chi",I662,0)</f>
        <v>130811</v>
      </c>
      <c r="L662" s="6" t="e">
        <f>L661+J662-K662</f>
        <v>#VALUE!</v>
      </c>
      <c r="M662" s="6">
        <f ca="1">IFERROR(__xludf.DUMMYFUNCTION("SUM(FILTER(J:J, H:H=""Tiền mặt"")) - SUM(FILTER(K:K, H:H=""Tiền mặt""))
"),959000)</f>
        <v>959000</v>
      </c>
      <c r="N662" s="6">
        <f ca="1">IFERROR(__xludf.DUMMYFUNCTION("SUM(FILTER(J:J, H:H=""Chuyển khoản"")) - SUM(FILTER(K:K, H:H=""Chuyển khoản""))
"),4468984)</f>
        <v>4468984</v>
      </c>
      <c r="O662" s="5"/>
      <c r="P662" s="5"/>
      <c r="Q662" s="5"/>
      <c r="R662" s="5"/>
      <c r="S662" s="5"/>
    </row>
    <row r="663" spans="1:19" ht="15.75" customHeight="1" x14ac:dyDescent="0.2">
      <c r="A663" s="3">
        <v>46120</v>
      </c>
      <c r="B663" s="4" t="str">
        <f>IF(A663="","","PC-"&amp;TEXT(A663,"mm/yyyy")&amp;"-"&amp;TEXT(COUNTIFS($A$2:A663,"&gt;="&amp;EOMONTH(A663,-1)+1,$A$2:A663,"&lt;="&amp;EOMONTH(A663,0)),"000"))</f>
        <v>PC-04/2026-170</v>
      </c>
      <c r="C663" s="5" t="s">
        <v>924</v>
      </c>
      <c r="D663" s="5" t="s">
        <v>29</v>
      </c>
      <c r="E663" s="5" t="s">
        <v>71</v>
      </c>
      <c r="F663" s="5"/>
      <c r="G663" s="5" t="s">
        <v>753</v>
      </c>
      <c r="H663" s="5" t="s">
        <v>27</v>
      </c>
      <c r="I663" s="6">
        <v>43000</v>
      </c>
      <c r="J663" s="6">
        <f>IF(D663="Thu",I663,0)</f>
        <v>0</v>
      </c>
      <c r="K663" s="6">
        <f>IF(D663="Chi",I663,0)</f>
        <v>43000</v>
      </c>
      <c r="L663" s="6" t="e">
        <f>L662+J663-K663</f>
        <v>#VALUE!</v>
      </c>
      <c r="M663" s="6">
        <f ca="1">IFERROR(__xludf.DUMMYFUNCTION("SUM(FILTER(J:J, H:H=""Tiền mặt"")) - SUM(FILTER(K:K, H:H=""Tiền mặt""))
"),959000)</f>
        <v>959000</v>
      </c>
      <c r="N663" s="6">
        <f ca="1">IFERROR(__xludf.DUMMYFUNCTION("SUM(FILTER(J:J, H:H=""Chuyển khoản"")) - SUM(FILTER(K:K, H:H=""Chuyển khoản""))
"),4468984)</f>
        <v>4468984</v>
      </c>
      <c r="O663" s="5"/>
      <c r="P663" s="5"/>
      <c r="Q663" s="5"/>
      <c r="R663" s="5"/>
      <c r="S663" s="5"/>
    </row>
    <row r="664" spans="1:19" ht="15.75" customHeight="1" x14ac:dyDescent="0.2">
      <c r="A664" s="3">
        <v>46120</v>
      </c>
      <c r="B664" s="4" t="str">
        <f>IF(A664="","","PC-"&amp;TEXT(A664,"mm/yyyy")&amp;"-"&amp;TEXT(COUNTIFS($A$2:A664,"&gt;="&amp;EOMONTH(A664,-1)+1,$A$2:A664,"&lt;="&amp;EOMONTH(A664,0)),"000"))</f>
        <v>PC-04/2026-171</v>
      </c>
      <c r="C664" s="5" t="s">
        <v>849</v>
      </c>
      <c r="D664" s="5" t="s">
        <v>29</v>
      </c>
      <c r="E664" s="5" t="s">
        <v>71</v>
      </c>
      <c r="F664" s="5"/>
      <c r="G664" s="5" t="s">
        <v>571</v>
      </c>
      <c r="H664" s="5" t="s">
        <v>27</v>
      </c>
      <c r="I664" s="6">
        <v>82000</v>
      </c>
      <c r="J664" s="6">
        <f>IF(D664="Thu",I664,0)</f>
        <v>0</v>
      </c>
      <c r="K664" s="6">
        <f>IF(D664="Chi",I664,0)</f>
        <v>82000</v>
      </c>
      <c r="L664" s="6" t="e">
        <f>L663+J664-K664</f>
        <v>#VALUE!</v>
      </c>
      <c r="M664" s="6">
        <f ca="1">IFERROR(__xludf.DUMMYFUNCTION("SUM(FILTER(J:J, H:H=""Tiền mặt"")) - SUM(FILTER(K:K, H:H=""Tiền mặt""))
"),959000)</f>
        <v>959000</v>
      </c>
      <c r="N664" s="6">
        <f ca="1">IFERROR(__xludf.DUMMYFUNCTION("SUM(FILTER(J:J, H:H=""Chuyển khoản"")) - SUM(FILTER(K:K, H:H=""Chuyển khoản""))
"),4468984)</f>
        <v>4468984</v>
      </c>
      <c r="O664" s="5"/>
      <c r="P664" s="5"/>
      <c r="Q664" s="5"/>
      <c r="R664" s="5"/>
      <c r="S664" s="5"/>
    </row>
    <row r="665" spans="1:19" ht="15.75" customHeight="1" x14ac:dyDescent="0.2">
      <c r="A665" s="3">
        <v>46120</v>
      </c>
      <c r="B665" s="4" t="str">
        <f>IF(A665="","","PC-"&amp;TEXT(A665,"mm/yyyy")&amp;"-"&amp;TEXT(COUNTIFS($A$2:A665,"&gt;="&amp;EOMONTH(A665,-1)+1,$A$2:A665,"&lt;="&amp;EOMONTH(A665,0)),"000"))</f>
        <v>PC-04/2026-172</v>
      </c>
      <c r="C665" s="5" t="s">
        <v>925</v>
      </c>
      <c r="D665" s="5" t="s">
        <v>29</v>
      </c>
      <c r="E665" s="5" t="s">
        <v>71</v>
      </c>
      <c r="F665" s="5"/>
      <c r="G665" s="5" t="s">
        <v>912</v>
      </c>
      <c r="H665" s="5" t="s">
        <v>27</v>
      </c>
      <c r="I665" s="6">
        <v>52000</v>
      </c>
      <c r="J665" s="6">
        <f>IF(D665="Thu",I665,0)</f>
        <v>0</v>
      </c>
      <c r="K665" s="6">
        <f>IF(D665="Chi",I665,0)</f>
        <v>52000</v>
      </c>
      <c r="L665" s="6" t="e">
        <f>L664+J665-K665</f>
        <v>#VALUE!</v>
      </c>
      <c r="M665" s="6">
        <f ca="1">IFERROR(__xludf.DUMMYFUNCTION("SUM(FILTER(J:J, H:H=""Tiền mặt"")) - SUM(FILTER(K:K, H:H=""Tiền mặt""))
"),959000)</f>
        <v>959000</v>
      </c>
      <c r="N665" s="6">
        <f ca="1">IFERROR(__xludf.DUMMYFUNCTION("SUM(FILTER(J:J, H:H=""Chuyển khoản"")) - SUM(FILTER(K:K, H:H=""Chuyển khoản""))
"),4468984)</f>
        <v>4468984</v>
      </c>
      <c r="O665" s="5"/>
      <c r="P665" s="5"/>
      <c r="Q665" s="5"/>
      <c r="R665" s="5"/>
      <c r="S665" s="5"/>
    </row>
    <row r="666" spans="1:19" ht="15.75" customHeight="1" x14ac:dyDescent="0.2">
      <c r="A666" s="3">
        <v>46119</v>
      </c>
      <c r="B666" s="4" t="str">
        <f>IF(A666="","","PC-"&amp;TEXT(A666,"mm/yyyy")&amp;"-"&amp;TEXT(COUNTIFS($A$2:A666,"&gt;="&amp;EOMONTH(A666,-1)+1,$A$2:A666,"&lt;="&amp;EOMONTH(A666,0)),"000"))</f>
        <v>PC-04/2026-173</v>
      </c>
      <c r="C666" s="5" t="s">
        <v>900</v>
      </c>
      <c r="D666" s="5" t="s">
        <v>29</v>
      </c>
      <c r="E666" s="5" t="s">
        <v>41</v>
      </c>
      <c r="F666" s="5"/>
      <c r="G666" s="5" t="s">
        <v>82</v>
      </c>
      <c r="H666" s="5" t="s">
        <v>23</v>
      </c>
      <c r="I666" s="6">
        <v>100000</v>
      </c>
      <c r="J666" s="6">
        <f>IF(D666="Thu",I666,0)</f>
        <v>0</v>
      </c>
      <c r="K666" s="6">
        <f>IF(D666="Chi",I666,0)</f>
        <v>100000</v>
      </c>
      <c r="L666" s="6" t="e">
        <f>L665+J666-K666</f>
        <v>#VALUE!</v>
      </c>
      <c r="M666" s="6">
        <f ca="1">IFERROR(__xludf.DUMMYFUNCTION("SUM(FILTER(J:J, H:H=""Tiền mặt"")) - SUM(FILTER(K:K, H:H=""Tiền mặt""))
"),959000)</f>
        <v>959000</v>
      </c>
      <c r="N666" s="6">
        <f ca="1">IFERROR(__xludf.DUMMYFUNCTION("SUM(FILTER(J:J, H:H=""Chuyển khoản"")) - SUM(FILTER(K:K, H:H=""Chuyển khoản""))
"),4468984)</f>
        <v>4468984</v>
      </c>
      <c r="O666" s="5"/>
      <c r="P666" s="5"/>
      <c r="Q666" s="5"/>
      <c r="R666" s="5"/>
      <c r="S666" s="5"/>
    </row>
    <row r="667" spans="1:19" ht="15.75" customHeight="1" x14ac:dyDescent="0.2">
      <c r="A667" s="3">
        <v>46119</v>
      </c>
      <c r="B667" s="4" t="str">
        <f>IF(A667="","","PC-"&amp;TEXT(A667,"mm/yyyy")&amp;"-"&amp;TEXT(COUNTIFS($A$2:A667,"&gt;="&amp;EOMONTH(A667,-1)+1,$A$2:A667,"&lt;="&amp;EOMONTH(A667,0)),"000"))</f>
        <v>PC-04/2026-174</v>
      </c>
      <c r="C667" s="5" t="s">
        <v>901</v>
      </c>
      <c r="D667" s="5" t="s">
        <v>29</v>
      </c>
      <c r="E667" s="5" t="s">
        <v>41</v>
      </c>
      <c r="F667" s="5"/>
      <c r="G667" s="5" t="s">
        <v>82</v>
      </c>
      <c r="H667" s="5" t="s">
        <v>23</v>
      </c>
      <c r="I667" s="6">
        <v>100000</v>
      </c>
      <c r="J667" s="6">
        <f>IF(D667="Thu",I667,0)</f>
        <v>0</v>
      </c>
      <c r="K667" s="6">
        <f>IF(D667="Chi",I667,0)</f>
        <v>100000</v>
      </c>
      <c r="L667" s="6" t="e">
        <f>L666+J667-K667</f>
        <v>#VALUE!</v>
      </c>
      <c r="M667" s="6">
        <f ca="1">IFERROR(__xludf.DUMMYFUNCTION("SUM(FILTER(J:J, H:H=""Tiền mặt"")) - SUM(FILTER(K:K, H:H=""Tiền mặt""))
"),959000)</f>
        <v>959000</v>
      </c>
      <c r="N667" s="6">
        <f ca="1">IFERROR(__xludf.DUMMYFUNCTION("SUM(FILTER(J:J, H:H=""Chuyển khoản"")) - SUM(FILTER(K:K, H:H=""Chuyển khoản""))
"),4468984)</f>
        <v>4468984</v>
      </c>
      <c r="O667" s="5"/>
      <c r="P667" s="5"/>
      <c r="Q667" s="5"/>
      <c r="R667" s="5"/>
      <c r="S667" s="5"/>
    </row>
    <row r="668" spans="1:19" ht="15.75" customHeight="1" x14ac:dyDescent="0.2">
      <c r="A668" s="3">
        <v>46119</v>
      </c>
      <c r="B668" s="4" t="str">
        <f>IF(A668="","","PC-"&amp;TEXT(A668,"mm/yyyy")&amp;"-"&amp;TEXT(COUNTIFS($A$2:A668,"&gt;="&amp;EOMONTH(A668,-1)+1,$A$2:A668,"&lt;="&amp;EOMONTH(A668,0)),"000"))</f>
        <v>PC-04/2026-175</v>
      </c>
      <c r="C668" s="5" t="s">
        <v>902</v>
      </c>
      <c r="D668" s="5" t="s">
        <v>29</v>
      </c>
      <c r="E668" s="5" t="s">
        <v>71</v>
      </c>
      <c r="F668" s="5"/>
      <c r="G668" s="5" t="s">
        <v>899</v>
      </c>
      <c r="H668" s="5" t="s">
        <v>27</v>
      </c>
      <c r="I668" s="6">
        <v>72000</v>
      </c>
      <c r="J668" s="6">
        <f>IF(D668="Thu",I668,0)</f>
        <v>0</v>
      </c>
      <c r="K668" s="6">
        <f>IF(D668="Chi",I668,0)</f>
        <v>72000</v>
      </c>
      <c r="L668" s="6" t="e">
        <f>L667+J668-K668</f>
        <v>#VALUE!</v>
      </c>
      <c r="M668" s="6">
        <f ca="1">IFERROR(__xludf.DUMMYFUNCTION("SUM(FILTER(J:J, H:H=""Tiền mặt"")) - SUM(FILTER(K:K, H:H=""Tiền mặt""))
"),959000)</f>
        <v>959000</v>
      </c>
      <c r="N668" s="6">
        <f ca="1">IFERROR(__xludf.DUMMYFUNCTION("SUM(FILTER(J:J, H:H=""Chuyển khoản"")) - SUM(FILTER(K:K, H:H=""Chuyển khoản""))
"),4468984)</f>
        <v>4468984</v>
      </c>
      <c r="O668" s="5"/>
      <c r="P668" s="5"/>
      <c r="Q668" s="5"/>
      <c r="R668" s="5"/>
      <c r="S668" s="5"/>
    </row>
    <row r="669" spans="1:19" ht="15.75" customHeight="1" x14ac:dyDescent="0.2">
      <c r="A669" s="3">
        <v>46119</v>
      </c>
      <c r="B669" s="4" t="str">
        <f>IF(A669="","","PC-"&amp;TEXT(A669,"mm/yyyy")&amp;"-"&amp;TEXT(COUNTIFS($A$2:A669,"&gt;="&amp;EOMONTH(A669,-1)+1,$A$2:A669,"&lt;="&amp;EOMONTH(A669,0)),"000"))</f>
        <v>PC-04/2026-176</v>
      </c>
      <c r="C669" s="7" t="s">
        <v>903</v>
      </c>
      <c r="D669" s="5" t="s">
        <v>29</v>
      </c>
      <c r="E669" s="5" t="s">
        <v>71</v>
      </c>
      <c r="F669" s="5"/>
      <c r="G669" s="5" t="s">
        <v>37</v>
      </c>
      <c r="H669" s="5" t="s">
        <v>27</v>
      </c>
      <c r="I669" s="6">
        <v>76000</v>
      </c>
      <c r="J669" s="6">
        <f>IF(D669="Thu",I669,0)</f>
        <v>0</v>
      </c>
      <c r="K669" s="6">
        <f>IF(D669="Chi",I669,0)</f>
        <v>76000</v>
      </c>
      <c r="L669" s="6" t="e">
        <f>L668+J669-K669</f>
        <v>#VALUE!</v>
      </c>
      <c r="M669" s="6">
        <f ca="1">IFERROR(__xludf.DUMMYFUNCTION("SUM(FILTER(J:J, H:H=""Tiền mặt"")) - SUM(FILTER(K:K, H:H=""Tiền mặt""))
"),959000)</f>
        <v>959000</v>
      </c>
      <c r="N669" s="6">
        <f ca="1">IFERROR(__xludf.DUMMYFUNCTION("SUM(FILTER(J:J, H:H=""Chuyển khoản"")) - SUM(FILTER(K:K, H:H=""Chuyển khoản""))
"),4468984)</f>
        <v>4468984</v>
      </c>
      <c r="O669" s="5"/>
      <c r="P669" s="5"/>
      <c r="Q669" s="5"/>
      <c r="R669" s="5"/>
      <c r="S669" s="5"/>
    </row>
    <row r="670" spans="1:19" ht="15.75" customHeight="1" x14ac:dyDescent="0.2">
      <c r="A670" s="3">
        <v>46119</v>
      </c>
      <c r="B670" s="4" t="str">
        <f>IF(A670="","","PC-"&amp;TEXT(A670,"mm/yyyy")&amp;"-"&amp;TEXT(COUNTIFS($A$2:A670,"&gt;="&amp;EOMONTH(A670,-1)+1,$A$2:A670,"&lt;="&amp;EOMONTH(A670,0)),"000"))</f>
        <v>PC-04/2026-177</v>
      </c>
      <c r="C670" s="7" t="s">
        <v>904</v>
      </c>
      <c r="D670" s="5" t="s">
        <v>29</v>
      </c>
      <c r="E670" s="5" t="s">
        <v>71</v>
      </c>
      <c r="F670" s="5"/>
      <c r="G670" s="5" t="s">
        <v>816</v>
      </c>
      <c r="H670" s="5" t="s">
        <v>27</v>
      </c>
      <c r="I670" s="6">
        <v>52000</v>
      </c>
      <c r="J670" s="6">
        <f>IF(D670="Thu",I670,0)</f>
        <v>0</v>
      </c>
      <c r="K670" s="6">
        <f>IF(D670="Chi",I670,0)</f>
        <v>52000</v>
      </c>
      <c r="L670" s="6" t="e">
        <f>L669+J670-K670</f>
        <v>#VALUE!</v>
      </c>
      <c r="M670" s="6">
        <f ca="1">IFERROR(__xludf.DUMMYFUNCTION("SUM(FILTER(J:J, H:H=""Tiền mặt"")) - SUM(FILTER(K:K, H:H=""Tiền mặt""))
"),959000)</f>
        <v>959000</v>
      </c>
      <c r="N670" s="6">
        <f ca="1">IFERROR(__xludf.DUMMYFUNCTION("SUM(FILTER(J:J, H:H=""Chuyển khoản"")) - SUM(FILTER(K:K, H:H=""Chuyển khoản""))
"),4468984)</f>
        <v>4468984</v>
      </c>
      <c r="O670" s="5"/>
      <c r="P670" s="5"/>
      <c r="Q670" s="5"/>
      <c r="R670" s="5"/>
      <c r="S670" s="5"/>
    </row>
    <row r="671" spans="1:19" ht="15.75" customHeight="1" x14ac:dyDescent="0.2">
      <c r="A671" s="3">
        <v>46119</v>
      </c>
      <c r="B671" s="4" t="str">
        <f>IF(A671="","","PC-"&amp;TEXT(A671,"mm/yyyy")&amp;"-"&amp;TEXT(COUNTIFS($A$2:A671,"&gt;="&amp;EOMONTH(A671,-1)+1,$A$2:A671,"&lt;="&amp;EOMONTH(A671,0)),"000"))</f>
        <v>PC-04/2026-178</v>
      </c>
      <c r="C671" s="7" t="s">
        <v>905</v>
      </c>
      <c r="D671" s="5" t="s">
        <v>29</v>
      </c>
      <c r="E671" s="5" t="s">
        <v>71</v>
      </c>
      <c r="F671" s="5"/>
      <c r="G671" s="5" t="s">
        <v>816</v>
      </c>
      <c r="H671" s="5" t="s">
        <v>27</v>
      </c>
      <c r="I671" s="6">
        <v>57000</v>
      </c>
      <c r="J671" s="6">
        <f>IF(D671="Thu",I671,0)</f>
        <v>0</v>
      </c>
      <c r="K671" s="6">
        <f>IF(D671="Chi",I671,0)</f>
        <v>57000</v>
      </c>
      <c r="L671" s="6" t="e">
        <f>L670+J671-K671</f>
        <v>#VALUE!</v>
      </c>
      <c r="M671" s="6">
        <f ca="1">IFERROR(__xludf.DUMMYFUNCTION("SUM(FILTER(J:J, H:H=""Tiền mặt"")) - SUM(FILTER(K:K, H:H=""Tiền mặt""))
"),959000)</f>
        <v>959000</v>
      </c>
      <c r="N671" s="6">
        <f ca="1">IFERROR(__xludf.DUMMYFUNCTION("SUM(FILTER(J:J, H:H=""Chuyển khoản"")) - SUM(FILTER(K:K, H:H=""Chuyển khoản""))
"),4468984)</f>
        <v>4468984</v>
      </c>
      <c r="O671" s="5"/>
      <c r="P671" s="5"/>
      <c r="Q671" s="5"/>
      <c r="R671" s="5"/>
      <c r="S671" s="5"/>
    </row>
    <row r="672" spans="1:19" ht="15.75" customHeight="1" x14ac:dyDescent="0.2">
      <c r="A672" s="3">
        <v>46119</v>
      </c>
      <c r="B672" s="4" t="str">
        <f>IF(A672="","","PC-"&amp;TEXT(A672,"mm/yyyy")&amp;"-"&amp;TEXT(COUNTIFS($A$2:A672,"&gt;="&amp;EOMONTH(A672,-1)+1,$A$2:A672,"&lt;="&amp;EOMONTH(A672,0)),"000"))</f>
        <v>PC-04/2026-179</v>
      </c>
      <c r="C672" s="7" t="s">
        <v>906</v>
      </c>
      <c r="D672" s="5" t="s">
        <v>29</v>
      </c>
      <c r="E672" s="5" t="s">
        <v>44</v>
      </c>
      <c r="F672" s="5"/>
      <c r="G672" s="5" t="s">
        <v>718</v>
      </c>
      <c r="H672" s="5" t="s">
        <v>23</v>
      </c>
      <c r="I672" s="6">
        <v>1500000</v>
      </c>
      <c r="J672" s="6">
        <f>IF(D672="Thu",I672,0)</f>
        <v>0</v>
      </c>
      <c r="K672" s="6">
        <f>IF(D672="Chi",I672,0)</f>
        <v>1500000</v>
      </c>
      <c r="L672" s="6" t="e">
        <f>L671+J672-K672</f>
        <v>#VALUE!</v>
      </c>
      <c r="M672" s="6">
        <f ca="1">IFERROR(__xludf.DUMMYFUNCTION("SUM(FILTER(J:J, H:H=""Tiền mặt"")) - SUM(FILTER(K:K, H:H=""Tiền mặt""))
"),959000)</f>
        <v>959000</v>
      </c>
      <c r="N672" s="6">
        <f ca="1">IFERROR(__xludf.DUMMYFUNCTION("SUM(FILTER(J:J, H:H=""Chuyển khoản"")) - SUM(FILTER(K:K, H:H=""Chuyển khoản""))
"),4468984)</f>
        <v>4468984</v>
      </c>
      <c r="O672" s="5"/>
      <c r="P672" s="5"/>
      <c r="Q672" s="5"/>
      <c r="R672" s="5"/>
      <c r="S672" s="5"/>
    </row>
    <row r="673" spans="1:19" ht="15.75" customHeight="1" x14ac:dyDescent="0.2">
      <c r="A673" s="3">
        <v>46119</v>
      </c>
      <c r="B673" s="4" t="str">
        <f>IF(A673="","","PC-"&amp;TEXT(A673,"mm/yyyy")&amp;"-"&amp;TEXT(COUNTIFS($A$2:A673,"&gt;="&amp;EOMONTH(A673,-1)+1,$A$2:A673,"&lt;="&amp;EOMONTH(A673,0)),"000"))</f>
        <v>PC-04/2026-180</v>
      </c>
      <c r="C673" s="5" t="s">
        <v>907</v>
      </c>
      <c r="D673" s="5" t="s">
        <v>29</v>
      </c>
      <c r="E673" s="5" t="s">
        <v>47</v>
      </c>
      <c r="F673" s="5"/>
      <c r="G673" s="5" t="s">
        <v>48</v>
      </c>
      <c r="H673" s="5" t="s">
        <v>23</v>
      </c>
      <c r="I673" s="6">
        <v>50000</v>
      </c>
      <c r="J673" s="6">
        <f>IF(D673="Thu",I673,0)</f>
        <v>0</v>
      </c>
      <c r="K673" s="6">
        <f>IF(D673="Chi",I673,0)</f>
        <v>50000</v>
      </c>
      <c r="L673" s="6" t="e">
        <f>L672+J673-K673</f>
        <v>#VALUE!</v>
      </c>
      <c r="M673" s="6">
        <f ca="1">IFERROR(__xludf.DUMMYFUNCTION("SUM(FILTER(J:J, H:H=""Tiền mặt"")) - SUM(FILTER(K:K, H:H=""Tiền mặt""))
"),959000)</f>
        <v>959000</v>
      </c>
      <c r="N673" s="6">
        <f ca="1">IFERROR(__xludf.DUMMYFUNCTION("SUM(FILTER(J:J, H:H=""Chuyển khoản"")) - SUM(FILTER(K:K, H:H=""Chuyển khoản""))
"),4468984)</f>
        <v>4468984</v>
      </c>
      <c r="O673" s="5"/>
      <c r="P673" s="5"/>
      <c r="Q673" s="5"/>
      <c r="R673" s="5"/>
      <c r="S673" s="5"/>
    </row>
    <row r="674" spans="1:19" ht="15.75" customHeight="1" x14ac:dyDescent="0.2">
      <c r="A674" s="3">
        <v>46119</v>
      </c>
      <c r="B674" s="4" t="str">
        <f>IF(A674="","","PC-"&amp;TEXT(A674,"mm/yyyy")&amp;"-"&amp;TEXT(COUNTIFS($A$2:A674,"&gt;="&amp;EOMONTH(A674,-1)+1,$A$2:A674,"&lt;="&amp;EOMONTH(A674,0)),"000"))</f>
        <v>PC-04/2026-181</v>
      </c>
      <c r="C674" s="5" t="s">
        <v>908</v>
      </c>
      <c r="D674" s="5" t="s">
        <v>29</v>
      </c>
      <c r="E674" s="5" t="s">
        <v>41</v>
      </c>
      <c r="F674" s="5"/>
      <c r="G674" s="5" t="s">
        <v>82</v>
      </c>
      <c r="H674" s="5" t="s">
        <v>23</v>
      </c>
      <c r="I674" s="6">
        <v>100000</v>
      </c>
      <c r="J674" s="6">
        <f>IF(D674="Thu",I674,0)</f>
        <v>0</v>
      </c>
      <c r="K674" s="6">
        <f>IF(D674="Chi",I674,0)</f>
        <v>100000</v>
      </c>
      <c r="L674" s="6" t="e">
        <f>L673+J674-K674</f>
        <v>#VALUE!</v>
      </c>
      <c r="M674" s="6">
        <f ca="1">IFERROR(__xludf.DUMMYFUNCTION("SUM(FILTER(J:J, H:H=""Tiền mặt"")) - SUM(FILTER(K:K, H:H=""Tiền mặt""))
"),959000)</f>
        <v>959000</v>
      </c>
      <c r="N674" s="6">
        <f ca="1">IFERROR(__xludf.DUMMYFUNCTION("SUM(FILTER(J:J, H:H=""Chuyển khoản"")) - SUM(FILTER(K:K, H:H=""Chuyển khoản""))
"),4468984)</f>
        <v>4468984</v>
      </c>
      <c r="O674" s="5"/>
      <c r="P674" s="5"/>
      <c r="Q674" s="5"/>
      <c r="R674" s="5"/>
      <c r="S674" s="5"/>
    </row>
    <row r="675" spans="1:19" ht="15.75" customHeight="1" x14ac:dyDescent="0.2">
      <c r="A675" s="3">
        <v>46119</v>
      </c>
      <c r="B675" s="4" t="str">
        <f>IF(A675="","","PC-"&amp;TEXT(A675,"mm/yyyy")&amp;"-"&amp;TEXT(COUNTIFS($A$2:A675,"&gt;="&amp;EOMONTH(A675,-1)+1,$A$2:A675,"&lt;="&amp;EOMONTH(A675,0)),"000"))</f>
        <v>PC-04/2026-182</v>
      </c>
      <c r="C675" s="5" t="s">
        <v>909</v>
      </c>
      <c r="D675" s="5" t="s">
        <v>20</v>
      </c>
      <c r="E675" s="5" t="s">
        <v>21</v>
      </c>
      <c r="F675" s="5"/>
      <c r="G675" s="5" t="s">
        <v>22</v>
      </c>
      <c r="H675" s="5" t="s">
        <v>23</v>
      </c>
      <c r="I675" s="6">
        <v>4500000</v>
      </c>
      <c r="J675" s="6">
        <f>IF(D675="Thu",I675,0)</f>
        <v>4500000</v>
      </c>
      <c r="K675" s="6">
        <f>IF(D675="Chi",I675,0)</f>
        <v>0</v>
      </c>
      <c r="L675" s="6" t="e">
        <f>L674+J675-K675</f>
        <v>#VALUE!</v>
      </c>
      <c r="M675" s="6">
        <f ca="1">IFERROR(__xludf.DUMMYFUNCTION("SUM(FILTER(J:J, H:H=""Tiền mặt"")) - SUM(FILTER(K:K, H:H=""Tiền mặt""))
"),959000)</f>
        <v>959000</v>
      </c>
      <c r="N675" s="6">
        <f ca="1">IFERROR(__xludf.DUMMYFUNCTION("SUM(FILTER(J:J, H:H=""Chuyển khoản"")) - SUM(FILTER(K:K, H:H=""Chuyển khoản""))
"),4468984)</f>
        <v>4468984</v>
      </c>
      <c r="O675" s="5"/>
      <c r="P675" s="5"/>
      <c r="Q675" s="5"/>
      <c r="R675" s="5"/>
      <c r="S675" s="5"/>
    </row>
    <row r="676" spans="1:19" ht="15.75" customHeight="1" x14ac:dyDescent="0.2">
      <c r="A676" s="3">
        <v>46119</v>
      </c>
      <c r="B676" s="4" t="str">
        <f>IF(A676="","","PC-"&amp;TEXT(A676,"mm/yyyy")&amp;"-"&amp;TEXT(COUNTIFS($A$2:A676,"&gt;="&amp;EOMONTH(A676,-1)+1,$A$2:A676,"&lt;="&amp;EOMONTH(A676,0)),"000"))</f>
        <v>PC-04/2026-183</v>
      </c>
      <c r="C676" s="5" t="s">
        <v>910</v>
      </c>
      <c r="D676" s="5" t="s">
        <v>29</v>
      </c>
      <c r="E676" s="5" t="s">
        <v>64</v>
      </c>
      <c r="F676" s="5"/>
      <c r="G676" s="5" t="s">
        <v>217</v>
      </c>
      <c r="H676" s="5" t="s">
        <v>27</v>
      </c>
      <c r="I676" s="6">
        <v>240000</v>
      </c>
      <c r="J676" s="6">
        <f>IF(D676="Thu",I676,0)</f>
        <v>0</v>
      </c>
      <c r="K676" s="6">
        <f>IF(D676="Chi",I676,0)</f>
        <v>240000</v>
      </c>
      <c r="L676" s="6" t="e">
        <f>L675+J676-K676</f>
        <v>#VALUE!</v>
      </c>
      <c r="M676" s="6">
        <f ca="1">IFERROR(__xludf.DUMMYFUNCTION("SUM(FILTER(J:J, H:H=""Tiền mặt"")) - SUM(FILTER(K:K, H:H=""Tiền mặt""))
"),959000)</f>
        <v>959000</v>
      </c>
      <c r="N676" s="6">
        <f ca="1">IFERROR(__xludf.DUMMYFUNCTION("SUM(FILTER(J:J, H:H=""Chuyển khoản"")) - SUM(FILTER(K:K, H:H=""Chuyển khoản""))
"),4468984)</f>
        <v>4468984</v>
      </c>
      <c r="O676" s="5"/>
      <c r="P676" s="5"/>
      <c r="Q676" s="5"/>
      <c r="R676" s="5"/>
      <c r="S676" s="5"/>
    </row>
    <row r="677" spans="1:19" ht="15.75" customHeight="1" x14ac:dyDescent="0.2">
      <c r="A677" s="3">
        <v>46119</v>
      </c>
      <c r="B677" s="4" t="str">
        <f>IF(A677="","","PC-"&amp;TEXT(A677,"mm/yyyy")&amp;"-"&amp;TEXT(COUNTIFS($A$2:A677,"&gt;="&amp;EOMONTH(A677,-1)+1,$A$2:A677,"&lt;="&amp;EOMONTH(A677,0)),"000"))</f>
        <v>PC-04/2026-184</v>
      </c>
      <c r="C677" s="5" t="s">
        <v>911</v>
      </c>
      <c r="D677" s="5" t="s">
        <v>29</v>
      </c>
      <c r="E677" s="5" t="s">
        <v>71</v>
      </c>
      <c r="F677" s="5"/>
      <c r="G677" s="5" t="s">
        <v>912</v>
      </c>
      <c r="H677" s="5" t="s">
        <v>27</v>
      </c>
      <c r="I677" s="6">
        <v>52000</v>
      </c>
      <c r="J677" s="6">
        <f>IF(D677="Thu",I677,0)</f>
        <v>0</v>
      </c>
      <c r="K677" s="6">
        <f>IF(D677="Chi",I677,0)</f>
        <v>52000</v>
      </c>
      <c r="L677" s="6" t="e">
        <f>L676+J677-K677</f>
        <v>#VALUE!</v>
      </c>
      <c r="M677" s="6">
        <f ca="1">IFERROR(__xludf.DUMMYFUNCTION("SUM(FILTER(J:J, H:H=""Tiền mặt"")) - SUM(FILTER(K:K, H:H=""Tiền mặt""))
"),959000)</f>
        <v>959000</v>
      </c>
      <c r="N677" s="6">
        <f ca="1">IFERROR(__xludf.DUMMYFUNCTION("SUM(FILTER(J:J, H:H=""Chuyển khoản"")) - SUM(FILTER(K:K, H:H=""Chuyển khoản""))
"),4468984)</f>
        <v>4468984</v>
      </c>
      <c r="O677" s="5"/>
      <c r="P677" s="5"/>
      <c r="Q677" s="5"/>
      <c r="R677" s="5"/>
      <c r="S677" s="5"/>
    </row>
    <row r="678" spans="1:19" ht="15.75" customHeight="1" x14ac:dyDescent="0.2">
      <c r="A678" s="3">
        <v>46119</v>
      </c>
      <c r="B678" s="4" t="str">
        <f>IF(A678="","","PC-"&amp;TEXT(A678,"mm/yyyy")&amp;"-"&amp;TEXT(COUNTIFS($A$2:A678,"&gt;="&amp;EOMONTH(A678,-1)+1,$A$2:A678,"&lt;="&amp;EOMONTH(A678,0)),"000"))</f>
        <v>PC-04/2026-185</v>
      </c>
      <c r="C678" s="5" t="s">
        <v>913</v>
      </c>
      <c r="D678" s="5" t="s">
        <v>29</v>
      </c>
      <c r="E678" s="5" t="s">
        <v>41</v>
      </c>
      <c r="F678" s="5"/>
      <c r="G678" s="5" t="s">
        <v>42</v>
      </c>
      <c r="H678" s="5" t="s">
        <v>23</v>
      </c>
      <c r="I678" s="6">
        <v>100000</v>
      </c>
      <c r="J678" s="6">
        <f>IF(D678="Thu",I678,0)</f>
        <v>0</v>
      </c>
      <c r="K678" s="6">
        <f>IF(D678="Chi",I678,0)</f>
        <v>100000</v>
      </c>
      <c r="L678" s="6" t="e">
        <f>L677+J678-K678</f>
        <v>#VALUE!</v>
      </c>
      <c r="M678" s="6">
        <f ca="1">IFERROR(__xludf.DUMMYFUNCTION("SUM(FILTER(J:J, H:H=""Tiền mặt"")) - SUM(FILTER(K:K, H:H=""Tiền mặt""))
"),959000)</f>
        <v>959000</v>
      </c>
      <c r="N678" s="6">
        <f ca="1">IFERROR(__xludf.DUMMYFUNCTION("SUM(FILTER(J:J, H:H=""Chuyển khoản"")) - SUM(FILTER(K:K, H:H=""Chuyển khoản""))
"),4468984)</f>
        <v>4468984</v>
      </c>
      <c r="O678" s="5"/>
      <c r="P678" s="5"/>
      <c r="Q678" s="5"/>
      <c r="R678" s="5"/>
      <c r="S678" s="5"/>
    </row>
    <row r="679" spans="1:19" ht="15.75" customHeight="1" x14ac:dyDescent="0.2">
      <c r="A679" s="3">
        <v>46119</v>
      </c>
      <c r="B679" s="4" t="str">
        <f>IF(A679="","","PC-"&amp;TEXT(A679,"mm/yyyy")&amp;"-"&amp;TEXT(COUNTIFS($A$2:A679,"&gt;="&amp;EOMONTH(A679,-1)+1,$A$2:A679,"&lt;="&amp;EOMONTH(A679,0)),"000"))</f>
        <v>PC-04/2026-186</v>
      </c>
      <c r="C679" s="5" t="s">
        <v>914</v>
      </c>
      <c r="D679" s="5" t="s">
        <v>29</v>
      </c>
      <c r="E679" s="5" t="s">
        <v>51</v>
      </c>
      <c r="F679" s="5"/>
      <c r="G679" s="5" t="s">
        <v>52</v>
      </c>
      <c r="H679" s="5" t="s">
        <v>27</v>
      </c>
      <c r="I679" s="6">
        <v>154737</v>
      </c>
      <c r="J679" s="6">
        <f>IF(D679="Thu",I679,0)</f>
        <v>0</v>
      </c>
      <c r="K679" s="6">
        <f>IF(D679="Chi",I679,0)</f>
        <v>154737</v>
      </c>
      <c r="L679" s="6" t="e">
        <f>L678+J679-K679</f>
        <v>#VALUE!</v>
      </c>
      <c r="M679" s="6">
        <f ca="1">IFERROR(__xludf.DUMMYFUNCTION("SUM(FILTER(J:J, H:H=""Tiền mặt"")) - SUM(FILTER(K:K, H:H=""Tiền mặt""))
"),959000)</f>
        <v>959000</v>
      </c>
      <c r="N679" s="6">
        <f ca="1">IFERROR(__xludf.DUMMYFUNCTION("SUM(FILTER(J:J, H:H=""Chuyển khoản"")) - SUM(FILTER(K:K, H:H=""Chuyển khoản""))
"),4468984)</f>
        <v>4468984</v>
      </c>
      <c r="O679" s="5"/>
      <c r="P679" s="5"/>
      <c r="Q679" s="5"/>
      <c r="R679" s="5"/>
      <c r="S679" s="5"/>
    </row>
    <row r="680" spans="1:19" ht="15.75" customHeight="1" x14ac:dyDescent="0.2">
      <c r="A680" s="3">
        <v>46119</v>
      </c>
      <c r="B680" s="4" t="str">
        <f>IF(A680="","","PC-"&amp;TEXT(A680,"mm/yyyy")&amp;"-"&amp;TEXT(COUNTIFS($A$2:A680,"&gt;="&amp;EOMONTH(A680,-1)+1,$A$2:A680,"&lt;="&amp;EOMONTH(A680,0)),"000"))</f>
        <v>PC-04/2026-187</v>
      </c>
      <c r="C680" s="5" t="s">
        <v>915</v>
      </c>
      <c r="D680" s="5" t="s">
        <v>29</v>
      </c>
      <c r="E680" s="5" t="s">
        <v>47</v>
      </c>
      <c r="F680" s="5"/>
      <c r="G680" s="5" t="s">
        <v>48</v>
      </c>
      <c r="H680" s="5" t="s">
        <v>23</v>
      </c>
      <c r="I680" s="6">
        <v>50000</v>
      </c>
      <c r="J680" s="6">
        <f>IF(D680="Thu",I680,0)</f>
        <v>0</v>
      </c>
      <c r="K680" s="6">
        <f>IF(D680="Chi",I680,0)</f>
        <v>50000</v>
      </c>
      <c r="L680" s="6" t="e">
        <f>L679+J680-K680</f>
        <v>#VALUE!</v>
      </c>
      <c r="M680" s="6">
        <f ca="1">IFERROR(__xludf.DUMMYFUNCTION("SUM(FILTER(J:J, H:H=""Tiền mặt"")) - SUM(FILTER(K:K, H:H=""Tiền mặt""))
"),959000)</f>
        <v>959000</v>
      </c>
      <c r="N680" s="6">
        <f ca="1">IFERROR(__xludf.DUMMYFUNCTION("SUM(FILTER(J:J, H:H=""Chuyển khoản"")) - SUM(FILTER(K:K, H:H=""Chuyển khoản""))
"),4468984)</f>
        <v>4468984</v>
      </c>
      <c r="O680" s="5"/>
      <c r="P680" s="5"/>
      <c r="Q680" s="5"/>
      <c r="R680" s="5"/>
      <c r="S680" s="5"/>
    </row>
    <row r="681" spans="1:19" ht="15.75" customHeight="1" x14ac:dyDescent="0.2">
      <c r="A681" s="3">
        <v>46118</v>
      </c>
      <c r="B681" s="4" t="str">
        <f>IF(A681="","","PC-"&amp;TEXT(A681,"mm/yyyy")&amp;"-"&amp;TEXT(COUNTIFS($A$2:A681,"&gt;="&amp;EOMONTH(A681,-1)+1,$A$2:A681,"&lt;="&amp;EOMONTH(A681,0)),"000"))</f>
        <v>PC-04/2026-188</v>
      </c>
      <c r="C681" s="5" t="s">
        <v>885</v>
      </c>
      <c r="D681" s="5" t="s">
        <v>29</v>
      </c>
      <c r="E681" s="5" t="s">
        <v>44</v>
      </c>
      <c r="F681" s="5"/>
      <c r="G681" s="5" t="s">
        <v>413</v>
      </c>
      <c r="H681" s="5" t="s">
        <v>23</v>
      </c>
      <c r="I681" s="6">
        <v>1500000</v>
      </c>
      <c r="J681" s="6">
        <f>IF(D681="Thu",I681,0)</f>
        <v>0</v>
      </c>
      <c r="K681" s="6">
        <f>IF(D681="Chi",I681,0)</f>
        <v>1500000</v>
      </c>
      <c r="L681" s="6" t="e">
        <f>L680+J681-K681</f>
        <v>#VALUE!</v>
      </c>
      <c r="M681" s="6">
        <f ca="1">IFERROR(__xludf.DUMMYFUNCTION("SUM(FILTER(J:J, H:H=""Tiền mặt"")) - SUM(FILTER(K:K, H:H=""Tiền mặt""))
"),959000)</f>
        <v>959000</v>
      </c>
      <c r="N681" s="6">
        <f ca="1">IFERROR(__xludf.DUMMYFUNCTION("SUM(FILTER(J:J, H:H=""Chuyển khoản"")) - SUM(FILTER(K:K, H:H=""Chuyển khoản""))
"),4468984)</f>
        <v>4468984</v>
      </c>
      <c r="O681" s="5"/>
      <c r="P681" s="5"/>
      <c r="Q681" s="5"/>
      <c r="R681" s="5"/>
      <c r="S681" s="5"/>
    </row>
    <row r="682" spans="1:19" ht="15.75" customHeight="1" x14ac:dyDescent="0.2">
      <c r="A682" s="3">
        <v>46118</v>
      </c>
      <c r="B682" s="4" t="str">
        <f>IF(A682="","","PC-"&amp;TEXT(A682,"mm/yyyy")&amp;"-"&amp;TEXT(COUNTIFS($A$2:A682,"&gt;="&amp;EOMONTH(A682,-1)+1,$A$2:A682,"&lt;="&amp;EOMONTH(A682,0)),"000"))</f>
        <v>PC-04/2026-189</v>
      </c>
      <c r="C682" s="5" t="s">
        <v>886</v>
      </c>
      <c r="D682" s="5" t="s">
        <v>29</v>
      </c>
      <c r="E682" s="5" t="s">
        <v>47</v>
      </c>
      <c r="F682" s="5"/>
      <c r="G682" s="5" t="s">
        <v>48</v>
      </c>
      <c r="H682" s="5" t="s">
        <v>23</v>
      </c>
      <c r="I682" s="6">
        <v>50000</v>
      </c>
      <c r="J682" s="6">
        <f>IF(D682="Thu",I682,0)</f>
        <v>0</v>
      </c>
      <c r="K682" s="6">
        <f>IF(D682="Chi",I682,0)</f>
        <v>50000</v>
      </c>
      <c r="L682" s="6" t="e">
        <f>L681+J682-K682</f>
        <v>#VALUE!</v>
      </c>
      <c r="M682" s="6">
        <f ca="1">IFERROR(__xludf.DUMMYFUNCTION("SUM(FILTER(J:J, H:H=""Tiền mặt"")) - SUM(FILTER(K:K, H:H=""Tiền mặt""))
"),959000)</f>
        <v>959000</v>
      </c>
      <c r="N682" s="6">
        <f ca="1">IFERROR(__xludf.DUMMYFUNCTION("SUM(FILTER(J:J, H:H=""Chuyển khoản"")) - SUM(FILTER(K:K, H:H=""Chuyển khoản""))
"),4468984)</f>
        <v>4468984</v>
      </c>
      <c r="O682" s="5"/>
      <c r="P682" s="5"/>
      <c r="Q682" s="5"/>
      <c r="R682" s="5"/>
      <c r="S682" s="5"/>
    </row>
    <row r="683" spans="1:19" ht="15.75" customHeight="1" x14ac:dyDescent="0.2">
      <c r="A683" s="3">
        <v>46118</v>
      </c>
      <c r="B683" s="4" t="str">
        <f>IF(A683="","","PC-"&amp;TEXT(A683,"mm/yyyy")&amp;"-"&amp;TEXT(COUNTIFS($A$2:A683,"&gt;="&amp;EOMONTH(A683,-1)+1,$A$2:A683,"&lt;="&amp;EOMONTH(A683,0)),"000"))</f>
        <v>PC-04/2026-190</v>
      </c>
      <c r="C683" s="5" t="s">
        <v>887</v>
      </c>
      <c r="D683" s="5" t="s">
        <v>29</v>
      </c>
      <c r="E683" s="5" t="s">
        <v>44</v>
      </c>
      <c r="F683" s="5"/>
      <c r="G683" s="5" t="s">
        <v>97</v>
      </c>
      <c r="H683" s="5" t="s">
        <v>23</v>
      </c>
      <c r="I683" s="6">
        <v>1500000</v>
      </c>
      <c r="J683" s="6">
        <f>IF(D683="Thu",I683,0)</f>
        <v>0</v>
      </c>
      <c r="K683" s="6">
        <f>IF(D683="Chi",I683,0)</f>
        <v>1500000</v>
      </c>
      <c r="L683" s="6" t="e">
        <f>L682+J683-K683</f>
        <v>#VALUE!</v>
      </c>
      <c r="M683" s="6">
        <f ca="1">IFERROR(__xludf.DUMMYFUNCTION("SUM(FILTER(J:J, H:H=""Tiền mặt"")) - SUM(FILTER(K:K, H:H=""Tiền mặt""))
"),959000)</f>
        <v>959000</v>
      </c>
      <c r="N683" s="6">
        <f ca="1">IFERROR(__xludf.DUMMYFUNCTION("SUM(FILTER(J:J, H:H=""Chuyển khoản"")) - SUM(FILTER(K:K, H:H=""Chuyển khoản""))
"),4468984)</f>
        <v>4468984</v>
      </c>
      <c r="O683" s="5"/>
      <c r="P683" s="5"/>
      <c r="Q683" s="5"/>
      <c r="R683" s="5"/>
      <c r="S683" s="5"/>
    </row>
    <row r="684" spans="1:19" ht="15.75" customHeight="1" x14ac:dyDescent="0.2">
      <c r="A684" s="3">
        <v>46118</v>
      </c>
      <c r="B684" s="4" t="str">
        <f>IF(A684="","","PC-"&amp;TEXT(A684,"mm/yyyy")&amp;"-"&amp;TEXT(COUNTIFS($A$2:A684,"&gt;="&amp;EOMONTH(A684,-1)+1,$A$2:A684,"&lt;="&amp;EOMONTH(A684,0)),"000"))</f>
        <v>PC-04/2026-191</v>
      </c>
      <c r="C684" s="5" t="s">
        <v>888</v>
      </c>
      <c r="D684" s="5" t="s">
        <v>29</v>
      </c>
      <c r="E684" s="5" t="s">
        <v>47</v>
      </c>
      <c r="F684" s="5"/>
      <c r="G684" s="5" t="s">
        <v>48</v>
      </c>
      <c r="H684" s="5" t="s">
        <v>23</v>
      </c>
      <c r="I684" s="6">
        <v>50000</v>
      </c>
      <c r="J684" s="6">
        <f>IF(D684="Thu",I684,0)</f>
        <v>0</v>
      </c>
      <c r="K684" s="6">
        <f>IF(D684="Chi",I684,0)</f>
        <v>50000</v>
      </c>
      <c r="L684" s="6" t="e">
        <f>L683+J684-K684</f>
        <v>#VALUE!</v>
      </c>
      <c r="M684" s="6">
        <f ca="1">IFERROR(__xludf.DUMMYFUNCTION("SUM(FILTER(J:J, H:H=""Tiền mặt"")) - SUM(FILTER(K:K, H:H=""Tiền mặt""))
"),959000)</f>
        <v>959000</v>
      </c>
      <c r="N684" s="6">
        <f ca="1">IFERROR(__xludf.DUMMYFUNCTION("SUM(FILTER(J:J, H:H=""Chuyển khoản"")) - SUM(FILTER(K:K, H:H=""Chuyển khoản""))
"),4468984)</f>
        <v>4468984</v>
      </c>
      <c r="O684" s="5"/>
      <c r="P684" s="5"/>
      <c r="Q684" s="5"/>
      <c r="R684" s="5"/>
      <c r="S684" s="5"/>
    </row>
    <row r="685" spans="1:19" ht="15.75" customHeight="1" x14ac:dyDescent="0.2">
      <c r="A685" s="3">
        <v>46118</v>
      </c>
      <c r="B685" s="4" t="str">
        <f>IF(A685="","","PC-"&amp;TEXT(A685,"mm/yyyy")&amp;"-"&amp;TEXT(COUNTIFS($A$2:A685,"&gt;="&amp;EOMONTH(A685,-1)+1,$A$2:A685,"&lt;="&amp;EOMONTH(A685,0)),"000"))</f>
        <v>PC-04/2026-192</v>
      </c>
      <c r="C685" s="5" t="s">
        <v>889</v>
      </c>
      <c r="D685" s="5" t="s">
        <v>29</v>
      </c>
      <c r="E685" s="5" t="s">
        <v>51</v>
      </c>
      <c r="F685" s="5"/>
      <c r="G685" s="5" t="s">
        <v>52</v>
      </c>
      <c r="H685" s="5" t="s">
        <v>27</v>
      </c>
      <c r="I685" s="6">
        <v>127755</v>
      </c>
      <c r="J685" s="6">
        <f>IF(D685="Thu",I685,0)</f>
        <v>0</v>
      </c>
      <c r="K685" s="6">
        <f>IF(D685="Chi",I685,0)</f>
        <v>127755</v>
      </c>
      <c r="L685" s="6" t="e">
        <f>L684+J685-K685</f>
        <v>#VALUE!</v>
      </c>
      <c r="M685" s="6">
        <f ca="1">IFERROR(__xludf.DUMMYFUNCTION("SUM(FILTER(J:J, H:H=""Tiền mặt"")) - SUM(FILTER(K:K, H:H=""Tiền mặt""))
"),959000)</f>
        <v>959000</v>
      </c>
      <c r="N685" s="6">
        <f ca="1">IFERROR(__xludf.DUMMYFUNCTION("SUM(FILTER(J:J, H:H=""Chuyển khoản"")) - SUM(FILTER(K:K, H:H=""Chuyển khoản""))
"),4468984)</f>
        <v>4468984</v>
      </c>
      <c r="O685" s="5"/>
      <c r="P685" s="5"/>
      <c r="Q685" s="5"/>
      <c r="R685" s="5"/>
      <c r="S685" s="5"/>
    </row>
    <row r="686" spans="1:19" ht="15.75" customHeight="1" x14ac:dyDescent="0.2">
      <c r="A686" s="3">
        <v>46118</v>
      </c>
      <c r="B686" s="4" t="str">
        <f>IF(A686="","","PC-"&amp;TEXT(A686,"mm/yyyy")&amp;"-"&amp;TEXT(COUNTIFS($A$2:A686,"&gt;="&amp;EOMONTH(A686,-1)+1,$A$2:A686,"&lt;="&amp;EOMONTH(A686,0)),"000"))</f>
        <v>PC-04/2026-193</v>
      </c>
      <c r="C686" s="7" t="s">
        <v>890</v>
      </c>
      <c r="D686" s="5" t="s">
        <v>29</v>
      </c>
      <c r="E686" s="5" t="s">
        <v>41</v>
      </c>
      <c r="F686" s="5"/>
      <c r="G686" s="5" t="s">
        <v>82</v>
      </c>
      <c r="H686" s="5" t="s">
        <v>23</v>
      </c>
      <c r="I686" s="6">
        <v>100000</v>
      </c>
      <c r="J686" s="6">
        <f>IF(D686="Thu",I686,0)</f>
        <v>0</v>
      </c>
      <c r="K686" s="6">
        <f>IF(D686="Chi",I686,0)</f>
        <v>100000</v>
      </c>
      <c r="L686" s="6" t="e">
        <f>L685+J686-K686</f>
        <v>#VALUE!</v>
      </c>
      <c r="M686" s="6">
        <f ca="1">IFERROR(__xludf.DUMMYFUNCTION("SUM(FILTER(J:J, H:H=""Tiền mặt"")) - SUM(FILTER(K:K, H:H=""Tiền mặt""))
"),959000)</f>
        <v>959000</v>
      </c>
      <c r="N686" s="6">
        <f ca="1">IFERROR(__xludf.DUMMYFUNCTION("SUM(FILTER(J:J, H:H=""Chuyển khoản"")) - SUM(FILTER(K:K, H:H=""Chuyển khoản""))
"),4468984)</f>
        <v>4468984</v>
      </c>
      <c r="O686" s="5"/>
      <c r="P686" s="5"/>
      <c r="Q686" s="5"/>
      <c r="R686" s="5"/>
      <c r="S686" s="5"/>
    </row>
    <row r="687" spans="1:19" ht="15.75" customHeight="1" x14ac:dyDescent="0.2">
      <c r="A687" s="3">
        <v>46118</v>
      </c>
      <c r="B687" s="4" t="str">
        <f>IF(A687="","","PC-"&amp;TEXT(A687,"mm/yyyy")&amp;"-"&amp;TEXT(COUNTIFS($A$2:A687,"&gt;="&amp;EOMONTH(A687,-1)+1,$A$2:A687,"&lt;="&amp;EOMONTH(A687,0)),"000"))</f>
        <v>PC-04/2026-194</v>
      </c>
      <c r="C687" s="5" t="s">
        <v>891</v>
      </c>
      <c r="D687" s="5" t="s">
        <v>29</v>
      </c>
      <c r="E687" s="5" t="s">
        <v>141</v>
      </c>
      <c r="F687" s="5"/>
      <c r="G687" s="5" t="s">
        <v>52</v>
      </c>
      <c r="H687" s="5" t="s">
        <v>27</v>
      </c>
      <c r="I687" s="6">
        <v>975000</v>
      </c>
      <c r="J687" s="6">
        <f>IF(D687="Thu",I687,0)</f>
        <v>0</v>
      </c>
      <c r="K687" s="6">
        <f>IF(D687="Chi",I687,0)</f>
        <v>975000</v>
      </c>
      <c r="L687" s="6" t="e">
        <f>L686+J687-K687</f>
        <v>#VALUE!</v>
      </c>
      <c r="M687" s="6">
        <f ca="1">IFERROR(__xludf.DUMMYFUNCTION("SUM(FILTER(J:J, H:H=""Tiền mặt"")) - SUM(FILTER(K:K, H:H=""Tiền mặt""))
"),959000)</f>
        <v>959000</v>
      </c>
      <c r="N687" s="6">
        <f ca="1">IFERROR(__xludf.DUMMYFUNCTION("SUM(FILTER(J:J, H:H=""Chuyển khoản"")) - SUM(FILTER(K:K, H:H=""Chuyển khoản""))
"),4468984)</f>
        <v>4468984</v>
      </c>
      <c r="O687" s="5"/>
      <c r="P687" s="5"/>
      <c r="Q687" s="5"/>
      <c r="R687" s="5"/>
      <c r="S687" s="5"/>
    </row>
    <row r="688" spans="1:19" ht="15.75" customHeight="1" x14ac:dyDescent="0.2">
      <c r="A688" s="3">
        <v>46118</v>
      </c>
      <c r="B688" s="4" t="str">
        <f>IF(A688="","","PC-"&amp;TEXT(A688,"mm/yyyy")&amp;"-"&amp;TEXT(COUNTIFS($A$2:A688,"&gt;="&amp;EOMONTH(A688,-1)+1,$A$2:A688,"&lt;="&amp;EOMONTH(A688,0)),"000"))</f>
        <v>PC-04/2026-195</v>
      </c>
      <c r="C688" s="5" t="s">
        <v>892</v>
      </c>
      <c r="D688" s="5" t="s">
        <v>29</v>
      </c>
      <c r="E688" s="5" t="s">
        <v>141</v>
      </c>
      <c r="F688" s="5"/>
      <c r="G688" s="5" t="s">
        <v>52</v>
      </c>
      <c r="H688" s="5" t="s">
        <v>27</v>
      </c>
      <c r="I688" s="6">
        <v>1575000</v>
      </c>
      <c r="J688" s="6">
        <f>IF(D688="Thu",I688,0)</f>
        <v>0</v>
      </c>
      <c r="K688" s="6">
        <f>IF(D688="Chi",I688,0)</f>
        <v>1575000</v>
      </c>
      <c r="L688" s="6" t="e">
        <f>L687+J688-K688</f>
        <v>#VALUE!</v>
      </c>
      <c r="M688" s="6">
        <f ca="1">IFERROR(__xludf.DUMMYFUNCTION("SUM(FILTER(J:J, H:H=""Tiền mặt"")) - SUM(FILTER(K:K, H:H=""Tiền mặt""))
"),959000)</f>
        <v>959000</v>
      </c>
      <c r="N688" s="6">
        <f ca="1">IFERROR(__xludf.DUMMYFUNCTION("SUM(FILTER(J:J, H:H=""Chuyển khoản"")) - SUM(FILTER(K:K, H:H=""Chuyển khoản""))
"),4468984)</f>
        <v>4468984</v>
      </c>
      <c r="O688" s="5"/>
      <c r="P688" s="5"/>
      <c r="Q688" s="5"/>
      <c r="R688" s="5"/>
      <c r="S688" s="5"/>
    </row>
    <row r="689" spans="1:19" ht="15.75" customHeight="1" x14ac:dyDescent="0.2">
      <c r="A689" s="3">
        <v>46118</v>
      </c>
      <c r="B689" s="4" t="str">
        <f>IF(A689="","","PC-"&amp;TEXT(A689,"mm/yyyy")&amp;"-"&amp;TEXT(COUNTIFS($A$2:A689,"&gt;="&amp;EOMONTH(A689,-1)+1,$A$2:A689,"&lt;="&amp;EOMONTH(A689,0)),"000"))</f>
        <v>PC-04/2026-196</v>
      </c>
      <c r="C689" s="7" t="s">
        <v>893</v>
      </c>
      <c r="D689" s="5" t="s">
        <v>20</v>
      </c>
      <c r="E689" s="5" t="s">
        <v>21</v>
      </c>
      <c r="F689" s="5"/>
      <c r="G689" s="5" t="s">
        <v>894</v>
      </c>
      <c r="H689" s="5" t="s">
        <v>23</v>
      </c>
      <c r="I689" s="6">
        <v>2550000</v>
      </c>
      <c r="J689" s="6">
        <f>IF(D689="Thu",I689,0)</f>
        <v>2550000</v>
      </c>
      <c r="K689" s="6">
        <f>IF(D689="Chi",I689,0)</f>
        <v>0</v>
      </c>
      <c r="L689" s="6" t="e">
        <f>L688+J689-K689</f>
        <v>#VALUE!</v>
      </c>
      <c r="M689" s="6">
        <f ca="1">IFERROR(__xludf.DUMMYFUNCTION("SUM(FILTER(J:J, H:H=""Tiền mặt"")) - SUM(FILTER(K:K, H:H=""Tiền mặt""))
"),959000)</f>
        <v>959000</v>
      </c>
      <c r="N689" s="6">
        <f ca="1">IFERROR(__xludf.DUMMYFUNCTION("SUM(FILTER(J:J, H:H=""Chuyển khoản"")) - SUM(FILTER(K:K, H:H=""Chuyển khoản""))
"),4468984)</f>
        <v>4468984</v>
      </c>
      <c r="O689" s="5"/>
      <c r="P689" s="5"/>
      <c r="Q689" s="5"/>
      <c r="R689" s="5"/>
      <c r="S689" s="5"/>
    </row>
    <row r="690" spans="1:19" ht="15.75" customHeight="1" x14ac:dyDescent="0.2">
      <c r="A690" s="3">
        <v>46118</v>
      </c>
      <c r="B690" s="4" t="str">
        <f>IF(A690="","","PC-"&amp;TEXT(A690,"mm/yyyy")&amp;"-"&amp;TEXT(COUNTIFS($A$2:A690,"&gt;="&amp;EOMONTH(A690,-1)+1,$A$2:A690,"&lt;="&amp;EOMONTH(A690,0)),"000"))</f>
        <v>PC-04/2026-197</v>
      </c>
      <c r="C690" s="5" t="s">
        <v>895</v>
      </c>
      <c r="D690" s="5" t="s">
        <v>29</v>
      </c>
      <c r="E690" s="5" t="s">
        <v>41</v>
      </c>
      <c r="F690" s="5"/>
      <c r="G690" s="5" t="s">
        <v>42</v>
      </c>
      <c r="H690" s="5" t="s">
        <v>23</v>
      </c>
      <c r="I690" s="6">
        <v>100000</v>
      </c>
      <c r="J690" s="6">
        <f>IF(D690="Thu",I690,0)</f>
        <v>0</v>
      </c>
      <c r="K690" s="6">
        <f>IF(D690="Chi",I690,0)</f>
        <v>100000</v>
      </c>
      <c r="L690" s="6" t="e">
        <f>L689+J690-K690</f>
        <v>#VALUE!</v>
      </c>
      <c r="M690" s="6">
        <f ca="1">IFERROR(__xludf.DUMMYFUNCTION("SUM(FILTER(J:J, H:H=""Tiền mặt"")) - SUM(FILTER(K:K, H:H=""Tiền mặt""))
"),959000)</f>
        <v>959000</v>
      </c>
      <c r="N690" s="6">
        <f ca="1">IFERROR(__xludf.DUMMYFUNCTION("SUM(FILTER(J:J, H:H=""Chuyển khoản"")) - SUM(FILTER(K:K, H:H=""Chuyển khoản""))
"),4468984)</f>
        <v>4468984</v>
      </c>
      <c r="O690" s="5"/>
      <c r="P690" s="5"/>
      <c r="Q690" s="5"/>
      <c r="R690" s="5"/>
      <c r="S690" s="5"/>
    </row>
    <row r="691" spans="1:19" ht="15.75" customHeight="1" x14ac:dyDescent="0.2">
      <c r="A691" s="3">
        <v>46118</v>
      </c>
      <c r="B691" s="4" t="str">
        <f>IF(A691="","","PC-"&amp;TEXT(A691,"mm/yyyy")&amp;"-"&amp;TEXT(COUNTIFS($A$2:A691,"&gt;="&amp;EOMONTH(A691,-1)+1,$A$2:A691,"&lt;="&amp;EOMONTH(A691,0)),"000"))</f>
        <v>PC-04/2026-198</v>
      </c>
      <c r="C691" s="5" t="s">
        <v>896</v>
      </c>
      <c r="D691" s="5" t="s">
        <v>29</v>
      </c>
      <c r="E691" s="5" t="s">
        <v>71</v>
      </c>
      <c r="F691" s="5"/>
      <c r="G691" s="5" t="s">
        <v>897</v>
      </c>
      <c r="H691" s="5" t="s">
        <v>27</v>
      </c>
      <c r="I691" s="6">
        <v>53000</v>
      </c>
      <c r="J691" s="6">
        <f>IF(D691="Thu",I691,0)</f>
        <v>0</v>
      </c>
      <c r="K691" s="6">
        <f>IF(D691="Chi",I691,0)</f>
        <v>53000</v>
      </c>
      <c r="L691" s="6" t="e">
        <f>L690+J691-K691</f>
        <v>#VALUE!</v>
      </c>
      <c r="M691" s="6">
        <f ca="1">IFERROR(__xludf.DUMMYFUNCTION("SUM(FILTER(J:J, H:H=""Tiền mặt"")) - SUM(FILTER(K:K, H:H=""Tiền mặt""))
"),959000)</f>
        <v>959000</v>
      </c>
      <c r="N691" s="6">
        <f ca="1">IFERROR(__xludf.DUMMYFUNCTION("SUM(FILTER(J:J, H:H=""Chuyển khoản"")) - SUM(FILTER(K:K, H:H=""Chuyển khoản""))
"),4468984)</f>
        <v>4468984</v>
      </c>
      <c r="O691" s="5"/>
      <c r="P691" s="5"/>
      <c r="Q691" s="5"/>
      <c r="R691" s="5"/>
      <c r="S691" s="5"/>
    </row>
    <row r="692" spans="1:19" ht="15.75" customHeight="1" x14ac:dyDescent="0.2">
      <c r="A692" s="3">
        <v>46118</v>
      </c>
      <c r="B692" s="4" t="str">
        <f>IF(A692="","","PC-"&amp;TEXT(A692,"mm/yyyy")&amp;"-"&amp;TEXT(COUNTIFS($A$2:A692,"&gt;="&amp;EOMONTH(A692,-1)+1,$A$2:A692,"&lt;="&amp;EOMONTH(A692,0)),"000"))</f>
        <v>PC-04/2026-199</v>
      </c>
      <c r="C692" s="5" t="s">
        <v>898</v>
      </c>
      <c r="D692" s="5" t="s">
        <v>29</v>
      </c>
      <c r="E692" s="5" t="s">
        <v>71</v>
      </c>
      <c r="F692" s="5"/>
      <c r="G692" s="5" t="s">
        <v>899</v>
      </c>
      <c r="H692" s="5" t="s">
        <v>27</v>
      </c>
      <c r="I692" s="6">
        <v>66000</v>
      </c>
      <c r="J692" s="6">
        <f>IF(D692="Thu",I692,0)</f>
        <v>0</v>
      </c>
      <c r="K692" s="6">
        <f>IF(D692="Chi",I692,0)</f>
        <v>66000</v>
      </c>
      <c r="L692" s="6" t="e">
        <f>L691+J692-K692</f>
        <v>#VALUE!</v>
      </c>
      <c r="M692" s="6">
        <f ca="1">IFERROR(__xludf.DUMMYFUNCTION("SUM(FILTER(J:J, H:H=""Tiền mặt"")) - SUM(FILTER(K:K, H:H=""Tiền mặt""))
"),959000)</f>
        <v>959000</v>
      </c>
      <c r="N692" s="6">
        <f ca="1">IFERROR(__xludf.DUMMYFUNCTION("SUM(FILTER(J:J, H:H=""Chuyển khoản"")) - SUM(FILTER(K:K, H:H=""Chuyển khoản""))
"),4468984)</f>
        <v>4468984</v>
      </c>
      <c r="O692" s="5"/>
      <c r="P692" s="5"/>
      <c r="Q692" s="5"/>
      <c r="R692" s="5"/>
      <c r="S692" s="5"/>
    </row>
    <row r="693" spans="1:19" ht="15.75" customHeight="1" x14ac:dyDescent="0.2">
      <c r="A693" s="3">
        <v>46116</v>
      </c>
      <c r="B693" s="4" t="str">
        <f>IF(A693="","","PC-"&amp;TEXT(A693,"mm/yyyy")&amp;"-"&amp;TEXT(COUNTIFS($A$2:A693,"&gt;="&amp;EOMONTH(A693,-1)+1,$A$2:A693,"&lt;="&amp;EOMONTH(A693,0)),"000"))</f>
        <v>PC-04/2026-200</v>
      </c>
      <c r="C693" s="5" t="s">
        <v>168</v>
      </c>
      <c r="D693" s="5" t="s">
        <v>29</v>
      </c>
      <c r="E693" s="5" t="s">
        <v>36</v>
      </c>
      <c r="F693" s="5"/>
      <c r="G693" s="5" t="s">
        <v>72</v>
      </c>
      <c r="H693" s="5" t="s">
        <v>23</v>
      </c>
      <c r="I693" s="6">
        <v>234000</v>
      </c>
      <c r="J693" s="6">
        <f>IF(D693="Thu",I693,0)</f>
        <v>0</v>
      </c>
      <c r="K693" s="6">
        <f>IF(D693="Chi",I693,0)</f>
        <v>234000</v>
      </c>
      <c r="L693" s="6" t="e">
        <f>L692+J693-K693</f>
        <v>#VALUE!</v>
      </c>
      <c r="M693" s="6">
        <f ca="1">IFERROR(__xludf.DUMMYFUNCTION("SUM(FILTER(J:J, H:H=""Tiền mặt"")) - SUM(FILTER(K:K, H:H=""Tiền mặt""))
"),959000)</f>
        <v>959000</v>
      </c>
      <c r="N693" s="6">
        <f ca="1">IFERROR(__xludf.DUMMYFUNCTION("SUM(FILTER(J:J, H:H=""Chuyển khoản"")) - SUM(FILTER(K:K, H:H=""Chuyển khoản""))
"),4468984)</f>
        <v>4468984</v>
      </c>
      <c r="O693" s="5"/>
      <c r="P693" s="5"/>
      <c r="Q693" s="5"/>
      <c r="R693" s="5"/>
      <c r="S693" s="5"/>
    </row>
    <row r="694" spans="1:19" ht="15.75" customHeight="1" x14ac:dyDescent="0.2">
      <c r="A694" s="3">
        <v>46115</v>
      </c>
      <c r="B694" s="4" t="str">
        <f>IF(A694="","","PC-"&amp;TEXT(A694,"mm/yyyy")&amp;"-"&amp;TEXT(COUNTIFS($A$2:A694,"&gt;="&amp;EOMONTH(A694,-1)+1,$A$2:A694,"&lt;="&amp;EOMONTH(A694,0)),"000"))</f>
        <v>PC-04/2026-201</v>
      </c>
      <c r="C694" s="5" t="s">
        <v>872</v>
      </c>
      <c r="D694" s="5" t="s">
        <v>29</v>
      </c>
      <c r="E694" s="5" t="s">
        <v>44</v>
      </c>
      <c r="F694" s="5"/>
      <c r="G694" s="5" t="s">
        <v>374</v>
      </c>
      <c r="H694" s="5" t="s">
        <v>23</v>
      </c>
      <c r="I694" s="6">
        <v>1500000</v>
      </c>
      <c r="J694" s="6">
        <f>IF(D694="Thu",I694,0)</f>
        <v>0</v>
      </c>
      <c r="K694" s="6">
        <f>IF(D694="Chi",I694,0)</f>
        <v>1500000</v>
      </c>
      <c r="L694" s="6" t="e">
        <f>L693+J694-K694</f>
        <v>#VALUE!</v>
      </c>
      <c r="M694" s="6">
        <f ca="1">IFERROR(__xludf.DUMMYFUNCTION("SUM(FILTER(J:J, H:H=""Tiền mặt"")) - SUM(FILTER(K:K, H:H=""Tiền mặt""))
"),959000)</f>
        <v>959000</v>
      </c>
      <c r="N694" s="6">
        <f ca="1">IFERROR(__xludf.DUMMYFUNCTION("SUM(FILTER(J:J, H:H=""Chuyển khoản"")) - SUM(FILTER(K:K, H:H=""Chuyển khoản""))
"),4468984)</f>
        <v>4468984</v>
      </c>
      <c r="O694" s="5"/>
      <c r="P694" s="5"/>
      <c r="Q694" s="5"/>
      <c r="R694" s="5"/>
      <c r="S694" s="5"/>
    </row>
    <row r="695" spans="1:19" ht="15.75" customHeight="1" x14ac:dyDescent="0.2">
      <c r="A695" s="3">
        <v>46115</v>
      </c>
      <c r="B695" s="4" t="str">
        <f>IF(A695="","","PC-"&amp;TEXT(A695,"mm/yyyy")&amp;"-"&amp;TEXT(COUNTIFS($A$2:A695,"&gt;="&amp;EOMONTH(A695,-1)+1,$A$2:A695,"&lt;="&amp;EOMONTH(A695,0)),"000"))</f>
        <v>PC-04/2026-202</v>
      </c>
      <c r="C695" s="5" t="s">
        <v>873</v>
      </c>
      <c r="D695" s="5" t="s">
        <v>29</v>
      </c>
      <c r="E695" s="5" t="s">
        <v>47</v>
      </c>
      <c r="F695" s="5"/>
      <c r="G695" s="5" t="s">
        <v>48</v>
      </c>
      <c r="H695" s="5" t="s">
        <v>23</v>
      </c>
      <c r="I695" s="6">
        <v>50000</v>
      </c>
      <c r="J695" s="6">
        <f>IF(D695="Thu",I695,0)</f>
        <v>0</v>
      </c>
      <c r="K695" s="6">
        <f>IF(D695="Chi",I695,0)</f>
        <v>50000</v>
      </c>
      <c r="L695" s="6" t="e">
        <f>L694+J695-K695</f>
        <v>#VALUE!</v>
      </c>
      <c r="M695" s="6">
        <f ca="1">IFERROR(__xludf.DUMMYFUNCTION("SUM(FILTER(J:J, H:H=""Tiền mặt"")) - SUM(FILTER(K:K, H:H=""Tiền mặt""))
"),959000)</f>
        <v>959000</v>
      </c>
      <c r="N695" s="6">
        <f ca="1">IFERROR(__xludf.DUMMYFUNCTION("SUM(FILTER(J:J, H:H=""Chuyển khoản"")) - SUM(FILTER(K:K, H:H=""Chuyển khoản""))
"),4468984)</f>
        <v>4468984</v>
      </c>
      <c r="O695" s="5"/>
      <c r="P695" s="5"/>
      <c r="Q695" s="5"/>
      <c r="R695" s="5"/>
      <c r="S695" s="5"/>
    </row>
    <row r="696" spans="1:19" ht="15.75" customHeight="1" x14ac:dyDescent="0.2">
      <c r="A696" s="3">
        <v>46115</v>
      </c>
      <c r="B696" s="4" t="str">
        <f>IF(A696="","","PC-"&amp;TEXT(A696,"mm/yyyy")&amp;"-"&amp;TEXT(COUNTIFS($A$2:A696,"&gt;="&amp;EOMONTH(A696,-1)+1,$A$2:A696,"&lt;="&amp;EOMONTH(A696,0)),"000"))</f>
        <v>PC-04/2026-203</v>
      </c>
      <c r="C696" s="5" t="s">
        <v>874</v>
      </c>
      <c r="D696" s="5" t="s">
        <v>29</v>
      </c>
      <c r="E696" s="5" t="s">
        <v>41</v>
      </c>
      <c r="F696" s="5"/>
      <c r="G696" s="5" t="s">
        <v>143</v>
      </c>
      <c r="H696" s="5" t="s">
        <v>23</v>
      </c>
      <c r="I696" s="6">
        <v>100000</v>
      </c>
      <c r="J696" s="6">
        <f>IF(D696="Thu",I696,0)</f>
        <v>0</v>
      </c>
      <c r="K696" s="6">
        <f>IF(D696="Chi",I696,0)</f>
        <v>100000</v>
      </c>
      <c r="L696" s="6" t="e">
        <f>L695+J696-K696</f>
        <v>#VALUE!</v>
      </c>
      <c r="M696" s="6">
        <f ca="1">IFERROR(__xludf.DUMMYFUNCTION("SUM(FILTER(J:J, H:H=""Tiền mặt"")) - SUM(FILTER(K:K, H:H=""Tiền mặt""))
"),959000)</f>
        <v>959000</v>
      </c>
      <c r="N696" s="6">
        <f ca="1">IFERROR(__xludf.DUMMYFUNCTION("SUM(FILTER(J:J, H:H=""Chuyển khoản"")) - SUM(FILTER(K:K, H:H=""Chuyển khoản""))
"),4468984)</f>
        <v>4468984</v>
      </c>
      <c r="O696" s="5"/>
      <c r="P696" s="5"/>
      <c r="Q696" s="5"/>
      <c r="R696" s="5"/>
      <c r="S696" s="5"/>
    </row>
    <row r="697" spans="1:19" ht="15.75" customHeight="1" x14ac:dyDescent="0.2">
      <c r="A697" s="3">
        <v>46115</v>
      </c>
      <c r="B697" s="4" t="str">
        <f>IF(A697="","","PC-"&amp;TEXT(A697,"mm/yyyy")&amp;"-"&amp;TEXT(COUNTIFS($A$2:A697,"&gt;="&amp;EOMONTH(A697,-1)+1,$A$2:A697,"&lt;="&amp;EOMONTH(A697,0)),"000"))</f>
        <v>PC-04/2026-204</v>
      </c>
      <c r="C697" s="5" t="s">
        <v>875</v>
      </c>
      <c r="D697" s="5" t="s">
        <v>29</v>
      </c>
      <c r="E697" s="5" t="s">
        <v>51</v>
      </c>
      <c r="F697" s="5"/>
      <c r="G697" s="5" t="s">
        <v>876</v>
      </c>
      <c r="H697" s="5" t="s">
        <v>27</v>
      </c>
      <c r="I697" s="6">
        <v>183873</v>
      </c>
      <c r="J697" s="6">
        <f>IF(D697="Thu",I697,0)</f>
        <v>0</v>
      </c>
      <c r="K697" s="6">
        <f>IF(D697="Chi",I697,0)</f>
        <v>183873</v>
      </c>
      <c r="L697" s="6" t="e">
        <f>L696+J697-K697</f>
        <v>#VALUE!</v>
      </c>
      <c r="M697" s="6">
        <f ca="1">IFERROR(__xludf.DUMMYFUNCTION("SUM(FILTER(J:J, H:H=""Tiền mặt"")) - SUM(FILTER(K:K, H:H=""Tiền mặt""))
"),959000)</f>
        <v>959000</v>
      </c>
      <c r="N697" s="6">
        <f ca="1">IFERROR(__xludf.DUMMYFUNCTION("SUM(FILTER(J:J, H:H=""Chuyển khoản"")) - SUM(FILTER(K:K, H:H=""Chuyển khoản""))
"),4468984)</f>
        <v>4468984</v>
      </c>
      <c r="O697" s="5"/>
      <c r="P697" s="5"/>
      <c r="Q697" s="5"/>
      <c r="R697" s="5"/>
      <c r="S697" s="5"/>
    </row>
    <row r="698" spans="1:19" ht="15.75" customHeight="1" x14ac:dyDescent="0.2">
      <c r="A698" s="3">
        <v>46115</v>
      </c>
      <c r="B698" s="4" t="str">
        <f>IF(A698="","","PC-"&amp;TEXT(A698,"mm/yyyy")&amp;"-"&amp;TEXT(COUNTIFS($A$2:A698,"&gt;="&amp;EOMONTH(A698,-1)+1,$A$2:A698,"&lt;="&amp;EOMONTH(A698,0)),"000"))</f>
        <v>PC-04/2026-205</v>
      </c>
      <c r="C698" s="7" t="s">
        <v>877</v>
      </c>
      <c r="D698" s="5" t="s">
        <v>29</v>
      </c>
      <c r="E698" s="5" t="s">
        <v>71</v>
      </c>
      <c r="F698" s="5"/>
      <c r="G698" s="5" t="s">
        <v>878</v>
      </c>
      <c r="H698" s="5" t="s">
        <v>27</v>
      </c>
      <c r="I698" s="6">
        <v>43000</v>
      </c>
      <c r="J698" s="6">
        <f>IF(D698="Thu",I698,0)</f>
        <v>0</v>
      </c>
      <c r="K698" s="6">
        <f>IF(D698="Chi",I698,0)</f>
        <v>43000</v>
      </c>
      <c r="L698" s="6" t="e">
        <f>L697+J698-K698</f>
        <v>#VALUE!</v>
      </c>
      <c r="M698" s="6">
        <f ca="1">IFERROR(__xludf.DUMMYFUNCTION("SUM(FILTER(J:J, H:H=""Tiền mặt"")) - SUM(FILTER(K:K, H:H=""Tiền mặt""))
"),959000)</f>
        <v>959000</v>
      </c>
      <c r="N698" s="6">
        <f ca="1">IFERROR(__xludf.DUMMYFUNCTION("SUM(FILTER(J:J, H:H=""Chuyển khoản"")) - SUM(FILTER(K:K, H:H=""Chuyển khoản""))
"),4468984)</f>
        <v>4468984</v>
      </c>
      <c r="O698" s="5"/>
      <c r="P698" s="5"/>
      <c r="Q698" s="5"/>
      <c r="R698" s="5"/>
      <c r="S698" s="5"/>
    </row>
    <row r="699" spans="1:19" ht="15.75" customHeight="1" x14ac:dyDescent="0.2">
      <c r="A699" s="3">
        <v>46115</v>
      </c>
      <c r="B699" s="4" t="str">
        <f>IF(A699="","","PC-"&amp;TEXT(A699,"mm/yyyy")&amp;"-"&amp;TEXT(COUNTIFS($A$2:A699,"&gt;="&amp;EOMONTH(A699,-1)+1,$A$2:A699,"&lt;="&amp;EOMONTH(A699,0)),"000"))</f>
        <v>PC-04/2026-206</v>
      </c>
      <c r="C699" s="5" t="s">
        <v>849</v>
      </c>
      <c r="D699" s="5" t="s">
        <v>29</v>
      </c>
      <c r="E699" s="5" t="s">
        <v>71</v>
      </c>
      <c r="F699" s="5"/>
      <c r="G699" s="5" t="s">
        <v>571</v>
      </c>
      <c r="H699" s="5" t="s">
        <v>23</v>
      </c>
      <c r="I699" s="6">
        <v>89000</v>
      </c>
      <c r="J699" s="6">
        <f>IF(D699="Thu",I699,0)</f>
        <v>0</v>
      </c>
      <c r="K699" s="6">
        <f>IF(D699="Chi",I699,0)</f>
        <v>89000</v>
      </c>
      <c r="L699" s="6" t="e">
        <f>L698+J699-K699</f>
        <v>#VALUE!</v>
      </c>
      <c r="M699" s="6">
        <f ca="1">IFERROR(__xludf.DUMMYFUNCTION("SUM(FILTER(J:J, H:H=""Tiền mặt"")) - SUM(FILTER(K:K, H:H=""Tiền mặt""))
"),959000)</f>
        <v>959000</v>
      </c>
      <c r="N699" s="6">
        <f ca="1">IFERROR(__xludf.DUMMYFUNCTION("SUM(FILTER(J:J, H:H=""Chuyển khoản"")) - SUM(FILTER(K:K, H:H=""Chuyển khoản""))
"),4468984)</f>
        <v>4468984</v>
      </c>
      <c r="O699" s="5"/>
      <c r="P699" s="5"/>
      <c r="Q699" s="5"/>
      <c r="R699" s="5"/>
      <c r="S699" s="5"/>
    </row>
    <row r="700" spans="1:19" ht="15.75" customHeight="1" x14ac:dyDescent="0.2">
      <c r="A700" s="3">
        <v>46115</v>
      </c>
      <c r="B700" s="4" t="str">
        <f>IF(A700="","","PC-"&amp;TEXT(A700,"mm/yyyy")&amp;"-"&amp;TEXT(COUNTIFS($A$2:A700,"&gt;="&amp;EOMONTH(A700,-1)+1,$A$2:A700,"&lt;="&amp;EOMONTH(A700,0)),"000"))</f>
        <v>PC-04/2026-207</v>
      </c>
      <c r="C700" s="5" t="s">
        <v>879</v>
      </c>
      <c r="D700" s="5" t="s">
        <v>20</v>
      </c>
      <c r="E700" s="5" t="s">
        <v>21</v>
      </c>
      <c r="F700" s="5"/>
      <c r="G700" s="5" t="s">
        <v>22</v>
      </c>
      <c r="H700" s="5" t="s">
        <v>23</v>
      </c>
      <c r="I700" s="6">
        <v>100000</v>
      </c>
      <c r="J700" s="6">
        <f>IF(D700="Thu",I700,0)</f>
        <v>100000</v>
      </c>
      <c r="K700" s="6">
        <f>IF(D700="Chi",I700,0)</f>
        <v>0</v>
      </c>
      <c r="L700" s="6" t="e">
        <f>L699+J700-K700</f>
        <v>#VALUE!</v>
      </c>
      <c r="M700" s="6">
        <f ca="1">IFERROR(__xludf.DUMMYFUNCTION("SUM(FILTER(J:J, H:H=""Tiền mặt"")) - SUM(FILTER(K:K, H:H=""Tiền mặt""))
"),959000)</f>
        <v>959000</v>
      </c>
      <c r="N700" s="6">
        <f ca="1">IFERROR(__xludf.DUMMYFUNCTION("SUM(FILTER(J:J, H:H=""Chuyển khoản"")) - SUM(FILTER(K:K, H:H=""Chuyển khoản""))
"),4468984)</f>
        <v>4468984</v>
      </c>
      <c r="O700" s="5"/>
      <c r="P700" s="5"/>
      <c r="Q700" s="5"/>
      <c r="R700" s="5"/>
      <c r="S700" s="5"/>
    </row>
    <row r="701" spans="1:19" ht="15.75" customHeight="1" x14ac:dyDescent="0.2">
      <c r="A701" s="3">
        <v>46115</v>
      </c>
      <c r="B701" s="4" t="str">
        <f>IF(A701="","","PC-"&amp;TEXT(A701,"mm/yyyy")&amp;"-"&amp;TEXT(COUNTIFS($A$2:A701,"&gt;="&amp;EOMONTH(A701,-1)+1,$A$2:A701,"&lt;="&amp;EOMONTH(A701,0)),"000"))</f>
        <v>PC-04/2026-208</v>
      </c>
      <c r="C701" s="5" t="s">
        <v>880</v>
      </c>
      <c r="D701" s="5" t="s">
        <v>29</v>
      </c>
      <c r="E701" s="5" t="s">
        <v>88</v>
      </c>
      <c r="F701" s="5"/>
      <c r="G701" s="5" t="s">
        <v>89</v>
      </c>
      <c r="H701" s="5" t="s">
        <v>23</v>
      </c>
      <c r="I701" s="6">
        <v>105000</v>
      </c>
      <c r="J701" s="6">
        <f>IF(D701="Thu",I701,0)</f>
        <v>0</v>
      </c>
      <c r="K701" s="6">
        <f>IF(D701="Chi",I701,0)</f>
        <v>105000</v>
      </c>
      <c r="L701" s="6" t="e">
        <f>L700+J701-K701</f>
        <v>#VALUE!</v>
      </c>
      <c r="M701" s="6">
        <f ca="1">IFERROR(__xludf.DUMMYFUNCTION("SUM(FILTER(J:J, H:H=""Tiền mặt"")) - SUM(FILTER(K:K, H:H=""Tiền mặt""))
"),959000)</f>
        <v>959000</v>
      </c>
      <c r="N701" s="6">
        <f ca="1">IFERROR(__xludf.DUMMYFUNCTION("SUM(FILTER(J:J, H:H=""Chuyển khoản"")) - SUM(FILTER(K:K, H:H=""Chuyển khoản""))
"),4468984)</f>
        <v>4468984</v>
      </c>
      <c r="O701" s="5"/>
      <c r="P701" s="5"/>
      <c r="Q701" s="5"/>
      <c r="R701" s="5"/>
      <c r="S701" s="5"/>
    </row>
    <row r="702" spans="1:19" ht="15.75" customHeight="1" x14ac:dyDescent="0.2">
      <c r="A702" s="3">
        <v>46115</v>
      </c>
      <c r="B702" s="4" t="str">
        <f>IF(A702="","","PC-"&amp;TEXT(A702,"mm/yyyy")&amp;"-"&amp;TEXT(COUNTIFS($A$2:A702,"&gt;="&amp;EOMONTH(A702,-1)+1,$A$2:A702,"&lt;="&amp;EOMONTH(A702,0)),"000"))</f>
        <v>PC-04/2026-209</v>
      </c>
      <c r="C702" s="7" t="s">
        <v>881</v>
      </c>
      <c r="D702" s="5" t="s">
        <v>29</v>
      </c>
      <c r="E702" s="5" t="s">
        <v>88</v>
      </c>
      <c r="F702" s="5"/>
      <c r="G702" s="5" t="s">
        <v>89</v>
      </c>
      <c r="H702" s="5" t="s">
        <v>23</v>
      </c>
      <c r="I702" s="6">
        <v>86000</v>
      </c>
      <c r="J702" s="6">
        <f>IF(D702="Thu",I702,0)</f>
        <v>0</v>
      </c>
      <c r="K702" s="6">
        <f>IF(D702="Chi",I702,0)</f>
        <v>86000</v>
      </c>
      <c r="L702" s="6" t="e">
        <f>L701+J702-K702</f>
        <v>#VALUE!</v>
      </c>
      <c r="M702" s="6">
        <f ca="1">IFERROR(__xludf.DUMMYFUNCTION("SUM(FILTER(J:J, H:H=""Tiền mặt"")) - SUM(FILTER(K:K, H:H=""Tiền mặt""))
"),959000)</f>
        <v>959000</v>
      </c>
      <c r="N702" s="6">
        <f ca="1">IFERROR(__xludf.DUMMYFUNCTION("SUM(FILTER(J:J, H:H=""Chuyển khoản"")) - SUM(FILTER(K:K, H:H=""Chuyển khoản""))
"),4468984)</f>
        <v>4468984</v>
      </c>
      <c r="O702" s="5"/>
      <c r="P702" s="5"/>
      <c r="Q702" s="5"/>
      <c r="R702" s="5"/>
      <c r="S702" s="5"/>
    </row>
    <row r="703" spans="1:19" ht="15.75" customHeight="1" x14ac:dyDescent="0.2">
      <c r="A703" s="3">
        <v>46115</v>
      </c>
      <c r="B703" s="4" t="str">
        <f>IF(A703="","","PC-"&amp;TEXT(A703,"mm/yyyy")&amp;"-"&amp;TEXT(COUNTIFS($A$2:A703,"&gt;="&amp;EOMONTH(A703,-1)+1,$A$2:A703,"&lt;="&amp;EOMONTH(A703,0)),"000"))</f>
        <v>PC-04/2026-210</v>
      </c>
      <c r="C703" s="5" t="s">
        <v>882</v>
      </c>
      <c r="D703" s="5" t="s">
        <v>29</v>
      </c>
      <c r="E703" s="5" t="s">
        <v>88</v>
      </c>
      <c r="F703" s="5"/>
      <c r="G703" s="5" t="s">
        <v>89</v>
      </c>
      <c r="H703" s="5" t="s">
        <v>23</v>
      </c>
      <c r="I703" s="6">
        <v>3468000</v>
      </c>
      <c r="J703" s="6">
        <f>IF(D703="Thu",I703,0)</f>
        <v>0</v>
      </c>
      <c r="K703" s="6">
        <f>IF(D703="Chi",I703,0)</f>
        <v>3468000</v>
      </c>
      <c r="L703" s="6" t="e">
        <f>L702+J703-K703</f>
        <v>#VALUE!</v>
      </c>
      <c r="M703" s="6">
        <f ca="1">IFERROR(__xludf.DUMMYFUNCTION("SUM(FILTER(J:J, H:H=""Tiền mặt"")) - SUM(FILTER(K:K, H:H=""Tiền mặt""))
"),959000)</f>
        <v>959000</v>
      </c>
      <c r="N703" s="6">
        <f ca="1">IFERROR(__xludf.DUMMYFUNCTION("SUM(FILTER(J:J, H:H=""Chuyển khoản"")) - SUM(FILTER(K:K, H:H=""Chuyển khoản""))
"),4468984)</f>
        <v>4468984</v>
      </c>
      <c r="O703" s="5"/>
      <c r="P703" s="5"/>
      <c r="Q703" s="5"/>
      <c r="R703" s="5"/>
      <c r="S703" s="5"/>
    </row>
    <row r="704" spans="1:19" ht="15.75" customHeight="1" x14ac:dyDescent="0.2">
      <c r="A704" s="3">
        <v>46115</v>
      </c>
      <c r="B704" s="4" t="str">
        <f>IF(A704="","","PC-"&amp;TEXT(A704,"mm/yyyy")&amp;"-"&amp;TEXT(COUNTIFS($A$2:A704,"&gt;="&amp;EOMONTH(A704,-1)+1,$A$2:A704,"&lt;="&amp;EOMONTH(A704,0)),"000"))</f>
        <v>PC-04/2026-211</v>
      </c>
      <c r="C704" s="5" t="s">
        <v>883</v>
      </c>
      <c r="D704" s="5" t="s">
        <v>29</v>
      </c>
      <c r="E704" s="5" t="s">
        <v>30</v>
      </c>
      <c r="F704" s="5"/>
      <c r="G704" s="5" t="s">
        <v>884</v>
      </c>
      <c r="H704" s="5" t="s">
        <v>27</v>
      </c>
      <c r="I704" s="6">
        <v>440000</v>
      </c>
      <c r="J704" s="6">
        <f>IF(D704="Thu",I704,0)</f>
        <v>0</v>
      </c>
      <c r="K704" s="6">
        <f>IF(D704="Chi",I704,0)</f>
        <v>440000</v>
      </c>
      <c r="L704" s="6" t="e">
        <f>L703+J704-K704</f>
        <v>#VALUE!</v>
      </c>
      <c r="M704" s="6">
        <f ca="1">IFERROR(__xludf.DUMMYFUNCTION("SUM(FILTER(J:J, H:H=""Tiền mặt"")) - SUM(FILTER(K:K, H:H=""Tiền mặt""))
"),959000)</f>
        <v>959000</v>
      </c>
      <c r="N704" s="6">
        <f ca="1">IFERROR(__xludf.DUMMYFUNCTION("SUM(FILTER(J:J, H:H=""Chuyển khoản"")) - SUM(FILTER(K:K, H:H=""Chuyển khoản""))
"),4468984)</f>
        <v>4468984</v>
      </c>
      <c r="O704" s="5"/>
      <c r="P704" s="5"/>
      <c r="Q704" s="5"/>
      <c r="R704" s="5"/>
      <c r="S704" s="5"/>
    </row>
    <row r="705" spans="1:19" ht="15.75" customHeight="1" x14ac:dyDescent="0.2">
      <c r="A705" s="3">
        <v>46114</v>
      </c>
      <c r="B705" s="4" t="str">
        <f>IF(A705="","","PC-"&amp;TEXT(A705,"mm/yyyy")&amp;"-"&amp;TEXT(COUNTIFS($A$2:A705,"&gt;="&amp;EOMONTH(A705,-1)+1,$A$2:A705,"&lt;="&amp;EOMONTH(A705,0)),"000"))</f>
        <v>PC-04/2026-212</v>
      </c>
      <c r="C705" s="5" t="s">
        <v>855</v>
      </c>
      <c r="D705" s="5" t="s">
        <v>29</v>
      </c>
      <c r="E705" s="5" t="s">
        <v>61</v>
      </c>
      <c r="F705" s="5"/>
      <c r="G705" s="5" t="s">
        <v>52</v>
      </c>
      <c r="H705" s="5" t="s">
        <v>27</v>
      </c>
      <c r="I705" s="6">
        <v>200000</v>
      </c>
      <c r="J705" s="6">
        <f>IF(D705="Thu",I705,0)</f>
        <v>0</v>
      </c>
      <c r="K705" s="6">
        <f>IF(D705="Chi",I705,0)</f>
        <v>200000</v>
      </c>
      <c r="L705" s="6" t="e">
        <f>L704+J705-K705</f>
        <v>#VALUE!</v>
      </c>
      <c r="M705" s="6">
        <f ca="1">IFERROR(__xludf.DUMMYFUNCTION("SUM(FILTER(J:J, H:H=""Tiền mặt"")) - SUM(FILTER(K:K, H:H=""Tiền mặt""))
"),959000)</f>
        <v>959000</v>
      </c>
      <c r="N705" s="6">
        <f ca="1">IFERROR(__xludf.DUMMYFUNCTION("SUM(FILTER(J:J, H:H=""Chuyển khoản"")) - SUM(FILTER(K:K, H:H=""Chuyển khoản""))
"),4468984)</f>
        <v>4468984</v>
      </c>
      <c r="O705" s="5"/>
      <c r="P705" s="5"/>
      <c r="Q705" s="5"/>
      <c r="R705" s="5"/>
      <c r="S705" s="5"/>
    </row>
    <row r="706" spans="1:19" ht="15.75" customHeight="1" x14ac:dyDescent="0.2">
      <c r="A706" s="3">
        <v>46114</v>
      </c>
      <c r="B706" s="4" t="str">
        <f>IF(A706="","","PC-"&amp;TEXT(A706,"mm/yyyy")&amp;"-"&amp;TEXT(COUNTIFS($A$2:A706,"&gt;="&amp;EOMONTH(A706,-1)+1,$A$2:A706,"&lt;="&amp;EOMONTH(A706,0)),"000"))</f>
        <v>PC-04/2026-213</v>
      </c>
      <c r="C706" s="5" t="s">
        <v>856</v>
      </c>
      <c r="D706" s="5" t="s">
        <v>29</v>
      </c>
      <c r="E706" s="5" t="s">
        <v>44</v>
      </c>
      <c r="F706" s="5"/>
      <c r="G706" s="5" t="s">
        <v>97</v>
      </c>
      <c r="H706" s="5" t="s">
        <v>23</v>
      </c>
      <c r="I706" s="6">
        <v>1500000</v>
      </c>
      <c r="J706" s="6">
        <f>IF(D706="Thu",I706,0)</f>
        <v>0</v>
      </c>
      <c r="K706" s="6">
        <f>IF(D706="Chi",I706,0)</f>
        <v>1500000</v>
      </c>
      <c r="L706" s="6" t="e">
        <f>L705+J706-K706</f>
        <v>#VALUE!</v>
      </c>
      <c r="M706" s="6">
        <f ca="1">IFERROR(__xludf.DUMMYFUNCTION("SUM(FILTER(J:J, H:H=""Tiền mặt"")) - SUM(FILTER(K:K, H:H=""Tiền mặt""))
"),959000)</f>
        <v>959000</v>
      </c>
      <c r="N706" s="6">
        <f ca="1">IFERROR(__xludf.DUMMYFUNCTION("SUM(FILTER(J:J, H:H=""Chuyển khoản"")) - SUM(FILTER(K:K, H:H=""Chuyển khoản""))
"),4468984)</f>
        <v>4468984</v>
      </c>
      <c r="O706" s="5"/>
      <c r="P706" s="5"/>
      <c r="Q706" s="5"/>
      <c r="R706" s="5"/>
      <c r="S706" s="5"/>
    </row>
    <row r="707" spans="1:19" ht="15.75" customHeight="1" x14ac:dyDescent="0.2">
      <c r="A707" s="3">
        <v>46114</v>
      </c>
      <c r="B707" s="4" t="str">
        <f>IF(A707="","","PC-"&amp;TEXT(A707,"mm/yyyy")&amp;"-"&amp;TEXT(COUNTIFS($A$2:A707,"&gt;="&amp;EOMONTH(A707,-1)+1,$A$2:A707,"&lt;="&amp;EOMONTH(A707,0)),"000"))</f>
        <v>PC-04/2026-214</v>
      </c>
      <c r="C707" s="5" t="s">
        <v>857</v>
      </c>
      <c r="D707" s="5" t="s">
        <v>29</v>
      </c>
      <c r="E707" s="5" t="s">
        <v>47</v>
      </c>
      <c r="F707" s="5"/>
      <c r="G707" s="5" t="s">
        <v>48</v>
      </c>
      <c r="H707" s="5" t="s">
        <v>23</v>
      </c>
      <c r="I707" s="6">
        <v>50000</v>
      </c>
      <c r="J707" s="6">
        <f>IF(D707="Thu",I707,0)</f>
        <v>0</v>
      </c>
      <c r="K707" s="6">
        <f>IF(D707="Chi",I707,0)</f>
        <v>50000</v>
      </c>
      <c r="L707" s="6" t="e">
        <f>L706+J707-K707</f>
        <v>#VALUE!</v>
      </c>
      <c r="M707" s="6">
        <f ca="1">IFERROR(__xludf.DUMMYFUNCTION("SUM(FILTER(J:J, H:H=""Tiền mặt"")) - SUM(FILTER(K:K, H:H=""Tiền mặt""))
"),959000)</f>
        <v>959000</v>
      </c>
      <c r="N707" s="6">
        <f ca="1">IFERROR(__xludf.DUMMYFUNCTION("SUM(FILTER(J:J, H:H=""Chuyển khoản"")) - SUM(FILTER(K:K, H:H=""Chuyển khoản""))
"),4468984)</f>
        <v>4468984</v>
      </c>
      <c r="O707" s="5"/>
      <c r="P707" s="5"/>
      <c r="Q707" s="5"/>
      <c r="R707" s="5"/>
      <c r="S707" s="5"/>
    </row>
    <row r="708" spans="1:19" ht="15.75" customHeight="1" x14ac:dyDescent="0.2">
      <c r="A708" s="3">
        <v>46114</v>
      </c>
      <c r="B708" s="4" t="str">
        <f>IF(A708="","","PC-"&amp;TEXT(A708,"mm/yyyy")&amp;"-"&amp;TEXT(COUNTIFS($A$2:A708,"&gt;="&amp;EOMONTH(A708,-1)+1,$A$2:A708,"&lt;="&amp;EOMONTH(A708,0)),"000"))</f>
        <v>PC-04/2026-215</v>
      </c>
      <c r="C708" s="5" t="s">
        <v>858</v>
      </c>
      <c r="D708" s="5" t="s">
        <v>29</v>
      </c>
      <c r="E708" s="5" t="s">
        <v>674</v>
      </c>
      <c r="F708" s="5"/>
      <c r="G708" s="5" t="s">
        <v>675</v>
      </c>
      <c r="H708" s="5" t="s">
        <v>27</v>
      </c>
      <c r="I708" s="6">
        <v>310000</v>
      </c>
      <c r="J708" s="6">
        <f>IF(D708="Thu",I708,0)</f>
        <v>0</v>
      </c>
      <c r="K708" s="6">
        <f>IF(D708="Chi",I708,0)</f>
        <v>310000</v>
      </c>
      <c r="L708" s="6" t="e">
        <f>L707+J708-K708</f>
        <v>#VALUE!</v>
      </c>
      <c r="M708" s="6">
        <f ca="1">IFERROR(__xludf.DUMMYFUNCTION("SUM(FILTER(J:J, H:H=""Tiền mặt"")) - SUM(FILTER(K:K, H:H=""Tiền mặt""))
"),959000)</f>
        <v>959000</v>
      </c>
      <c r="N708" s="6">
        <f ca="1">IFERROR(__xludf.DUMMYFUNCTION("SUM(FILTER(J:J, H:H=""Chuyển khoản"")) - SUM(FILTER(K:K, H:H=""Chuyển khoản""))
"),4468984)</f>
        <v>4468984</v>
      </c>
      <c r="O708" s="5"/>
      <c r="P708" s="5"/>
      <c r="Q708" s="5"/>
      <c r="R708" s="5"/>
      <c r="S708" s="5"/>
    </row>
    <row r="709" spans="1:19" ht="15.75" customHeight="1" x14ac:dyDescent="0.2">
      <c r="A709" s="3">
        <v>46114</v>
      </c>
      <c r="B709" s="4" t="str">
        <f>IF(A709="","","PC-"&amp;TEXT(A709,"mm/yyyy")&amp;"-"&amp;TEXT(COUNTIFS($A$2:A709,"&gt;="&amp;EOMONTH(A709,-1)+1,$A$2:A709,"&lt;="&amp;EOMONTH(A709,0)),"000"))</f>
        <v>PC-04/2026-216</v>
      </c>
      <c r="C709" s="5" t="s">
        <v>859</v>
      </c>
      <c r="D709" s="5" t="s">
        <v>29</v>
      </c>
      <c r="E709" s="5" t="s">
        <v>71</v>
      </c>
      <c r="F709" s="5"/>
      <c r="G709" s="5" t="s">
        <v>316</v>
      </c>
      <c r="H709" s="5" t="s">
        <v>27</v>
      </c>
      <c r="I709" s="6">
        <v>60000</v>
      </c>
      <c r="J709" s="6">
        <f>IF(D709="Thu",I709,0)</f>
        <v>0</v>
      </c>
      <c r="K709" s="6">
        <f>IF(D709="Chi",I709,0)</f>
        <v>60000</v>
      </c>
      <c r="L709" s="6" t="e">
        <f>L708+J709-K709</f>
        <v>#VALUE!</v>
      </c>
      <c r="M709" s="6">
        <f ca="1">IFERROR(__xludf.DUMMYFUNCTION("SUM(FILTER(J:J, H:H=""Tiền mặt"")) - SUM(FILTER(K:K, H:H=""Tiền mặt""))
"),959000)</f>
        <v>959000</v>
      </c>
      <c r="N709" s="6">
        <f ca="1">IFERROR(__xludf.DUMMYFUNCTION("SUM(FILTER(J:J, H:H=""Chuyển khoản"")) - SUM(FILTER(K:K, H:H=""Chuyển khoản""))
"),4468984)</f>
        <v>4468984</v>
      </c>
      <c r="O709" s="5"/>
      <c r="P709" s="5"/>
      <c r="Q709" s="5"/>
      <c r="R709" s="5"/>
      <c r="S709" s="5"/>
    </row>
    <row r="710" spans="1:19" ht="15.75" customHeight="1" x14ac:dyDescent="0.2">
      <c r="A710" s="3">
        <v>46114</v>
      </c>
      <c r="B710" s="4" t="str">
        <f>IF(A710="","","PC-"&amp;TEXT(A710,"mm/yyyy")&amp;"-"&amp;TEXT(COUNTIFS($A$2:A710,"&gt;="&amp;EOMONTH(A710,-1)+1,$A$2:A710,"&lt;="&amp;EOMONTH(A710,0)),"000"))</f>
        <v>PC-04/2026-217</v>
      </c>
      <c r="C710" s="5" t="s">
        <v>849</v>
      </c>
      <c r="D710" s="5" t="s">
        <v>29</v>
      </c>
      <c r="E710" s="5" t="s">
        <v>71</v>
      </c>
      <c r="F710" s="5"/>
      <c r="G710" s="5" t="s">
        <v>571</v>
      </c>
      <c r="H710" s="5" t="s">
        <v>27</v>
      </c>
      <c r="I710" s="6">
        <v>98000</v>
      </c>
      <c r="J710" s="6">
        <f>IF(D710="Thu",I710,0)</f>
        <v>0</v>
      </c>
      <c r="K710" s="6">
        <f>IF(D710="Chi",I710,0)</f>
        <v>98000</v>
      </c>
      <c r="L710" s="6" t="e">
        <f>L709+J710-K710</f>
        <v>#VALUE!</v>
      </c>
      <c r="M710" s="6">
        <f ca="1">IFERROR(__xludf.DUMMYFUNCTION("SUM(FILTER(J:J, H:H=""Tiền mặt"")) - SUM(FILTER(K:K, H:H=""Tiền mặt""))
"),959000)</f>
        <v>959000</v>
      </c>
      <c r="N710" s="6">
        <f ca="1">IFERROR(__xludf.DUMMYFUNCTION("SUM(FILTER(J:J, H:H=""Chuyển khoản"")) - SUM(FILTER(K:K, H:H=""Chuyển khoản""))
"),4468984)</f>
        <v>4468984</v>
      </c>
      <c r="O710" s="5"/>
      <c r="P710" s="5"/>
      <c r="Q710" s="5"/>
      <c r="R710" s="5"/>
      <c r="S710" s="5"/>
    </row>
    <row r="711" spans="1:19" ht="15.75" customHeight="1" x14ac:dyDescent="0.2">
      <c r="A711" s="3">
        <v>46114</v>
      </c>
      <c r="B711" s="4" t="str">
        <f>IF(A711="","","PC-"&amp;TEXT(A711,"mm/yyyy")&amp;"-"&amp;TEXT(COUNTIFS($A$2:A711,"&gt;="&amp;EOMONTH(A711,-1)+1,$A$2:A711,"&lt;="&amp;EOMONTH(A711,0)),"000"))</f>
        <v>PC-04/2026-218</v>
      </c>
      <c r="C711" s="5" t="s">
        <v>860</v>
      </c>
      <c r="D711" s="5" t="s">
        <v>20</v>
      </c>
      <c r="E711" s="5" t="s">
        <v>21</v>
      </c>
      <c r="F711" s="5"/>
      <c r="G711" s="5" t="s">
        <v>22</v>
      </c>
      <c r="H711" s="5" t="s">
        <v>27</v>
      </c>
      <c r="I711" s="6">
        <v>15000000</v>
      </c>
      <c r="J711" s="6">
        <f>IF(D711="Thu",I711,0)</f>
        <v>15000000</v>
      </c>
      <c r="K711" s="6">
        <f>IF(D711="Chi",I711,0)</f>
        <v>0</v>
      </c>
      <c r="L711" s="6" t="e">
        <f>L710+J711-K711</f>
        <v>#VALUE!</v>
      </c>
      <c r="M711" s="6">
        <f ca="1">IFERROR(__xludf.DUMMYFUNCTION("SUM(FILTER(J:J, H:H=""Tiền mặt"")) - SUM(FILTER(K:K, H:H=""Tiền mặt""))
"),959000)</f>
        <v>959000</v>
      </c>
      <c r="N711" s="6">
        <f ca="1">IFERROR(__xludf.DUMMYFUNCTION("SUM(FILTER(J:J, H:H=""Chuyển khoản"")) - SUM(FILTER(K:K, H:H=""Chuyển khoản""))
"),4468984)</f>
        <v>4468984</v>
      </c>
      <c r="O711" s="5"/>
      <c r="P711" s="5"/>
      <c r="Q711" s="5"/>
      <c r="R711" s="5"/>
      <c r="S711" s="5"/>
    </row>
    <row r="712" spans="1:19" ht="15.75" customHeight="1" x14ac:dyDescent="0.2">
      <c r="A712" s="3">
        <v>46114</v>
      </c>
      <c r="B712" s="4" t="str">
        <f>IF(A712="","","PC-"&amp;TEXT(A712,"mm/yyyy")&amp;"-"&amp;TEXT(COUNTIFS($A$2:A712,"&gt;="&amp;EOMONTH(A712,-1)+1,$A$2:A712,"&lt;="&amp;EOMONTH(A712,0)),"000"))</f>
        <v>PC-04/2026-219</v>
      </c>
      <c r="C712" s="5" t="s">
        <v>861</v>
      </c>
      <c r="D712" s="5" t="s">
        <v>29</v>
      </c>
      <c r="E712" s="5" t="s">
        <v>71</v>
      </c>
      <c r="F712" s="5"/>
      <c r="G712" s="5" t="s">
        <v>862</v>
      </c>
      <c r="H712" s="5" t="s">
        <v>27</v>
      </c>
      <c r="I712" s="6">
        <v>39000</v>
      </c>
      <c r="J712" s="6">
        <f>IF(D712="Thu",I712,0)</f>
        <v>0</v>
      </c>
      <c r="K712" s="6">
        <f>IF(D712="Chi",I712,0)</f>
        <v>39000</v>
      </c>
      <c r="L712" s="6" t="e">
        <f>L711+J712-K712</f>
        <v>#VALUE!</v>
      </c>
      <c r="M712" s="6">
        <f ca="1">IFERROR(__xludf.DUMMYFUNCTION("SUM(FILTER(J:J, H:H=""Tiền mặt"")) - SUM(FILTER(K:K, H:H=""Tiền mặt""))
"),959000)</f>
        <v>959000</v>
      </c>
      <c r="N712" s="6">
        <f ca="1">IFERROR(__xludf.DUMMYFUNCTION("SUM(FILTER(J:J, H:H=""Chuyển khoản"")) - SUM(FILTER(K:K, H:H=""Chuyển khoản""))
"),4468984)</f>
        <v>4468984</v>
      </c>
      <c r="O712" s="5"/>
      <c r="P712" s="5"/>
      <c r="Q712" s="5"/>
      <c r="R712" s="5"/>
      <c r="S712" s="5"/>
    </row>
    <row r="713" spans="1:19" ht="15.75" customHeight="1" x14ac:dyDescent="0.2">
      <c r="A713" s="3">
        <v>46114</v>
      </c>
      <c r="B713" s="4" t="str">
        <f>IF(A713="","","PC-"&amp;TEXT(A713,"mm/yyyy")&amp;"-"&amp;TEXT(COUNTIFS($A$2:A713,"&gt;="&amp;EOMONTH(A713,-1)+1,$A$2:A713,"&lt;="&amp;EOMONTH(A713,0)),"000"))</f>
        <v>PC-04/2026-220</v>
      </c>
      <c r="C713" s="5" t="s">
        <v>863</v>
      </c>
      <c r="D713" s="5" t="s">
        <v>29</v>
      </c>
      <c r="E713" s="5" t="s">
        <v>36</v>
      </c>
      <c r="F713" s="5"/>
      <c r="G713" s="5" t="s">
        <v>37</v>
      </c>
      <c r="H713" s="5" t="s">
        <v>23</v>
      </c>
      <c r="I713" s="6">
        <v>90000</v>
      </c>
      <c r="J713" s="6">
        <f>IF(D713="Thu",I713,0)</f>
        <v>0</v>
      </c>
      <c r="K713" s="6">
        <f>IF(D713="Chi",I713,0)</f>
        <v>90000</v>
      </c>
      <c r="L713" s="6" t="e">
        <f>L712+J713-K713</f>
        <v>#VALUE!</v>
      </c>
      <c r="M713" s="6">
        <f ca="1">IFERROR(__xludf.DUMMYFUNCTION("SUM(FILTER(J:J, H:H=""Tiền mặt"")) - SUM(FILTER(K:K, H:H=""Tiền mặt""))
"),959000)</f>
        <v>959000</v>
      </c>
      <c r="N713" s="6">
        <f ca="1">IFERROR(__xludf.DUMMYFUNCTION("SUM(FILTER(J:J, H:H=""Chuyển khoản"")) - SUM(FILTER(K:K, H:H=""Chuyển khoản""))
"),4468984)</f>
        <v>4468984</v>
      </c>
      <c r="O713" s="5"/>
      <c r="P713" s="5"/>
      <c r="Q713" s="5"/>
      <c r="R713" s="5"/>
      <c r="S713" s="5"/>
    </row>
    <row r="714" spans="1:19" ht="15.75" customHeight="1" x14ac:dyDescent="0.2">
      <c r="A714" s="3">
        <v>46114</v>
      </c>
      <c r="B714" s="4" t="str">
        <f>IF(A714="","","PC-"&amp;TEXT(A714,"mm/yyyy")&amp;"-"&amp;TEXT(COUNTIFS($A$2:A714,"&gt;="&amp;EOMONTH(A714,-1)+1,$A$2:A714,"&lt;="&amp;EOMONTH(A714,0)),"000"))</f>
        <v>PC-04/2026-221</v>
      </c>
      <c r="C714" s="5" t="s">
        <v>864</v>
      </c>
      <c r="D714" s="5" t="s">
        <v>29</v>
      </c>
      <c r="E714" s="5" t="s">
        <v>51</v>
      </c>
      <c r="F714" s="5"/>
      <c r="G714" s="5" t="s">
        <v>52</v>
      </c>
      <c r="H714" s="5" t="s">
        <v>27</v>
      </c>
      <c r="I714" s="6">
        <v>145200</v>
      </c>
      <c r="J714" s="6">
        <f>IF(D714="Thu",I714,0)</f>
        <v>0</v>
      </c>
      <c r="K714" s="6">
        <f>IF(D714="Chi",I714,0)</f>
        <v>145200</v>
      </c>
      <c r="L714" s="6" t="e">
        <f>L713+J714-K714</f>
        <v>#VALUE!</v>
      </c>
      <c r="M714" s="6">
        <f ca="1">IFERROR(__xludf.DUMMYFUNCTION("SUM(FILTER(J:J, H:H=""Tiền mặt"")) - SUM(FILTER(K:K, H:H=""Tiền mặt""))
"),959000)</f>
        <v>959000</v>
      </c>
      <c r="N714" s="6">
        <f ca="1">IFERROR(__xludf.DUMMYFUNCTION("SUM(FILTER(J:J, H:H=""Chuyển khoản"")) - SUM(FILTER(K:K, H:H=""Chuyển khoản""))
"),4468984)</f>
        <v>4468984</v>
      </c>
      <c r="O714" s="5"/>
      <c r="P714" s="5"/>
      <c r="Q714" s="5"/>
      <c r="R714" s="5"/>
      <c r="S714" s="5"/>
    </row>
    <row r="715" spans="1:19" ht="15.75" customHeight="1" x14ac:dyDescent="0.2">
      <c r="A715" s="3">
        <v>46114</v>
      </c>
      <c r="B715" s="4" t="str">
        <f>IF(A715="","","PC-"&amp;TEXT(A715,"mm/yyyy")&amp;"-"&amp;TEXT(COUNTIFS($A$2:A715,"&gt;="&amp;EOMONTH(A715,-1)+1,$A$2:A715,"&lt;="&amp;EOMONTH(A715,0)),"000"))</f>
        <v>PC-04/2026-222</v>
      </c>
      <c r="C715" s="5" t="s">
        <v>865</v>
      </c>
      <c r="D715" s="5" t="s">
        <v>29</v>
      </c>
      <c r="E715" s="5" t="s">
        <v>51</v>
      </c>
      <c r="F715" s="5"/>
      <c r="G715" s="5" t="s">
        <v>52</v>
      </c>
      <c r="H715" s="5" t="s">
        <v>27</v>
      </c>
      <c r="I715" s="6">
        <v>392286</v>
      </c>
      <c r="J715" s="6">
        <f>IF(D715="Thu",I715,0)</f>
        <v>0</v>
      </c>
      <c r="K715" s="6">
        <f>IF(D715="Chi",I715,0)</f>
        <v>392286</v>
      </c>
      <c r="L715" s="6" t="e">
        <f>L714+J715-K715</f>
        <v>#VALUE!</v>
      </c>
      <c r="M715" s="6">
        <f ca="1">IFERROR(__xludf.DUMMYFUNCTION("SUM(FILTER(J:J, H:H=""Tiền mặt"")) - SUM(FILTER(K:K, H:H=""Tiền mặt""))
"),959000)</f>
        <v>959000</v>
      </c>
      <c r="N715" s="6">
        <f ca="1">IFERROR(__xludf.DUMMYFUNCTION("SUM(FILTER(J:J, H:H=""Chuyển khoản"")) - SUM(FILTER(K:K, H:H=""Chuyển khoản""))
"),4468984)</f>
        <v>4468984</v>
      </c>
      <c r="O715" s="5"/>
      <c r="P715" s="5"/>
      <c r="Q715" s="5"/>
      <c r="R715" s="5"/>
      <c r="S715" s="5"/>
    </row>
    <row r="716" spans="1:19" ht="15.75" customHeight="1" x14ac:dyDescent="0.2">
      <c r="A716" s="3">
        <v>46114</v>
      </c>
      <c r="B716" s="4" t="str">
        <f>IF(A716="","","PC-"&amp;TEXT(A716,"mm/yyyy")&amp;"-"&amp;TEXT(COUNTIFS($A$2:A716,"&gt;="&amp;EOMONTH(A716,-1)+1,$A$2:A716,"&lt;="&amp;EOMONTH(A716,0)),"000"))</f>
        <v>PC-04/2026-223</v>
      </c>
      <c r="C716" s="5" t="s">
        <v>866</v>
      </c>
      <c r="D716" s="5" t="s">
        <v>29</v>
      </c>
      <c r="E716" s="5" t="s">
        <v>51</v>
      </c>
      <c r="F716" s="5"/>
      <c r="G716" s="5" t="s">
        <v>52</v>
      </c>
      <c r="H716" s="5" t="s">
        <v>27</v>
      </c>
      <c r="I716" s="6">
        <v>138502</v>
      </c>
      <c r="J716" s="6">
        <f>IF(D716="Thu",I716,0)</f>
        <v>0</v>
      </c>
      <c r="K716" s="6">
        <f>IF(D716="Chi",I716,0)</f>
        <v>138502</v>
      </c>
      <c r="L716" s="6" t="e">
        <f>L715+J716-K716</f>
        <v>#VALUE!</v>
      </c>
      <c r="M716" s="6">
        <f ca="1">IFERROR(__xludf.DUMMYFUNCTION("SUM(FILTER(J:J, H:H=""Tiền mặt"")) - SUM(FILTER(K:K, H:H=""Tiền mặt""))
"),959000)</f>
        <v>959000</v>
      </c>
      <c r="N716" s="6">
        <f ca="1">IFERROR(__xludf.DUMMYFUNCTION("SUM(FILTER(J:J, H:H=""Chuyển khoản"")) - SUM(FILTER(K:K, H:H=""Chuyển khoản""))
"),4468984)</f>
        <v>4468984</v>
      </c>
      <c r="O716" s="5"/>
      <c r="P716" s="5"/>
      <c r="Q716" s="5"/>
      <c r="R716" s="5"/>
      <c r="S716" s="5"/>
    </row>
    <row r="717" spans="1:19" ht="15.75" customHeight="1" x14ac:dyDescent="0.2">
      <c r="A717" s="3">
        <v>46114</v>
      </c>
      <c r="B717" s="4" t="str">
        <f>IF(A717="","","PC-"&amp;TEXT(A717,"mm/yyyy")&amp;"-"&amp;TEXT(COUNTIFS($A$2:A717,"&gt;="&amp;EOMONTH(A717,-1)+1,$A$2:A717,"&lt;="&amp;EOMONTH(A717,0)),"000"))</f>
        <v>PC-04/2026-224</v>
      </c>
      <c r="C717" s="5" t="s">
        <v>867</v>
      </c>
      <c r="D717" s="5" t="s">
        <v>29</v>
      </c>
      <c r="E717" s="5" t="s">
        <v>64</v>
      </c>
      <c r="F717" s="5"/>
      <c r="G717" s="5" t="s">
        <v>22</v>
      </c>
      <c r="H717" s="5" t="s">
        <v>23</v>
      </c>
      <c r="I717" s="6">
        <v>5000000</v>
      </c>
      <c r="J717" s="6">
        <f>IF(D717="Thu",I717,0)</f>
        <v>0</v>
      </c>
      <c r="K717" s="6">
        <f>IF(D717="Chi",I717,0)</f>
        <v>5000000</v>
      </c>
      <c r="L717" s="6" t="e">
        <f>L716+J717-K717</f>
        <v>#VALUE!</v>
      </c>
      <c r="M717" s="6">
        <f ca="1">IFERROR(__xludf.DUMMYFUNCTION("SUM(FILTER(J:J, H:H=""Tiền mặt"")) - SUM(FILTER(K:K, H:H=""Tiền mặt""))
"),959000)</f>
        <v>959000</v>
      </c>
      <c r="N717" s="6">
        <f ca="1">IFERROR(__xludf.DUMMYFUNCTION("SUM(FILTER(J:J, H:H=""Chuyển khoản"")) - SUM(FILTER(K:K, H:H=""Chuyển khoản""))
"),4468984)</f>
        <v>4468984</v>
      </c>
      <c r="O717" s="5"/>
      <c r="P717" s="5"/>
      <c r="Q717" s="5"/>
      <c r="R717" s="5"/>
      <c r="S717" s="5"/>
    </row>
    <row r="718" spans="1:19" ht="15.75" customHeight="1" x14ac:dyDescent="0.2">
      <c r="A718" s="3">
        <v>46114</v>
      </c>
      <c r="B718" s="4" t="str">
        <f>IF(A718="","","PC-"&amp;TEXT(A718,"mm/yyyy")&amp;"-"&amp;TEXT(COUNTIFS($A$2:A718,"&gt;="&amp;EOMONTH(A718,-1)+1,$A$2:A718,"&lt;="&amp;EOMONTH(A718,0)),"000"))</f>
        <v>PC-04/2026-225</v>
      </c>
      <c r="C718" s="5" t="s">
        <v>868</v>
      </c>
      <c r="D718" s="5" t="s">
        <v>29</v>
      </c>
      <c r="E718" s="5" t="s">
        <v>71</v>
      </c>
      <c r="F718" s="5"/>
      <c r="G718" s="5" t="s">
        <v>217</v>
      </c>
      <c r="H718" s="5" t="s">
        <v>27</v>
      </c>
      <c r="I718" s="6">
        <v>121000</v>
      </c>
      <c r="J718" s="6">
        <f>IF(D718="Thu",I718,0)</f>
        <v>0</v>
      </c>
      <c r="K718" s="6">
        <f>IF(D718="Chi",I718,0)</f>
        <v>121000</v>
      </c>
      <c r="L718" s="6" t="e">
        <f>L717+J718-K718</f>
        <v>#VALUE!</v>
      </c>
      <c r="M718" s="6">
        <f ca="1">IFERROR(__xludf.DUMMYFUNCTION("SUM(FILTER(J:J, H:H=""Tiền mặt"")) - SUM(FILTER(K:K, H:H=""Tiền mặt""))
"),959000)</f>
        <v>959000</v>
      </c>
      <c r="N718" s="6">
        <f ca="1">IFERROR(__xludf.DUMMYFUNCTION("SUM(FILTER(J:J, H:H=""Chuyển khoản"")) - SUM(FILTER(K:K, H:H=""Chuyển khoản""))
"),4468984)</f>
        <v>4468984</v>
      </c>
      <c r="O718" s="5"/>
      <c r="P718" s="5"/>
      <c r="Q718" s="5"/>
      <c r="R718" s="5"/>
      <c r="S718" s="5"/>
    </row>
    <row r="719" spans="1:19" ht="15.75" customHeight="1" x14ac:dyDescent="0.2">
      <c r="A719" s="3">
        <v>46114</v>
      </c>
      <c r="B719" s="4" t="str">
        <f>IF(A719="","","PC-"&amp;TEXT(A719,"mm/yyyy")&amp;"-"&amp;TEXT(COUNTIFS($A$2:A719,"&gt;="&amp;EOMONTH(A719,-1)+1,$A$2:A719,"&lt;="&amp;EOMONTH(A719,0)),"000"))</f>
        <v>PC-04/2026-226</v>
      </c>
      <c r="C719" s="7" t="s">
        <v>869</v>
      </c>
      <c r="D719" s="5" t="s">
        <v>29</v>
      </c>
      <c r="E719" s="5" t="s">
        <v>41</v>
      </c>
      <c r="F719" s="5"/>
      <c r="G719" s="5" t="s">
        <v>217</v>
      </c>
      <c r="H719" s="5" t="s">
        <v>23</v>
      </c>
      <c r="I719" s="6">
        <v>100000</v>
      </c>
      <c r="J719" s="6">
        <f>IF(D719="Thu",I719,0)</f>
        <v>0</v>
      </c>
      <c r="K719" s="6">
        <f>IF(D719="Chi",I719,0)</f>
        <v>100000</v>
      </c>
      <c r="L719" s="6" t="e">
        <f>L718+J719-K719</f>
        <v>#VALUE!</v>
      </c>
      <c r="M719" s="6">
        <f ca="1">IFERROR(__xludf.DUMMYFUNCTION("SUM(FILTER(J:J, H:H=""Tiền mặt"")) - SUM(FILTER(K:K, H:H=""Tiền mặt""))
"),959000)</f>
        <v>959000</v>
      </c>
      <c r="N719" s="6">
        <f ca="1">IFERROR(__xludf.DUMMYFUNCTION("SUM(FILTER(J:J, H:H=""Chuyển khoản"")) - SUM(FILTER(K:K, H:H=""Chuyển khoản""))
"),4468984)</f>
        <v>4468984</v>
      </c>
      <c r="O719" s="5"/>
      <c r="P719" s="5"/>
      <c r="Q719" s="5"/>
      <c r="R719" s="5"/>
      <c r="S719" s="5"/>
    </row>
    <row r="720" spans="1:19" ht="15.75" customHeight="1" x14ac:dyDescent="0.2">
      <c r="A720" s="3">
        <v>46114</v>
      </c>
      <c r="B720" s="4" t="str">
        <f>IF(A720="","","PC-"&amp;TEXT(A720,"mm/yyyy")&amp;"-"&amp;TEXT(COUNTIFS($A$2:A720,"&gt;="&amp;EOMONTH(A720,-1)+1,$A$2:A720,"&lt;="&amp;EOMONTH(A720,0)),"000"))</f>
        <v>PC-04/2026-227</v>
      </c>
      <c r="C720" s="5" t="s">
        <v>870</v>
      </c>
      <c r="D720" s="5" t="s">
        <v>29</v>
      </c>
      <c r="E720" s="5" t="s">
        <v>33</v>
      </c>
      <c r="F720" s="5"/>
      <c r="G720" s="5" t="s">
        <v>871</v>
      </c>
      <c r="H720" s="5" t="s">
        <v>27</v>
      </c>
      <c r="I720" s="6">
        <v>1440000</v>
      </c>
      <c r="J720" s="6">
        <f>IF(D720="Thu",I720,0)</f>
        <v>0</v>
      </c>
      <c r="K720" s="6">
        <f>IF(D720="Chi",I720,0)</f>
        <v>1440000</v>
      </c>
      <c r="L720" s="6" t="e">
        <f>L719+J720-K720</f>
        <v>#VALUE!</v>
      </c>
      <c r="M720" s="6">
        <f ca="1">IFERROR(__xludf.DUMMYFUNCTION("SUM(FILTER(J:J, H:H=""Tiền mặt"")) - SUM(FILTER(K:K, H:H=""Tiền mặt""))
"),959000)</f>
        <v>959000</v>
      </c>
      <c r="N720" s="6">
        <f ca="1">IFERROR(__xludf.DUMMYFUNCTION("SUM(FILTER(J:J, H:H=""Chuyển khoản"")) - SUM(FILTER(K:K, H:H=""Chuyển khoản""))
"),4468984)</f>
        <v>4468984</v>
      </c>
      <c r="O720" s="5"/>
      <c r="P720" s="5"/>
      <c r="Q720" s="5"/>
      <c r="R720" s="5"/>
      <c r="S720" s="5"/>
    </row>
    <row r="721" spans="1:19" ht="15.75" customHeight="1" x14ac:dyDescent="0.2">
      <c r="A721" s="3">
        <v>46113</v>
      </c>
      <c r="B721" s="4" t="str">
        <f>IF(A721="","","PC-"&amp;TEXT(A721,"mm/yyyy")&amp;"-"&amp;TEXT(COUNTIFS($A$2:A721,"&gt;="&amp;EOMONTH(A721,-1)+1,$A$2:A721,"&lt;="&amp;EOMONTH(A721,0)),"000"))</f>
        <v>PC-04/2026-228</v>
      </c>
      <c r="C721" s="5" t="s">
        <v>849</v>
      </c>
      <c r="D721" s="5" t="s">
        <v>29</v>
      </c>
      <c r="E721" s="5" t="s">
        <v>71</v>
      </c>
      <c r="F721" s="5"/>
      <c r="G721" s="5" t="s">
        <v>571</v>
      </c>
      <c r="H721" s="5" t="s">
        <v>27</v>
      </c>
      <c r="I721" s="6">
        <v>85000</v>
      </c>
      <c r="J721" s="6">
        <f>IF(D721="Thu",I721,0)</f>
        <v>0</v>
      </c>
      <c r="K721" s="6">
        <f>IF(D721="Chi",I721,0)</f>
        <v>85000</v>
      </c>
      <c r="L721" s="6" t="e">
        <f>L720+J721-K721</f>
        <v>#VALUE!</v>
      </c>
      <c r="M721" s="6">
        <f ca="1">IFERROR(__xludf.DUMMYFUNCTION("SUM(FILTER(J:J, H:H=""Tiền mặt"")) - SUM(FILTER(K:K, H:H=""Tiền mặt""))
"),959000)</f>
        <v>959000</v>
      </c>
      <c r="N721" s="6">
        <f ca="1">IFERROR(__xludf.DUMMYFUNCTION("SUM(FILTER(J:J, H:H=""Chuyển khoản"")) - SUM(FILTER(K:K, H:H=""Chuyển khoản""))
"),4468984)</f>
        <v>4468984</v>
      </c>
      <c r="O721" s="5"/>
      <c r="P721" s="5"/>
      <c r="Q721" s="5"/>
      <c r="R721" s="5"/>
      <c r="S721" s="5"/>
    </row>
    <row r="722" spans="1:19" ht="15.75" customHeight="1" x14ac:dyDescent="0.2">
      <c r="A722" s="3">
        <v>46113</v>
      </c>
      <c r="B722" s="4" t="str">
        <f>IF(A722="","","PC-"&amp;TEXT(A722,"mm/yyyy")&amp;"-"&amp;TEXT(COUNTIFS($A$2:A722,"&gt;="&amp;EOMONTH(A722,-1)+1,$A$2:A722,"&lt;="&amp;EOMONTH(A722,0)),"000"))</f>
        <v>PC-04/2026-229</v>
      </c>
      <c r="C722" s="5" t="s">
        <v>850</v>
      </c>
      <c r="D722" s="5" t="s">
        <v>29</v>
      </c>
      <c r="E722" s="5" t="s">
        <v>41</v>
      </c>
      <c r="F722" s="5"/>
      <c r="G722" s="5" t="s">
        <v>82</v>
      </c>
      <c r="H722" s="5" t="s">
        <v>23</v>
      </c>
      <c r="I722" s="6">
        <v>100000</v>
      </c>
      <c r="J722" s="6">
        <f>IF(D722="Thu",I722,0)</f>
        <v>0</v>
      </c>
      <c r="K722" s="6">
        <f>IF(D722="Chi",I722,0)</f>
        <v>100000</v>
      </c>
      <c r="L722" s="6" t="e">
        <f>L721+J722-K722</f>
        <v>#VALUE!</v>
      </c>
      <c r="M722" s="6">
        <f ca="1">IFERROR(__xludf.DUMMYFUNCTION("SUM(FILTER(J:J, H:H=""Tiền mặt"")) - SUM(FILTER(K:K, H:H=""Tiền mặt""))
"),959000)</f>
        <v>959000</v>
      </c>
      <c r="N722" s="6">
        <f ca="1">IFERROR(__xludf.DUMMYFUNCTION("SUM(FILTER(J:J, H:H=""Chuyển khoản"")) - SUM(FILTER(K:K, H:H=""Chuyển khoản""))
"),4468984)</f>
        <v>4468984</v>
      </c>
      <c r="O722" s="5"/>
      <c r="P722" s="5"/>
      <c r="Q722" s="5"/>
      <c r="R722" s="5"/>
      <c r="S722" s="5"/>
    </row>
    <row r="723" spans="1:19" ht="15.75" customHeight="1" x14ac:dyDescent="0.2">
      <c r="A723" s="3">
        <v>46113</v>
      </c>
      <c r="B723" s="4" t="str">
        <f>IF(A723="","","PC-"&amp;TEXT(A723,"mm/yyyy")&amp;"-"&amp;TEXT(COUNTIFS($A$2:A723,"&gt;="&amp;EOMONTH(A723,-1)+1,$A$2:A723,"&lt;="&amp;EOMONTH(A723,0)),"000"))</f>
        <v>PC-04/2026-230</v>
      </c>
      <c r="C723" s="5" t="s">
        <v>851</v>
      </c>
      <c r="D723" s="5" t="s">
        <v>29</v>
      </c>
      <c r="E723" s="5" t="s">
        <v>41</v>
      </c>
      <c r="F723" s="5"/>
      <c r="G723" s="5" t="s">
        <v>82</v>
      </c>
      <c r="H723" s="5" t="s">
        <v>23</v>
      </c>
      <c r="I723" s="6">
        <v>100000</v>
      </c>
      <c r="J723" s="6">
        <f>IF(D723="Thu",I723,0)</f>
        <v>0</v>
      </c>
      <c r="K723" s="6">
        <f>IF(D723="Chi",I723,0)</f>
        <v>100000</v>
      </c>
      <c r="L723" s="6" t="e">
        <f>L722+J723-K723</f>
        <v>#VALUE!</v>
      </c>
      <c r="M723" s="6">
        <f ca="1">IFERROR(__xludf.DUMMYFUNCTION("SUM(FILTER(J:J, H:H=""Tiền mặt"")) - SUM(FILTER(K:K, H:H=""Tiền mặt""))
"),959000)</f>
        <v>959000</v>
      </c>
      <c r="N723" s="6">
        <f ca="1">IFERROR(__xludf.DUMMYFUNCTION("SUM(FILTER(J:J, H:H=""Chuyển khoản"")) - SUM(FILTER(K:K, H:H=""Chuyển khoản""))
"),4468984)</f>
        <v>4468984</v>
      </c>
      <c r="O723" s="5"/>
      <c r="P723" s="5"/>
      <c r="Q723" s="5"/>
      <c r="R723" s="5"/>
      <c r="S723" s="5"/>
    </row>
    <row r="724" spans="1:19" ht="15.75" customHeight="1" x14ac:dyDescent="0.2">
      <c r="A724" s="3">
        <v>46113</v>
      </c>
      <c r="B724" s="4" t="str">
        <f>IF(A724="","","PC-"&amp;TEXT(A724,"mm/yyyy")&amp;"-"&amp;TEXT(COUNTIFS($A$2:A724,"&gt;="&amp;EOMONTH(A724,-1)+1,$A$2:A724,"&lt;="&amp;EOMONTH(A724,0)),"000"))</f>
        <v>PC-04/2026-231</v>
      </c>
      <c r="C724" s="5" t="s">
        <v>852</v>
      </c>
      <c r="D724" s="5" t="s">
        <v>29</v>
      </c>
      <c r="E724" s="5" t="s">
        <v>674</v>
      </c>
      <c r="F724" s="5"/>
      <c r="G724" s="5" t="s">
        <v>853</v>
      </c>
      <c r="H724" s="5" t="s">
        <v>23</v>
      </c>
      <c r="I724" s="6">
        <v>28000</v>
      </c>
      <c r="J724" s="6">
        <f>IF(D724="Thu",I724,0)</f>
        <v>0</v>
      </c>
      <c r="K724" s="6">
        <f>IF(D724="Chi",I724,0)</f>
        <v>28000</v>
      </c>
      <c r="L724" s="6" t="e">
        <f>L723+J724-K724</f>
        <v>#VALUE!</v>
      </c>
      <c r="M724" s="6">
        <f ca="1">IFERROR(__xludf.DUMMYFUNCTION("SUM(FILTER(J:J, H:H=""Tiền mặt"")) - SUM(FILTER(K:K, H:H=""Tiền mặt""))
"),959000)</f>
        <v>959000</v>
      </c>
      <c r="N724" s="6">
        <f ca="1">IFERROR(__xludf.DUMMYFUNCTION("SUM(FILTER(J:J, H:H=""Chuyển khoản"")) - SUM(FILTER(K:K, H:H=""Chuyển khoản""))
"),4468984)</f>
        <v>4468984</v>
      </c>
      <c r="O724" s="5"/>
      <c r="P724" s="5"/>
      <c r="Q724" s="5"/>
      <c r="R724" s="5"/>
      <c r="S724" s="5"/>
    </row>
    <row r="725" spans="1:19" ht="15.75" customHeight="1" x14ac:dyDescent="0.2">
      <c r="A725" s="3">
        <v>46113</v>
      </c>
      <c r="B725" s="4" t="str">
        <f>IF(A725="","","PC-"&amp;TEXT(A725,"mm/yyyy")&amp;"-"&amp;TEXT(COUNTIFS($A$2:A725,"&gt;="&amp;EOMONTH(A725,-1)+1,$A$2:A725,"&lt;="&amp;EOMONTH(A725,0)),"000"))</f>
        <v>PC-04/2026-232</v>
      </c>
      <c r="C725" s="4" t="s">
        <v>854</v>
      </c>
      <c r="D725" s="5" t="s">
        <v>29</v>
      </c>
      <c r="E725" s="5" t="s">
        <v>30</v>
      </c>
      <c r="F725" s="5"/>
      <c r="G725" s="5" t="s">
        <v>37</v>
      </c>
      <c r="H725" s="5" t="s">
        <v>27</v>
      </c>
      <c r="I725" s="6">
        <v>495000</v>
      </c>
      <c r="J725" s="6">
        <f>IF(D725="Thu",I725,0)</f>
        <v>0</v>
      </c>
      <c r="K725" s="6">
        <f>IF(D725="Chi",I725,0)</f>
        <v>495000</v>
      </c>
      <c r="L725" s="6" t="e">
        <f>L724+J725-K725</f>
        <v>#VALUE!</v>
      </c>
      <c r="M725" s="6">
        <f ca="1">IFERROR(__xludf.DUMMYFUNCTION("SUM(FILTER(J:J, H:H=""Tiền mặt"")) - SUM(FILTER(K:K, H:H=""Tiền mặt""))
"),959000)</f>
        <v>959000</v>
      </c>
      <c r="N725" s="6">
        <f ca="1">IFERROR(__xludf.DUMMYFUNCTION("SUM(FILTER(J:J, H:H=""Chuyển khoản"")) - SUM(FILTER(K:K, H:H=""Chuyển khoản""))
"),4468984)</f>
        <v>4468984</v>
      </c>
      <c r="O725" s="5"/>
      <c r="P725" s="5"/>
      <c r="Q725" s="5"/>
      <c r="R725" s="5"/>
      <c r="S725" s="5"/>
    </row>
    <row r="726" spans="1:19" ht="15.75" customHeight="1" x14ac:dyDescent="0.2">
      <c r="A726" s="3">
        <v>46112</v>
      </c>
      <c r="B726" s="4" t="str">
        <f>IF(A726="","","PC-"&amp;TEXT(A726,"mm/yyyy")&amp;"-"&amp;TEXT(COUNTIFS($A$2:A726,"&gt;="&amp;EOMONTH(A726,-1)+1,$A$2:A726,"&lt;="&amp;EOMONTH(A726,0)),"000"))</f>
        <v>PC-03/2026-001</v>
      </c>
      <c r="C726" s="5" t="s">
        <v>836</v>
      </c>
      <c r="D726" s="5" t="s">
        <v>29</v>
      </c>
      <c r="E726" s="5" t="s">
        <v>36</v>
      </c>
      <c r="F726" s="5"/>
      <c r="G726" s="5" t="s">
        <v>37</v>
      </c>
      <c r="H726" s="5" t="s">
        <v>23</v>
      </c>
      <c r="I726" s="6">
        <v>70000</v>
      </c>
      <c r="J726" s="6">
        <f>IF(D726="Thu",I726,0)</f>
        <v>0</v>
      </c>
      <c r="K726" s="6">
        <f>IF(D726="Chi",I726,0)</f>
        <v>70000</v>
      </c>
      <c r="L726" s="6" t="e">
        <f>L725+J726-K726</f>
        <v>#VALUE!</v>
      </c>
      <c r="M726" s="6">
        <f ca="1">IFERROR(__xludf.DUMMYFUNCTION("SUM(FILTER(J:J, H:H=""Tiền mặt"")) - SUM(FILTER(K:K, H:H=""Tiền mặt""))
"),959000)</f>
        <v>959000</v>
      </c>
      <c r="N726" s="6">
        <f ca="1">IFERROR(__xludf.DUMMYFUNCTION("SUM(FILTER(J:J, H:H=""Chuyển khoản"")) - SUM(FILTER(K:K, H:H=""Chuyển khoản""))
"),4468984)</f>
        <v>4468984</v>
      </c>
      <c r="O726" s="5"/>
      <c r="P726" s="5"/>
      <c r="Q726" s="5"/>
      <c r="R726" s="5"/>
      <c r="S726" s="5"/>
    </row>
    <row r="727" spans="1:19" ht="15.75" customHeight="1" x14ac:dyDescent="0.2">
      <c r="A727" s="3">
        <v>46112</v>
      </c>
      <c r="B727" s="4" t="str">
        <f>IF(A727="","","PC-"&amp;TEXT(A727,"mm/yyyy")&amp;"-"&amp;TEXT(COUNTIFS($A$2:A727,"&gt;="&amp;EOMONTH(A727,-1)+1,$A$2:A727,"&lt;="&amp;EOMONTH(A727,0)),"000"))</f>
        <v>PC-03/2026-002</v>
      </c>
      <c r="C727" s="5" t="s">
        <v>837</v>
      </c>
      <c r="D727" s="5" t="s">
        <v>29</v>
      </c>
      <c r="E727" s="5" t="s">
        <v>41</v>
      </c>
      <c r="F727" s="5"/>
      <c r="G727" s="5" t="s">
        <v>82</v>
      </c>
      <c r="H727" s="5" t="s">
        <v>23</v>
      </c>
      <c r="I727" s="6">
        <v>100000</v>
      </c>
      <c r="J727" s="6">
        <f>IF(D727="Thu",I727,0)</f>
        <v>0</v>
      </c>
      <c r="K727" s="6">
        <f>IF(D727="Chi",I727,0)</f>
        <v>100000</v>
      </c>
      <c r="L727" s="6" t="e">
        <f>L726+J727-K727</f>
        <v>#VALUE!</v>
      </c>
      <c r="M727" s="6">
        <f ca="1">IFERROR(__xludf.DUMMYFUNCTION("SUM(FILTER(J:J, H:H=""Tiền mặt"")) - SUM(FILTER(K:K, H:H=""Tiền mặt""))
"),959000)</f>
        <v>959000</v>
      </c>
      <c r="N727" s="6">
        <f ca="1">IFERROR(__xludf.DUMMYFUNCTION("SUM(FILTER(J:J, H:H=""Chuyển khoản"")) - SUM(FILTER(K:K, H:H=""Chuyển khoản""))
"),4468984)</f>
        <v>4468984</v>
      </c>
      <c r="O727" s="5"/>
      <c r="P727" s="5"/>
      <c r="Q727" s="5"/>
      <c r="R727" s="5"/>
      <c r="S727" s="5"/>
    </row>
    <row r="728" spans="1:19" ht="15.75" customHeight="1" x14ac:dyDescent="0.2">
      <c r="A728" s="3">
        <v>46112</v>
      </c>
      <c r="B728" s="4" t="str">
        <f>IF(A728="","","PC-"&amp;TEXT(A728,"mm/yyyy")&amp;"-"&amp;TEXT(COUNTIFS($A$2:A728,"&gt;="&amp;EOMONTH(A728,-1)+1,$A$2:A728,"&lt;="&amp;EOMONTH(A728,0)),"000"))</f>
        <v>PC-03/2026-003</v>
      </c>
      <c r="C728" s="5" t="s">
        <v>838</v>
      </c>
      <c r="D728" s="5" t="s">
        <v>29</v>
      </c>
      <c r="E728" s="5" t="s">
        <v>71</v>
      </c>
      <c r="F728" s="5"/>
      <c r="G728" s="5" t="s">
        <v>839</v>
      </c>
      <c r="H728" s="5" t="s">
        <v>27</v>
      </c>
      <c r="I728" s="6">
        <v>47000</v>
      </c>
      <c r="J728" s="6">
        <f>IF(D728="Thu",I728,0)</f>
        <v>0</v>
      </c>
      <c r="K728" s="6">
        <f>IF(D728="Chi",I728,0)</f>
        <v>47000</v>
      </c>
      <c r="L728" s="6" t="e">
        <f>L727+J728-K728</f>
        <v>#VALUE!</v>
      </c>
      <c r="M728" s="6">
        <f ca="1">IFERROR(__xludf.DUMMYFUNCTION("SUM(FILTER(J:J, H:H=""Tiền mặt"")) - SUM(FILTER(K:K, H:H=""Tiền mặt""))
"),959000)</f>
        <v>959000</v>
      </c>
      <c r="N728" s="6">
        <f ca="1">IFERROR(__xludf.DUMMYFUNCTION("SUM(FILTER(J:J, H:H=""Chuyển khoản"")) - SUM(FILTER(K:K, H:H=""Chuyển khoản""))
"),4468984)</f>
        <v>4468984</v>
      </c>
      <c r="O728" s="5"/>
      <c r="P728" s="5"/>
      <c r="Q728" s="5"/>
      <c r="R728" s="5"/>
      <c r="S728" s="5"/>
    </row>
    <row r="729" spans="1:19" ht="15.75" customHeight="1" x14ac:dyDescent="0.2">
      <c r="A729" s="3">
        <v>46112</v>
      </c>
      <c r="B729" s="4" t="str">
        <f>IF(A729="","","PC-"&amp;TEXT(A729,"mm/yyyy")&amp;"-"&amp;TEXT(COUNTIFS($A$2:A729,"&gt;="&amp;EOMONTH(A729,-1)+1,$A$2:A729,"&lt;="&amp;EOMONTH(A729,0)),"000"))</f>
        <v>PC-03/2026-004</v>
      </c>
      <c r="C729" s="5" t="s">
        <v>840</v>
      </c>
      <c r="D729" s="5" t="s">
        <v>29</v>
      </c>
      <c r="E729" s="5" t="s">
        <v>51</v>
      </c>
      <c r="F729" s="5"/>
      <c r="G729" s="5" t="s">
        <v>52</v>
      </c>
      <c r="H729" s="5" t="s">
        <v>27</v>
      </c>
      <c r="I729" s="6">
        <v>60500</v>
      </c>
      <c r="J729" s="6">
        <f>IF(D729="Thu",I729,0)</f>
        <v>0</v>
      </c>
      <c r="K729" s="6">
        <f>IF(D729="Chi",I729,0)</f>
        <v>60500</v>
      </c>
      <c r="L729" s="6" t="e">
        <f>L728+J729-K729</f>
        <v>#VALUE!</v>
      </c>
      <c r="M729" s="6">
        <f ca="1">IFERROR(__xludf.DUMMYFUNCTION("SUM(FILTER(J:J, H:H=""Tiền mặt"")) - SUM(FILTER(K:K, H:H=""Tiền mặt""))
"),959000)</f>
        <v>959000</v>
      </c>
      <c r="N729" s="6">
        <f ca="1">IFERROR(__xludf.DUMMYFUNCTION("SUM(FILTER(J:J, H:H=""Chuyển khoản"")) - SUM(FILTER(K:K, H:H=""Chuyển khoản""))
"),4468984)</f>
        <v>4468984</v>
      </c>
      <c r="O729" s="5"/>
      <c r="P729" s="5"/>
      <c r="Q729" s="5"/>
      <c r="R729" s="5"/>
      <c r="S729" s="5"/>
    </row>
    <row r="730" spans="1:19" ht="15.75" customHeight="1" x14ac:dyDescent="0.2">
      <c r="A730" s="3">
        <v>46112</v>
      </c>
      <c r="B730" s="4" t="str">
        <f>IF(A730="","","PC-"&amp;TEXT(A730,"mm/yyyy")&amp;"-"&amp;TEXT(COUNTIFS($A$2:A730,"&gt;="&amp;EOMONTH(A730,-1)+1,$A$2:A730,"&lt;="&amp;EOMONTH(A730,0)),"000"))</f>
        <v>PC-03/2026-005</v>
      </c>
      <c r="C730" s="5" t="s">
        <v>841</v>
      </c>
      <c r="D730" s="5" t="s">
        <v>29</v>
      </c>
      <c r="E730" s="5" t="s">
        <v>51</v>
      </c>
      <c r="F730" s="5"/>
      <c r="G730" s="5" t="s">
        <v>52</v>
      </c>
      <c r="H730" s="5" t="s">
        <v>27</v>
      </c>
      <c r="I730" s="6">
        <v>149200</v>
      </c>
      <c r="J730" s="6">
        <f>IF(D730="Thu",I730,0)</f>
        <v>0</v>
      </c>
      <c r="K730" s="6">
        <f>IF(D730="Chi",I730,0)</f>
        <v>149200</v>
      </c>
      <c r="L730" s="6" t="e">
        <f>L729+J730-K730</f>
        <v>#VALUE!</v>
      </c>
      <c r="M730" s="6">
        <f ca="1">IFERROR(__xludf.DUMMYFUNCTION("SUM(FILTER(J:J, H:H=""Tiền mặt"")) - SUM(FILTER(K:K, H:H=""Tiền mặt""))
"),959000)</f>
        <v>959000</v>
      </c>
      <c r="N730" s="6">
        <f ca="1">IFERROR(__xludf.DUMMYFUNCTION("SUM(FILTER(J:J, H:H=""Chuyển khoản"")) - SUM(FILTER(K:K, H:H=""Chuyển khoản""))
"),4468984)</f>
        <v>4468984</v>
      </c>
      <c r="O730" s="5"/>
      <c r="P730" s="5"/>
      <c r="Q730" s="5"/>
      <c r="R730" s="5"/>
      <c r="S730" s="5"/>
    </row>
    <row r="731" spans="1:19" ht="15.75" customHeight="1" x14ac:dyDescent="0.2">
      <c r="A731" s="3">
        <v>46112</v>
      </c>
      <c r="B731" s="4" t="str">
        <f>IF(A731="","","PC-"&amp;TEXT(A731,"mm/yyyy")&amp;"-"&amp;TEXT(COUNTIFS($A$2:A731,"&gt;="&amp;EOMONTH(A731,-1)+1,$A$2:A731,"&lt;="&amp;EOMONTH(A731,0)),"000"))</f>
        <v>PC-03/2026-006</v>
      </c>
      <c r="C731" s="5" t="s">
        <v>842</v>
      </c>
      <c r="D731" s="5" t="s">
        <v>29</v>
      </c>
      <c r="E731" s="5" t="s">
        <v>36</v>
      </c>
      <c r="F731" s="5"/>
      <c r="G731" s="5" t="s">
        <v>37</v>
      </c>
      <c r="H731" s="5" t="s">
        <v>27</v>
      </c>
      <c r="I731" s="6">
        <v>240000</v>
      </c>
      <c r="J731" s="6">
        <f>IF(D731="Thu",I731,0)</f>
        <v>0</v>
      </c>
      <c r="K731" s="6">
        <f>IF(D731="Chi",I731,0)</f>
        <v>240000</v>
      </c>
      <c r="L731" s="6" t="e">
        <f>L730+J731-K731</f>
        <v>#VALUE!</v>
      </c>
      <c r="M731" s="6">
        <f ca="1">IFERROR(__xludf.DUMMYFUNCTION("SUM(FILTER(J:J, H:H=""Tiền mặt"")) - SUM(FILTER(K:K, H:H=""Tiền mặt""))
"),959000)</f>
        <v>959000</v>
      </c>
      <c r="N731" s="6">
        <f ca="1">IFERROR(__xludf.DUMMYFUNCTION("SUM(FILTER(J:J, H:H=""Chuyển khoản"")) - SUM(FILTER(K:K, H:H=""Chuyển khoản""))
"),4468984)</f>
        <v>4468984</v>
      </c>
      <c r="O731" s="5"/>
      <c r="P731" s="5"/>
      <c r="Q731" s="5"/>
      <c r="R731" s="5"/>
      <c r="S731" s="5"/>
    </row>
    <row r="732" spans="1:19" ht="15.75" customHeight="1" x14ac:dyDescent="0.2">
      <c r="A732" s="3">
        <v>46112</v>
      </c>
      <c r="B732" s="4" t="str">
        <f>IF(A732="","","PC-"&amp;TEXT(A732,"mm/yyyy")&amp;"-"&amp;TEXT(COUNTIFS($A$2:A732,"&gt;="&amp;EOMONTH(A732,-1)+1,$A$2:A732,"&lt;="&amp;EOMONTH(A732,0)),"000"))</f>
        <v>PC-03/2026-007</v>
      </c>
      <c r="C732" s="5" t="s">
        <v>843</v>
      </c>
      <c r="D732" s="5" t="s">
        <v>29</v>
      </c>
      <c r="E732" s="5" t="s">
        <v>51</v>
      </c>
      <c r="F732" s="5"/>
      <c r="G732" s="5" t="s">
        <v>52</v>
      </c>
      <c r="H732" s="5" t="s">
        <v>27</v>
      </c>
      <c r="I732" s="6">
        <v>104830</v>
      </c>
      <c r="J732" s="6">
        <f>IF(D732="Thu",I732,0)</f>
        <v>0</v>
      </c>
      <c r="K732" s="6">
        <f>IF(D732="Chi",I732,0)</f>
        <v>104830</v>
      </c>
      <c r="L732" s="6" t="e">
        <f>L731+J732-K732</f>
        <v>#VALUE!</v>
      </c>
      <c r="M732" s="6">
        <f ca="1">IFERROR(__xludf.DUMMYFUNCTION("SUM(FILTER(J:J, H:H=""Tiền mặt"")) - SUM(FILTER(K:K, H:H=""Tiền mặt""))
"),959000)</f>
        <v>959000</v>
      </c>
      <c r="N732" s="6">
        <f ca="1">IFERROR(__xludf.DUMMYFUNCTION("SUM(FILTER(J:J, H:H=""Chuyển khoản"")) - SUM(FILTER(K:K, H:H=""Chuyển khoản""))
"),4468984)</f>
        <v>4468984</v>
      </c>
      <c r="O732" s="5"/>
      <c r="P732" s="5"/>
      <c r="Q732" s="5"/>
      <c r="R732" s="5"/>
      <c r="S732" s="5"/>
    </row>
    <row r="733" spans="1:19" ht="15.75" customHeight="1" x14ac:dyDescent="0.2">
      <c r="A733" s="3">
        <v>46112</v>
      </c>
      <c r="B733" s="4" t="str">
        <f>IF(A733="","","PC-"&amp;TEXT(A733,"mm/yyyy")&amp;"-"&amp;TEXT(COUNTIFS($A$2:A733,"&gt;="&amp;EOMONTH(A733,-1)+1,$A$2:A733,"&lt;="&amp;EOMONTH(A733,0)),"000"))</f>
        <v>PC-03/2026-008</v>
      </c>
      <c r="C733" s="5" t="s">
        <v>844</v>
      </c>
      <c r="D733" s="5" t="s">
        <v>20</v>
      </c>
      <c r="E733" s="5" t="s">
        <v>21</v>
      </c>
      <c r="F733" s="5"/>
      <c r="G733" s="5" t="s">
        <v>37</v>
      </c>
      <c r="H733" s="5" t="s">
        <v>23</v>
      </c>
      <c r="I733" s="6">
        <v>125000</v>
      </c>
      <c r="J733" s="6">
        <f>IF(D733="Thu",I733,0)</f>
        <v>125000</v>
      </c>
      <c r="K733" s="6">
        <f>IF(D733="Chi",I733,0)</f>
        <v>0</v>
      </c>
      <c r="L733" s="6" t="e">
        <f>L732+J733-K733</f>
        <v>#VALUE!</v>
      </c>
      <c r="M733" s="6">
        <f ca="1">IFERROR(__xludf.DUMMYFUNCTION("SUM(FILTER(J:J, H:H=""Tiền mặt"")) - SUM(FILTER(K:K, H:H=""Tiền mặt""))
"),959000)</f>
        <v>959000</v>
      </c>
      <c r="N733" s="6">
        <f ca="1">IFERROR(__xludf.DUMMYFUNCTION("SUM(FILTER(J:J, H:H=""Chuyển khoản"")) - SUM(FILTER(K:K, H:H=""Chuyển khoản""))
"),4468984)</f>
        <v>4468984</v>
      </c>
      <c r="O733" s="5"/>
      <c r="P733" s="5"/>
      <c r="Q733" s="5"/>
      <c r="R733" s="5"/>
      <c r="S733" s="5"/>
    </row>
    <row r="734" spans="1:19" ht="15.75" customHeight="1" x14ac:dyDescent="0.2">
      <c r="A734" s="3">
        <v>46112</v>
      </c>
      <c r="B734" s="4" t="str">
        <f>IF(A734="","","PC-"&amp;TEXT(A734,"mm/yyyy")&amp;"-"&amp;TEXT(COUNTIFS($A$2:A734,"&gt;="&amp;EOMONTH(A734,-1)+1,$A$2:A734,"&lt;="&amp;EOMONTH(A734,0)),"000"))</f>
        <v>PC-03/2026-009</v>
      </c>
      <c r="C734" s="7" t="s">
        <v>845</v>
      </c>
      <c r="D734" s="5" t="s">
        <v>29</v>
      </c>
      <c r="E734" s="5" t="s">
        <v>71</v>
      </c>
      <c r="F734" s="5"/>
      <c r="G734" s="5" t="s">
        <v>846</v>
      </c>
      <c r="H734" s="5" t="s">
        <v>27</v>
      </c>
      <c r="I734" s="6">
        <v>77000</v>
      </c>
      <c r="J734" s="6">
        <f>IF(D734="Thu",I734,0)</f>
        <v>0</v>
      </c>
      <c r="K734" s="6">
        <f>IF(D734="Chi",I734,0)</f>
        <v>77000</v>
      </c>
      <c r="L734" s="6" t="e">
        <f>L733+J734-K734</f>
        <v>#VALUE!</v>
      </c>
      <c r="M734" s="6">
        <f ca="1">IFERROR(__xludf.DUMMYFUNCTION("SUM(FILTER(J:J, H:H=""Tiền mặt"")) - SUM(FILTER(K:K, H:H=""Tiền mặt""))
"),959000)</f>
        <v>959000</v>
      </c>
      <c r="N734" s="6">
        <f ca="1">IFERROR(__xludf.DUMMYFUNCTION("SUM(FILTER(J:J, H:H=""Chuyển khoản"")) - SUM(FILTER(K:K, H:H=""Chuyển khoản""))
"),4468984)</f>
        <v>4468984</v>
      </c>
      <c r="O734" s="5"/>
      <c r="P734" s="5"/>
      <c r="Q734" s="5"/>
      <c r="R734" s="5"/>
      <c r="S734" s="5"/>
    </row>
    <row r="735" spans="1:19" ht="15.75" customHeight="1" x14ac:dyDescent="0.2">
      <c r="A735" s="3">
        <v>46112</v>
      </c>
      <c r="B735" s="4" t="str">
        <f>IF(A735="","","PC-"&amp;TEXT(A735,"mm/yyyy")&amp;"-"&amp;TEXT(COUNTIFS($A$2:A735,"&gt;="&amp;EOMONTH(A735,-1)+1,$A$2:A735,"&lt;="&amp;EOMONTH(A735,0)),"000"))</f>
        <v>PC-03/2026-010</v>
      </c>
      <c r="C735" s="5" t="s">
        <v>847</v>
      </c>
      <c r="D735" s="5" t="s">
        <v>29</v>
      </c>
      <c r="E735" s="5" t="s">
        <v>71</v>
      </c>
      <c r="F735" s="5"/>
      <c r="G735" s="5" t="s">
        <v>219</v>
      </c>
      <c r="H735" s="5" t="s">
        <v>23</v>
      </c>
      <c r="I735" s="6">
        <v>100000</v>
      </c>
      <c r="J735" s="6">
        <f>IF(D735="Thu",I735,0)</f>
        <v>0</v>
      </c>
      <c r="K735" s="6">
        <f>IF(D735="Chi",I735,0)</f>
        <v>100000</v>
      </c>
      <c r="L735" s="6" t="e">
        <f>L734+J735-K735</f>
        <v>#VALUE!</v>
      </c>
      <c r="M735" s="6">
        <f ca="1">IFERROR(__xludf.DUMMYFUNCTION("SUM(FILTER(J:J, H:H=""Tiền mặt"")) - SUM(FILTER(K:K, H:H=""Tiền mặt""))
"),959000)</f>
        <v>959000</v>
      </c>
      <c r="N735" s="6">
        <f ca="1">IFERROR(__xludf.DUMMYFUNCTION("SUM(FILTER(J:J, H:H=""Chuyển khoản"")) - SUM(FILTER(K:K, H:H=""Chuyển khoản""))
"),4468984)</f>
        <v>4468984</v>
      </c>
      <c r="O735" s="5"/>
      <c r="P735" s="5"/>
      <c r="Q735" s="5"/>
      <c r="R735" s="5"/>
      <c r="S735" s="5"/>
    </row>
    <row r="736" spans="1:19" ht="15.75" customHeight="1" x14ac:dyDescent="0.2">
      <c r="A736" s="3">
        <v>46112</v>
      </c>
      <c r="B736" s="4" t="str">
        <f>IF(A736="","","PC-"&amp;TEXT(A736,"mm/yyyy")&amp;"-"&amp;TEXT(COUNTIFS($A$2:A736,"&gt;="&amp;EOMONTH(A736,-1)+1,$A$2:A736,"&lt;="&amp;EOMONTH(A736,0)),"000"))</f>
        <v>PC-03/2026-011</v>
      </c>
      <c r="C736" s="5" t="s">
        <v>559</v>
      </c>
      <c r="D736" s="5" t="s">
        <v>29</v>
      </c>
      <c r="E736" s="5" t="s">
        <v>41</v>
      </c>
      <c r="F736" s="5"/>
      <c r="G736" s="5" t="s">
        <v>560</v>
      </c>
      <c r="H736" s="5" t="s">
        <v>23</v>
      </c>
      <c r="I736" s="6">
        <v>1000000</v>
      </c>
      <c r="J736" s="6">
        <f>IF(D736="Thu",I736,0)</f>
        <v>0</v>
      </c>
      <c r="K736" s="6">
        <f>IF(D736="Chi",I736,0)</f>
        <v>1000000</v>
      </c>
      <c r="L736" s="6" t="e">
        <f>L735+J736-K736</f>
        <v>#VALUE!</v>
      </c>
      <c r="M736" s="6">
        <f ca="1">IFERROR(__xludf.DUMMYFUNCTION("SUM(FILTER(J:J, H:H=""Tiền mặt"")) - SUM(FILTER(K:K, H:H=""Tiền mặt""))
"),959000)</f>
        <v>959000</v>
      </c>
      <c r="N736" s="6">
        <f ca="1">IFERROR(__xludf.DUMMYFUNCTION("SUM(FILTER(J:J, H:H=""Chuyển khoản"")) - SUM(FILTER(K:K, H:H=""Chuyển khoản""))
"),4468984)</f>
        <v>4468984</v>
      </c>
      <c r="O736" s="5"/>
      <c r="P736" s="5"/>
      <c r="Q736" s="5"/>
      <c r="R736" s="5"/>
      <c r="S736" s="5"/>
    </row>
    <row r="737" spans="1:19" ht="15.75" customHeight="1" x14ac:dyDescent="0.2">
      <c r="A737" s="3">
        <v>46112</v>
      </c>
      <c r="B737" s="4" t="str">
        <f>IF(A737="","","PC-"&amp;TEXT(A737,"mm/yyyy")&amp;"-"&amp;TEXT(COUNTIFS($A$2:A737,"&gt;="&amp;EOMONTH(A737,-1)+1,$A$2:A737,"&lt;="&amp;EOMONTH(A737,0)),"000"))</f>
        <v>PC-03/2026-012</v>
      </c>
      <c r="C737" s="5" t="s">
        <v>848</v>
      </c>
      <c r="D737" s="5" t="s">
        <v>29</v>
      </c>
      <c r="E737" s="5" t="s">
        <v>64</v>
      </c>
      <c r="F737" s="5"/>
      <c r="G737" s="5" t="s">
        <v>525</v>
      </c>
      <c r="H737" s="5" t="s">
        <v>27</v>
      </c>
      <c r="I737" s="6">
        <v>110000</v>
      </c>
      <c r="J737" s="6">
        <f>IF(D737="Thu",I737,0)</f>
        <v>0</v>
      </c>
      <c r="K737" s="6">
        <f>IF(D737="Chi",I737,0)</f>
        <v>110000</v>
      </c>
      <c r="L737" s="6" t="e">
        <f>L736+J737-K737</f>
        <v>#VALUE!</v>
      </c>
      <c r="M737" s="6">
        <f ca="1">IFERROR(__xludf.DUMMYFUNCTION("SUM(FILTER(J:J, H:H=""Tiền mặt"")) - SUM(FILTER(K:K, H:H=""Tiền mặt""))
"),959000)</f>
        <v>959000</v>
      </c>
      <c r="N737" s="6">
        <f ca="1">IFERROR(__xludf.DUMMYFUNCTION("SUM(FILTER(J:J, H:H=""Chuyển khoản"")) - SUM(FILTER(K:K, H:H=""Chuyển khoản""))
"),4468984)</f>
        <v>4468984</v>
      </c>
      <c r="O737" s="5"/>
      <c r="P737" s="5"/>
      <c r="Q737" s="5"/>
      <c r="R737" s="5"/>
      <c r="S737" s="5"/>
    </row>
    <row r="738" spans="1:19" ht="15.75" customHeight="1" x14ac:dyDescent="0.2">
      <c r="A738" s="3">
        <v>46111</v>
      </c>
      <c r="B738" s="4" t="str">
        <f>IF(A738="","","PC-"&amp;TEXT(A738,"mm/yyyy")&amp;"-"&amp;TEXT(COUNTIFS($A$2:A738,"&gt;="&amp;EOMONTH(A738,-1)+1,$A$2:A738,"&lt;="&amp;EOMONTH(A738,0)),"000"))</f>
        <v>PC-03/2026-013</v>
      </c>
      <c r="C738" s="5" t="s">
        <v>825</v>
      </c>
      <c r="D738" s="5" t="s">
        <v>29</v>
      </c>
      <c r="E738" s="5" t="s">
        <v>44</v>
      </c>
      <c r="F738" s="5"/>
      <c r="G738" s="5" t="s">
        <v>103</v>
      </c>
      <c r="H738" s="5" t="s">
        <v>27</v>
      </c>
      <c r="I738" s="6">
        <v>1500000</v>
      </c>
      <c r="J738" s="6">
        <f>IF(D738="Thu",I738,0)</f>
        <v>0</v>
      </c>
      <c r="K738" s="6">
        <f>IF(D738="Chi",I738,0)</f>
        <v>1500000</v>
      </c>
      <c r="L738" s="6" t="e">
        <f>L737+J738-K738</f>
        <v>#VALUE!</v>
      </c>
      <c r="M738" s="6">
        <f ca="1">IFERROR(__xludf.DUMMYFUNCTION("SUM(FILTER(J:J, H:H=""Tiền mặt"")) - SUM(FILTER(K:K, H:H=""Tiền mặt""))
"),959000)</f>
        <v>959000</v>
      </c>
      <c r="N738" s="6">
        <f ca="1">IFERROR(__xludf.DUMMYFUNCTION("SUM(FILTER(J:J, H:H=""Chuyển khoản"")) - SUM(FILTER(K:K, H:H=""Chuyển khoản""))
"),4468984)</f>
        <v>4468984</v>
      </c>
      <c r="O738" s="5"/>
      <c r="P738" s="5"/>
      <c r="Q738" s="5"/>
      <c r="R738" s="5"/>
      <c r="S738" s="5"/>
    </row>
    <row r="739" spans="1:19" ht="15.75" customHeight="1" x14ac:dyDescent="0.2">
      <c r="A739" s="3">
        <v>46111</v>
      </c>
      <c r="B739" s="4" t="str">
        <f>IF(A739="","","PC-"&amp;TEXT(A739,"mm/yyyy")&amp;"-"&amp;TEXT(COUNTIFS($A$2:A739,"&gt;="&amp;EOMONTH(A739,-1)+1,$A$2:A739,"&lt;="&amp;EOMONTH(A739,0)),"000"))</f>
        <v>PC-03/2026-014</v>
      </c>
      <c r="C739" s="5" t="s">
        <v>826</v>
      </c>
      <c r="D739" s="5" t="s">
        <v>29</v>
      </c>
      <c r="E739" s="5" t="s">
        <v>44</v>
      </c>
      <c r="F739" s="5"/>
      <c r="G739" s="5" t="s">
        <v>103</v>
      </c>
      <c r="H739" s="5" t="s">
        <v>27</v>
      </c>
      <c r="I739" s="6">
        <v>1500000</v>
      </c>
      <c r="J739" s="6">
        <f>IF(D739="Thu",I739,0)</f>
        <v>0</v>
      </c>
      <c r="K739" s="6">
        <f>IF(D739="Chi",I739,0)</f>
        <v>1500000</v>
      </c>
      <c r="L739" s="6" t="e">
        <f>L738+J739-K739</f>
        <v>#VALUE!</v>
      </c>
      <c r="M739" s="6">
        <f ca="1">IFERROR(__xludf.DUMMYFUNCTION("SUM(FILTER(J:J, H:H=""Tiền mặt"")) - SUM(FILTER(K:K, H:H=""Tiền mặt""))
"),959000)</f>
        <v>959000</v>
      </c>
      <c r="N739" s="6">
        <f ca="1">IFERROR(__xludf.DUMMYFUNCTION("SUM(FILTER(J:J, H:H=""Chuyển khoản"")) - SUM(FILTER(K:K, H:H=""Chuyển khoản""))
"),4468984)</f>
        <v>4468984</v>
      </c>
      <c r="O739" s="5"/>
      <c r="P739" s="5"/>
      <c r="Q739" s="5"/>
      <c r="R739" s="5"/>
      <c r="S739" s="5"/>
    </row>
    <row r="740" spans="1:19" ht="15.75" customHeight="1" x14ac:dyDescent="0.2">
      <c r="A740" s="3">
        <v>46111</v>
      </c>
      <c r="B740" s="4" t="str">
        <f>IF(A740="","","PC-"&amp;TEXT(A740,"mm/yyyy")&amp;"-"&amp;TEXT(COUNTIFS($A$2:A740,"&gt;="&amp;EOMONTH(A740,-1)+1,$A$2:A740,"&lt;="&amp;EOMONTH(A740,0)),"000"))</f>
        <v>PC-03/2026-015</v>
      </c>
      <c r="C740" s="5" t="s">
        <v>827</v>
      </c>
      <c r="D740" s="5" t="s">
        <v>29</v>
      </c>
      <c r="E740" s="5" t="s">
        <v>47</v>
      </c>
      <c r="F740" s="5"/>
      <c r="G740" s="5" t="s">
        <v>48</v>
      </c>
      <c r="H740" s="5" t="s">
        <v>23</v>
      </c>
      <c r="I740" s="6">
        <v>50000</v>
      </c>
      <c r="J740" s="6">
        <f>IF(D740="Thu",I740,0)</f>
        <v>0</v>
      </c>
      <c r="K740" s="6">
        <f>IF(D740="Chi",I740,0)</f>
        <v>50000</v>
      </c>
      <c r="L740" s="6" t="e">
        <f>L739+J740-K740</f>
        <v>#VALUE!</v>
      </c>
      <c r="M740" s="6">
        <f ca="1">IFERROR(__xludf.DUMMYFUNCTION("SUM(FILTER(J:J, H:H=""Tiền mặt"")) - SUM(FILTER(K:K, H:H=""Tiền mặt""))
"),959000)</f>
        <v>959000</v>
      </c>
      <c r="N740" s="6">
        <f ca="1">IFERROR(__xludf.DUMMYFUNCTION("SUM(FILTER(J:J, H:H=""Chuyển khoản"")) - SUM(FILTER(K:K, H:H=""Chuyển khoản""))
"),4468984)</f>
        <v>4468984</v>
      </c>
      <c r="O740" s="5"/>
      <c r="P740" s="5"/>
      <c r="Q740" s="5"/>
      <c r="R740" s="5"/>
      <c r="S740" s="5"/>
    </row>
    <row r="741" spans="1:19" ht="15.75" customHeight="1" x14ac:dyDescent="0.2">
      <c r="A741" s="3">
        <v>46111</v>
      </c>
      <c r="B741" s="4" t="str">
        <f>IF(A741="","","PC-"&amp;TEXT(A741,"mm/yyyy")&amp;"-"&amp;TEXT(COUNTIFS($A$2:A741,"&gt;="&amp;EOMONTH(A741,-1)+1,$A$2:A741,"&lt;="&amp;EOMONTH(A741,0)),"000"))</f>
        <v>PC-03/2026-016</v>
      </c>
      <c r="C741" s="5" t="s">
        <v>657</v>
      </c>
      <c r="D741" s="5" t="s">
        <v>29</v>
      </c>
      <c r="E741" s="5" t="s">
        <v>30</v>
      </c>
      <c r="F741" s="5"/>
      <c r="G741" s="5" t="s">
        <v>282</v>
      </c>
      <c r="H741" s="5" t="s">
        <v>27</v>
      </c>
      <c r="I741" s="6">
        <v>165000</v>
      </c>
      <c r="J741" s="6">
        <f>IF(D741="Thu",I741,0)</f>
        <v>0</v>
      </c>
      <c r="K741" s="6">
        <f>IF(D741="Chi",I741,0)</f>
        <v>165000</v>
      </c>
      <c r="L741" s="6" t="e">
        <f>L740+J741-K741</f>
        <v>#VALUE!</v>
      </c>
      <c r="M741" s="6">
        <f ca="1">IFERROR(__xludf.DUMMYFUNCTION("SUM(FILTER(J:J, H:H=""Tiền mặt"")) - SUM(FILTER(K:K, H:H=""Tiền mặt""))
"),959000)</f>
        <v>959000</v>
      </c>
      <c r="N741" s="6">
        <f ca="1">IFERROR(__xludf.DUMMYFUNCTION("SUM(FILTER(J:J, H:H=""Chuyển khoản"")) - SUM(FILTER(K:K, H:H=""Chuyển khoản""))
"),4468984)</f>
        <v>4468984</v>
      </c>
      <c r="O741" s="5"/>
      <c r="P741" s="5"/>
      <c r="Q741" s="5"/>
      <c r="R741" s="5"/>
      <c r="S741" s="5"/>
    </row>
    <row r="742" spans="1:19" ht="15.75" customHeight="1" x14ac:dyDescent="0.2">
      <c r="A742" s="3">
        <v>46111</v>
      </c>
      <c r="B742" s="4" t="str">
        <f>IF(A742="","","PC-"&amp;TEXT(A742,"mm/yyyy")&amp;"-"&amp;TEXT(COUNTIFS($A$2:A742,"&gt;="&amp;EOMONTH(A742,-1)+1,$A$2:A742,"&lt;="&amp;EOMONTH(A742,0)),"000"))</f>
        <v>PC-03/2026-017</v>
      </c>
      <c r="C742" s="5" t="s">
        <v>828</v>
      </c>
      <c r="D742" s="5" t="s">
        <v>20</v>
      </c>
      <c r="E742" s="5" t="s">
        <v>21</v>
      </c>
      <c r="F742" s="5"/>
      <c r="G742" s="5" t="s">
        <v>22</v>
      </c>
      <c r="H742" s="5" t="s">
        <v>23</v>
      </c>
      <c r="I742" s="6">
        <v>20000000</v>
      </c>
      <c r="J742" s="6">
        <f>IF(D742="Thu",I742,0)</f>
        <v>20000000</v>
      </c>
      <c r="K742" s="6">
        <f>IF(D742="Chi",I742,0)</f>
        <v>0</v>
      </c>
      <c r="L742" s="6" t="e">
        <f>L741+J742-K742</f>
        <v>#VALUE!</v>
      </c>
      <c r="M742" s="6">
        <f ca="1">IFERROR(__xludf.DUMMYFUNCTION("SUM(FILTER(J:J, H:H=""Tiền mặt"")) - SUM(FILTER(K:K, H:H=""Tiền mặt""))
"),959000)</f>
        <v>959000</v>
      </c>
      <c r="N742" s="6">
        <f ca="1">IFERROR(__xludf.DUMMYFUNCTION("SUM(FILTER(J:J, H:H=""Chuyển khoản"")) - SUM(FILTER(K:K, H:H=""Chuyển khoản""))
"),4468984)</f>
        <v>4468984</v>
      </c>
      <c r="O742" s="5"/>
      <c r="P742" s="5"/>
      <c r="Q742" s="5"/>
      <c r="R742" s="5"/>
      <c r="S742" s="5"/>
    </row>
    <row r="743" spans="1:19" ht="15.75" customHeight="1" x14ac:dyDescent="0.2">
      <c r="A743" s="3">
        <v>46111</v>
      </c>
      <c r="B743" s="4" t="str">
        <f>IF(A743="","","PC-"&amp;TEXT(A743,"mm/yyyy")&amp;"-"&amp;TEXT(COUNTIFS($A$2:A743,"&gt;="&amp;EOMONTH(A743,-1)+1,$A$2:A743,"&lt;="&amp;EOMONTH(A743,0)),"000"))</f>
        <v>PC-03/2026-018</v>
      </c>
      <c r="C743" s="5" t="s">
        <v>829</v>
      </c>
      <c r="D743" s="5" t="s">
        <v>29</v>
      </c>
      <c r="E743" s="5" t="s">
        <v>36</v>
      </c>
      <c r="F743" s="5"/>
      <c r="G743" s="5" t="s">
        <v>37</v>
      </c>
      <c r="H743" s="5" t="s">
        <v>27</v>
      </c>
      <c r="I743" s="6">
        <v>109000</v>
      </c>
      <c r="J743" s="6">
        <f>IF(D743="Thu",I743,0)</f>
        <v>0</v>
      </c>
      <c r="K743" s="6">
        <f>IF(D743="Chi",I743,0)</f>
        <v>109000</v>
      </c>
      <c r="L743" s="6" t="e">
        <f>L742+J743-K743</f>
        <v>#VALUE!</v>
      </c>
      <c r="M743" s="6">
        <f ca="1">IFERROR(__xludf.DUMMYFUNCTION("SUM(FILTER(J:J, H:H=""Tiền mặt"")) - SUM(FILTER(K:K, H:H=""Tiền mặt""))
"),959000)</f>
        <v>959000</v>
      </c>
      <c r="N743" s="6">
        <f ca="1">IFERROR(__xludf.DUMMYFUNCTION("SUM(FILTER(J:J, H:H=""Chuyển khoản"")) - SUM(FILTER(K:K, H:H=""Chuyển khoản""))
"),4468984)</f>
        <v>4468984</v>
      </c>
      <c r="O743" s="5"/>
      <c r="P743" s="5"/>
      <c r="Q743" s="5"/>
      <c r="R743" s="5"/>
      <c r="S743" s="5"/>
    </row>
    <row r="744" spans="1:19" ht="15.75" customHeight="1" x14ac:dyDescent="0.2">
      <c r="A744" s="3">
        <v>46111</v>
      </c>
      <c r="B744" s="4" t="str">
        <f>IF(A744="","","PC-"&amp;TEXT(A744,"mm/yyyy")&amp;"-"&amp;TEXT(COUNTIFS($A$2:A744,"&gt;="&amp;EOMONTH(A744,-1)+1,$A$2:A744,"&lt;="&amp;EOMONTH(A744,0)),"000"))</f>
        <v>PC-03/2026-019</v>
      </c>
      <c r="C744" s="5" t="s">
        <v>830</v>
      </c>
      <c r="D744" s="5" t="s">
        <v>29</v>
      </c>
      <c r="E744" s="5" t="s">
        <v>71</v>
      </c>
      <c r="F744" s="5"/>
      <c r="G744" s="5" t="s">
        <v>816</v>
      </c>
      <c r="H744" s="5" t="s">
        <v>27</v>
      </c>
      <c r="I744" s="6">
        <v>48000</v>
      </c>
      <c r="J744" s="6">
        <f>IF(D744="Thu",I744,0)</f>
        <v>0</v>
      </c>
      <c r="K744" s="6">
        <f>IF(D744="Chi",I744,0)</f>
        <v>48000</v>
      </c>
      <c r="L744" s="6" t="e">
        <f>L743+J744-K744</f>
        <v>#VALUE!</v>
      </c>
      <c r="M744" s="6">
        <f ca="1">IFERROR(__xludf.DUMMYFUNCTION("SUM(FILTER(J:J, H:H=""Tiền mặt"")) - SUM(FILTER(K:K, H:H=""Tiền mặt""))
"),959000)</f>
        <v>959000</v>
      </c>
      <c r="N744" s="6">
        <f ca="1">IFERROR(__xludf.DUMMYFUNCTION("SUM(FILTER(J:J, H:H=""Chuyển khoản"")) - SUM(FILTER(K:K, H:H=""Chuyển khoản""))
"),4468984)</f>
        <v>4468984</v>
      </c>
      <c r="O744" s="5"/>
      <c r="P744" s="5"/>
      <c r="Q744" s="5"/>
      <c r="R744" s="5"/>
      <c r="S744" s="5"/>
    </row>
    <row r="745" spans="1:19" ht="15.75" customHeight="1" x14ac:dyDescent="0.2">
      <c r="A745" s="3">
        <v>46111</v>
      </c>
      <c r="B745" s="4" t="str">
        <f>IF(A745="","","PC-"&amp;TEXT(A745,"mm/yyyy")&amp;"-"&amp;TEXT(COUNTIFS($A$2:A745,"&gt;="&amp;EOMONTH(A745,-1)+1,$A$2:A745,"&lt;="&amp;EOMONTH(A745,0)),"000"))</f>
        <v>PC-03/2026-020</v>
      </c>
      <c r="C745" s="5" t="s">
        <v>831</v>
      </c>
      <c r="D745" s="5" t="s">
        <v>29</v>
      </c>
      <c r="E745" s="5" t="s">
        <v>30</v>
      </c>
      <c r="F745" s="5"/>
      <c r="G745" s="5" t="s">
        <v>832</v>
      </c>
      <c r="H745" s="5" t="s">
        <v>27</v>
      </c>
      <c r="I745" s="6">
        <v>1455000</v>
      </c>
      <c r="J745" s="6">
        <f>IF(D745="Thu",I745,0)</f>
        <v>0</v>
      </c>
      <c r="K745" s="6">
        <f>IF(D745="Chi",I745,0)</f>
        <v>1455000</v>
      </c>
      <c r="L745" s="6" t="e">
        <f>L744+J745-K745</f>
        <v>#VALUE!</v>
      </c>
      <c r="M745" s="6">
        <f ca="1">IFERROR(__xludf.DUMMYFUNCTION("SUM(FILTER(J:J, H:H=""Tiền mặt"")) - SUM(FILTER(K:K, H:H=""Tiền mặt""))
"),959000)</f>
        <v>959000</v>
      </c>
      <c r="N745" s="6">
        <f ca="1">IFERROR(__xludf.DUMMYFUNCTION("SUM(FILTER(J:J, H:H=""Chuyển khoản"")) - SUM(FILTER(K:K, H:H=""Chuyển khoản""))
"),4468984)</f>
        <v>4468984</v>
      </c>
      <c r="O745" s="5"/>
      <c r="P745" s="5"/>
      <c r="Q745" s="5"/>
      <c r="R745" s="5"/>
      <c r="S745" s="5"/>
    </row>
    <row r="746" spans="1:19" ht="15.75" customHeight="1" x14ac:dyDescent="0.2">
      <c r="A746" s="3">
        <v>46111</v>
      </c>
      <c r="B746" s="4" t="str">
        <f>IF(A746="","","PC-"&amp;TEXT(A746,"mm/yyyy")&amp;"-"&amp;TEXT(COUNTIFS($A$2:A746,"&gt;="&amp;EOMONTH(A746,-1)+1,$A$2:A746,"&lt;="&amp;EOMONTH(A746,0)),"000"))</f>
        <v>PC-03/2026-021</v>
      </c>
      <c r="C746" s="5" t="s">
        <v>833</v>
      </c>
      <c r="D746" s="5" t="s">
        <v>29</v>
      </c>
      <c r="E746" s="5" t="s">
        <v>71</v>
      </c>
      <c r="F746" s="5"/>
      <c r="G746" s="5" t="s">
        <v>72</v>
      </c>
      <c r="H746" s="5" t="s">
        <v>27</v>
      </c>
      <c r="I746" s="6">
        <v>52000</v>
      </c>
      <c r="J746" s="6">
        <f>IF(D746="Thu",I746,0)</f>
        <v>0</v>
      </c>
      <c r="K746" s="6">
        <f>IF(D746="Chi",I746,0)</f>
        <v>52000</v>
      </c>
      <c r="L746" s="6" t="e">
        <f>L745+J746-K746</f>
        <v>#VALUE!</v>
      </c>
      <c r="M746" s="6">
        <f ca="1">IFERROR(__xludf.DUMMYFUNCTION("SUM(FILTER(J:J, H:H=""Tiền mặt"")) - SUM(FILTER(K:K, H:H=""Tiền mặt""))
"),959000)</f>
        <v>959000</v>
      </c>
      <c r="N746" s="6">
        <f ca="1">IFERROR(__xludf.DUMMYFUNCTION("SUM(FILTER(J:J, H:H=""Chuyển khoản"")) - SUM(FILTER(K:K, H:H=""Chuyển khoản""))
"),4468984)</f>
        <v>4468984</v>
      </c>
      <c r="O746" s="5"/>
      <c r="P746" s="5"/>
      <c r="Q746" s="5"/>
      <c r="R746" s="5"/>
      <c r="S746" s="5"/>
    </row>
    <row r="747" spans="1:19" ht="15.75" customHeight="1" x14ac:dyDescent="0.2">
      <c r="A747" s="3">
        <v>46111</v>
      </c>
      <c r="B747" s="4" t="str">
        <f>IF(A747="","","PC-"&amp;TEXT(A747,"mm/yyyy")&amp;"-"&amp;TEXT(COUNTIFS($A$2:A747,"&gt;="&amp;EOMONTH(A747,-1)+1,$A$2:A747,"&lt;="&amp;EOMONTH(A747,0)),"000"))</f>
        <v>PC-03/2026-022</v>
      </c>
      <c r="C747" s="5" t="s">
        <v>834</v>
      </c>
      <c r="D747" s="5" t="s">
        <v>29</v>
      </c>
      <c r="E747" s="5" t="s">
        <v>71</v>
      </c>
      <c r="F747" s="5"/>
      <c r="G747" s="5" t="s">
        <v>835</v>
      </c>
      <c r="H747" s="5" t="s">
        <v>27</v>
      </c>
      <c r="I747" s="6">
        <v>80000</v>
      </c>
      <c r="J747" s="6">
        <f>IF(D747="Thu",I747,0)</f>
        <v>0</v>
      </c>
      <c r="K747" s="6">
        <f>IF(D747="Chi",I747,0)</f>
        <v>80000</v>
      </c>
      <c r="L747" s="6" t="e">
        <f>L746+J747-K747</f>
        <v>#VALUE!</v>
      </c>
      <c r="M747" s="6">
        <f ca="1">IFERROR(__xludf.DUMMYFUNCTION("SUM(FILTER(J:J, H:H=""Tiền mặt"")) - SUM(FILTER(K:K, H:H=""Tiền mặt""))
"),959000)</f>
        <v>959000</v>
      </c>
      <c r="N747" s="6">
        <f ca="1">IFERROR(__xludf.DUMMYFUNCTION("SUM(FILTER(J:J, H:H=""Chuyển khoản"")) - SUM(FILTER(K:K, H:H=""Chuyển khoản""))
"),4468984)</f>
        <v>4468984</v>
      </c>
      <c r="O747" s="5"/>
      <c r="P747" s="5"/>
      <c r="Q747" s="5"/>
      <c r="R747" s="5"/>
      <c r="S747" s="5"/>
    </row>
    <row r="748" spans="1:19" ht="15.75" customHeight="1" x14ac:dyDescent="0.2">
      <c r="A748" s="3">
        <v>46109</v>
      </c>
      <c r="B748" s="4" t="str">
        <f>IF(A748="","","PC-"&amp;TEXT(A748,"mm/yyyy")&amp;"-"&amp;TEXT(COUNTIFS($A$2:A748,"&gt;="&amp;EOMONTH(A748,-1)+1,$A$2:A748,"&lt;="&amp;EOMONTH(A748,0)),"000"))</f>
        <v>PC-03/2026-023</v>
      </c>
      <c r="C748" s="5" t="s">
        <v>819</v>
      </c>
      <c r="D748" s="5" t="s">
        <v>20</v>
      </c>
      <c r="E748" s="5" t="s">
        <v>21</v>
      </c>
      <c r="F748" s="5"/>
      <c r="G748" s="5" t="s">
        <v>37</v>
      </c>
      <c r="H748" s="5" t="s">
        <v>23</v>
      </c>
      <c r="I748" s="6">
        <v>1500000</v>
      </c>
      <c r="J748" s="6">
        <f>IF(D748="Thu",I748,0)</f>
        <v>1500000</v>
      </c>
      <c r="K748" s="6">
        <f>IF(D748="Chi",I748,0)</f>
        <v>0</v>
      </c>
      <c r="L748" s="6" t="e">
        <f>L747+J748-K748</f>
        <v>#VALUE!</v>
      </c>
      <c r="M748" s="6">
        <f ca="1">IFERROR(__xludf.DUMMYFUNCTION("SUM(FILTER(J:J, H:H=""Tiền mặt"")) - SUM(FILTER(K:K, H:H=""Tiền mặt""))
"),959000)</f>
        <v>959000</v>
      </c>
      <c r="N748" s="6">
        <f ca="1">IFERROR(__xludf.DUMMYFUNCTION("SUM(FILTER(J:J, H:H=""Chuyển khoản"")) - SUM(FILTER(K:K, H:H=""Chuyển khoản""))
"),4468984)</f>
        <v>4468984</v>
      </c>
      <c r="O748" s="5"/>
      <c r="P748" s="5"/>
      <c r="Q748" s="5"/>
      <c r="R748" s="5"/>
      <c r="S748" s="5"/>
    </row>
    <row r="749" spans="1:19" ht="15.75" customHeight="1" x14ac:dyDescent="0.2">
      <c r="A749" s="3">
        <v>46109</v>
      </c>
      <c r="B749" s="4" t="str">
        <f>IF(A749="","","PC-"&amp;TEXT(A749,"mm/yyyy")&amp;"-"&amp;TEXT(COUNTIFS($A$2:A749,"&gt;="&amp;EOMONTH(A749,-1)+1,$A$2:A749,"&lt;="&amp;EOMONTH(A749,0)),"000"))</f>
        <v>PC-03/2026-024</v>
      </c>
      <c r="C749" s="4" t="s">
        <v>820</v>
      </c>
      <c r="D749" s="5" t="s">
        <v>29</v>
      </c>
      <c r="E749" s="5" t="s">
        <v>44</v>
      </c>
      <c r="F749" s="5"/>
      <c r="G749" s="5" t="s">
        <v>99</v>
      </c>
      <c r="H749" s="5" t="s">
        <v>23</v>
      </c>
      <c r="I749" s="6">
        <v>1500000</v>
      </c>
      <c r="J749" s="6">
        <f>IF(D749="Thu",I749,0)</f>
        <v>0</v>
      </c>
      <c r="K749" s="6">
        <f>IF(D749="Chi",I749,0)</f>
        <v>1500000</v>
      </c>
      <c r="L749" s="6" t="e">
        <f>L748+J749-K749</f>
        <v>#VALUE!</v>
      </c>
      <c r="M749" s="6">
        <f ca="1">IFERROR(__xludf.DUMMYFUNCTION("SUM(FILTER(J:J, H:H=""Tiền mặt"")) - SUM(FILTER(K:K, H:H=""Tiền mặt""))
"),959000)</f>
        <v>959000</v>
      </c>
      <c r="N749" s="6">
        <f ca="1">IFERROR(__xludf.DUMMYFUNCTION("SUM(FILTER(J:J, H:H=""Chuyển khoản"")) - SUM(FILTER(K:K, H:H=""Chuyển khoản""))
"),4468984)</f>
        <v>4468984</v>
      </c>
      <c r="O749" s="5"/>
      <c r="P749" s="5"/>
      <c r="Q749" s="5"/>
      <c r="R749" s="5"/>
      <c r="S749" s="5"/>
    </row>
    <row r="750" spans="1:19" ht="15.75" customHeight="1" x14ac:dyDescent="0.2">
      <c r="A750" s="3">
        <v>46109</v>
      </c>
      <c r="B750" s="4" t="str">
        <f>IF(A750="","","PC-"&amp;TEXT(A750,"mm/yyyy")&amp;"-"&amp;TEXT(COUNTIFS($A$2:A750,"&gt;="&amp;EOMONTH(A750,-1)+1,$A$2:A750,"&lt;="&amp;EOMONTH(A750,0)),"000"))</f>
        <v>PC-03/2026-025</v>
      </c>
      <c r="C750" s="5" t="s">
        <v>821</v>
      </c>
      <c r="D750" s="5" t="s">
        <v>29</v>
      </c>
      <c r="E750" s="5" t="s">
        <v>41</v>
      </c>
      <c r="F750" s="5"/>
      <c r="G750" s="5" t="s">
        <v>192</v>
      </c>
      <c r="H750" s="5" t="s">
        <v>23</v>
      </c>
      <c r="I750" s="6">
        <v>100000</v>
      </c>
      <c r="J750" s="6">
        <f>IF(D750="Thu",I750,0)</f>
        <v>0</v>
      </c>
      <c r="K750" s="6">
        <f>IF(D750="Chi",I750,0)</f>
        <v>100000</v>
      </c>
      <c r="L750" s="6" t="e">
        <f>L749+J750-K750</f>
        <v>#VALUE!</v>
      </c>
      <c r="M750" s="6">
        <f ca="1">IFERROR(__xludf.DUMMYFUNCTION("SUM(FILTER(J:J, H:H=""Tiền mặt"")) - SUM(FILTER(K:K, H:H=""Tiền mặt""))
"),959000)</f>
        <v>959000</v>
      </c>
      <c r="N750" s="6">
        <f ca="1">IFERROR(__xludf.DUMMYFUNCTION("SUM(FILTER(J:J, H:H=""Chuyển khoản"")) - SUM(FILTER(K:K, H:H=""Chuyển khoản""))
"),4468984)</f>
        <v>4468984</v>
      </c>
      <c r="O750" s="5"/>
      <c r="P750" s="5"/>
      <c r="Q750" s="5"/>
      <c r="R750" s="5"/>
      <c r="S750" s="5"/>
    </row>
    <row r="751" spans="1:19" ht="15.75" customHeight="1" x14ac:dyDescent="0.2">
      <c r="A751" s="3">
        <v>46109</v>
      </c>
      <c r="B751" s="4" t="str">
        <f>IF(A751="","","PC-"&amp;TEXT(A751,"mm/yyyy")&amp;"-"&amp;TEXT(COUNTIFS($A$2:A751,"&gt;="&amp;EOMONTH(A751,-1)+1,$A$2:A751,"&lt;="&amp;EOMONTH(A751,0)),"000"))</f>
        <v>PC-03/2026-026</v>
      </c>
      <c r="C751" s="5" t="s">
        <v>822</v>
      </c>
      <c r="D751" s="5" t="s">
        <v>29</v>
      </c>
      <c r="E751" s="5" t="s">
        <v>71</v>
      </c>
      <c r="F751" s="5"/>
      <c r="G751" s="5" t="s">
        <v>241</v>
      </c>
      <c r="H751" s="5" t="s">
        <v>27</v>
      </c>
      <c r="I751" s="6">
        <v>94000</v>
      </c>
      <c r="J751" s="6">
        <f>IF(D751="Thu",I751,0)</f>
        <v>0</v>
      </c>
      <c r="K751" s="6">
        <f>IF(D751="Chi",I751,0)</f>
        <v>94000</v>
      </c>
      <c r="L751" s="6" t="e">
        <f>L750+J751-K751</f>
        <v>#VALUE!</v>
      </c>
      <c r="M751" s="6">
        <f ca="1">IFERROR(__xludf.DUMMYFUNCTION("SUM(FILTER(J:J, H:H=""Tiền mặt"")) - SUM(FILTER(K:K, H:H=""Tiền mặt""))
"),959000)</f>
        <v>959000</v>
      </c>
      <c r="N751" s="6">
        <f ca="1">IFERROR(__xludf.DUMMYFUNCTION("SUM(FILTER(J:J, H:H=""Chuyển khoản"")) - SUM(FILTER(K:K, H:H=""Chuyển khoản""))
"),4468984)</f>
        <v>4468984</v>
      </c>
      <c r="O751" s="5"/>
      <c r="P751" s="5"/>
      <c r="Q751" s="5"/>
      <c r="R751" s="5"/>
      <c r="S751" s="5"/>
    </row>
    <row r="752" spans="1:19" ht="15.75" customHeight="1" x14ac:dyDescent="0.2">
      <c r="A752" s="3">
        <v>46109</v>
      </c>
      <c r="B752" s="4" t="str">
        <f>IF(A752="","","PC-"&amp;TEXT(A752,"mm/yyyy")&amp;"-"&amp;TEXT(COUNTIFS($A$2:A752,"&gt;="&amp;EOMONTH(A752,-1)+1,$A$2:A752,"&lt;="&amp;EOMONTH(A752,0)),"000"))</f>
        <v>PC-03/2026-027</v>
      </c>
      <c r="C752" s="5" t="s">
        <v>168</v>
      </c>
      <c r="D752" s="5" t="s">
        <v>29</v>
      </c>
      <c r="E752" s="5" t="s">
        <v>153</v>
      </c>
      <c r="F752" s="5"/>
      <c r="G752" s="5" t="s">
        <v>72</v>
      </c>
      <c r="H752" s="5" t="s">
        <v>27</v>
      </c>
      <c r="I752" s="6">
        <v>319000</v>
      </c>
      <c r="J752" s="6">
        <f>IF(D752="Thu",I752,0)</f>
        <v>0</v>
      </c>
      <c r="K752" s="6">
        <f>IF(D752="Chi",I752,0)</f>
        <v>319000</v>
      </c>
      <c r="L752" s="6" t="e">
        <f>L751+J752-K752</f>
        <v>#VALUE!</v>
      </c>
      <c r="M752" s="6">
        <f ca="1">IFERROR(__xludf.DUMMYFUNCTION("SUM(FILTER(J:J, H:H=""Tiền mặt"")) - SUM(FILTER(K:K, H:H=""Tiền mặt""))
"),959000)</f>
        <v>959000</v>
      </c>
      <c r="N752" s="6">
        <f ca="1">IFERROR(__xludf.DUMMYFUNCTION("SUM(FILTER(J:J, H:H=""Chuyển khoản"")) - SUM(FILTER(K:K, H:H=""Chuyển khoản""))
"),4468984)</f>
        <v>4468984</v>
      </c>
      <c r="O752" s="5"/>
      <c r="P752" s="5"/>
      <c r="Q752" s="5"/>
      <c r="R752" s="5"/>
      <c r="S752" s="5"/>
    </row>
    <row r="753" spans="1:19" ht="15.75" customHeight="1" x14ac:dyDescent="0.2">
      <c r="A753" s="3">
        <v>46109</v>
      </c>
      <c r="B753" s="4" t="str">
        <f>IF(A753="","","PC-"&amp;TEXT(A753,"mm/yyyy")&amp;"-"&amp;TEXT(COUNTIFS($A$2:A753,"&gt;="&amp;EOMONTH(A753,-1)+1,$A$2:A753,"&lt;="&amp;EOMONTH(A753,0)),"000"))</f>
        <v>PC-03/2026-028</v>
      </c>
      <c r="C753" s="5" t="s">
        <v>823</v>
      </c>
      <c r="D753" s="5" t="s">
        <v>29</v>
      </c>
      <c r="E753" s="5" t="s">
        <v>36</v>
      </c>
      <c r="F753" s="5"/>
      <c r="G753" s="5" t="s">
        <v>37</v>
      </c>
      <c r="H753" s="5" t="s">
        <v>23</v>
      </c>
      <c r="I753" s="6">
        <v>30000</v>
      </c>
      <c r="J753" s="6">
        <f>IF(D753="Thu",I753,0)</f>
        <v>0</v>
      </c>
      <c r="K753" s="6">
        <f>IF(D753="Chi",I753,0)</f>
        <v>30000</v>
      </c>
      <c r="L753" s="6" t="e">
        <f>L752+J753-K753</f>
        <v>#VALUE!</v>
      </c>
      <c r="M753" s="6">
        <f ca="1">IFERROR(__xludf.DUMMYFUNCTION("SUM(FILTER(J:J, H:H=""Tiền mặt"")) - SUM(FILTER(K:K, H:H=""Tiền mặt""))
"),959000)</f>
        <v>959000</v>
      </c>
      <c r="N753" s="6">
        <f ca="1">IFERROR(__xludf.DUMMYFUNCTION("SUM(FILTER(J:J, H:H=""Chuyển khoản"")) - SUM(FILTER(K:K, H:H=""Chuyển khoản""))
"),4468984)</f>
        <v>4468984</v>
      </c>
      <c r="O753" s="5"/>
      <c r="P753" s="5"/>
      <c r="Q753" s="5"/>
      <c r="R753" s="5"/>
      <c r="S753" s="5"/>
    </row>
    <row r="754" spans="1:19" ht="15.75" customHeight="1" x14ac:dyDescent="0.2">
      <c r="A754" s="3">
        <v>46109</v>
      </c>
      <c r="B754" s="4" t="str">
        <f>IF(A754="","","PC-"&amp;TEXT(A754,"mm/yyyy")&amp;"-"&amp;TEXT(COUNTIFS($A$2:A754,"&gt;="&amp;EOMONTH(A754,-1)+1,$A$2:A754,"&lt;="&amp;EOMONTH(A754,0)),"000"))</f>
        <v>PC-03/2026-029</v>
      </c>
      <c r="C754" s="5" t="s">
        <v>824</v>
      </c>
      <c r="D754" s="5" t="s">
        <v>29</v>
      </c>
      <c r="E754" s="5" t="s">
        <v>36</v>
      </c>
      <c r="F754" s="5"/>
      <c r="G754" s="5" t="s">
        <v>72</v>
      </c>
      <c r="H754" s="5" t="s">
        <v>27</v>
      </c>
      <c r="I754" s="6">
        <v>91000</v>
      </c>
      <c r="J754" s="6">
        <f>IF(D754="Thu",I754,0)</f>
        <v>0</v>
      </c>
      <c r="K754" s="6">
        <f>IF(D754="Chi",I754,0)</f>
        <v>91000</v>
      </c>
      <c r="L754" s="6" t="e">
        <f>L753+J754-K754</f>
        <v>#VALUE!</v>
      </c>
      <c r="M754" s="6">
        <f ca="1">IFERROR(__xludf.DUMMYFUNCTION("SUM(FILTER(J:J, H:H=""Tiền mặt"")) - SUM(FILTER(K:K, H:H=""Tiền mặt""))
"),959000)</f>
        <v>959000</v>
      </c>
      <c r="N754" s="6">
        <f ca="1">IFERROR(__xludf.DUMMYFUNCTION("SUM(FILTER(J:J, H:H=""Chuyển khoản"")) - SUM(FILTER(K:K, H:H=""Chuyển khoản""))
"),4468984)</f>
        <v>4468984</v>
      </c>
      <c r="O754" s="5"/>
      <c r="P754" s="5"/>
      <c r="Q754" s="5"/>
      <c r="R754" s="5"/>
      <c r="S754" s="5"/>
    </row>
    <row r="755" spans="1:19" ht="15.75" customHeight="1" x14ac:dyDescent="0.2">
      <c r="A755" s="3">
        <v>46108</v>
      </c>
      <c r="B755" s="4" t="str">
        <f>IF(A755="","","PC-"&amp;TEXT(A755,"mm/yyyy")&amp;"-"&amp;TEXT(COUNTIFS($A$2:A755,"&gt;="&amp;EOMONTH(A755,-1)+1,$A$2:A755,"&lt;="&amp;EOMONTH(A755,0)),"000"))</f>
        <v>PC-03/2026-030</v>
      </c>
      <c r="C755" s="5" t="s">
        <v>751</v>
      </c>
      <c r="D755" s="5" t="s">
        <v>29</v>
      </c>
      <c r="E755" s="5" t="s">
        <v>88</v>
      </c>
      <c r="F755" s="5"/>
      <c r="G755" s="5" t="s">
        <v>790</v>
      </c>
      <c r="H755" s="5" t="s">
        <v>23</v>
      </c>
      <c r="I755" s="6">
        <v>2000000</v>
      </c>
      <c r="J755" s="6">
        <f>IF(D755="Thu",I755,0)</f>
        <v>0</v>
      </c>
      <c r="K755" s="6">
        <f>IF(D755="Chi",I755,0)</f>
        <v>2000000</v>
      </c>
      <c r="L755" s="6" t="e">
        <f>L754+J755-K755</f>
        <v>#VALUE!</v>
      </c>
      <c r="M755" s="6">
        <f ca="1">IFERROR(__xludf.DUMMYFUNCTION("SUM(FILTER(J:J, H:H=""Tiền mặt"")) - SUM(FILTER(K:K, H:H=""Tiền mặt""))
"),959000)</f>
        <v>959000</v>
      </c>
      <c r="N755" s="6">
        <f ca="1">IFERROR(__xludf.DUMMYFUNCTION("SUM(FILTER(J:J, H:H=""Chuyển khoản"")) - SUM(FILTER(K:K, H:H=""Chuyển khoản""))
"),4468984)</f>
        <v>4468984</v>
      </c>
      <c r="O755" s="5"/>
      <c r="P755" s="5"/>
      <c r="Q755" s="5"/>
      <c r="R755" s="5"/>
      <c r="S755" s="5"/>
    </row>
    <row r="756" spans="1:19" ht="15.75" customHeight="1" x14ac:dyDescent="0.2">
      <c r="A756" s="3">
        <v>46108</v>
      </c>
      <c r="B756" s="4" t="str">
        <f>IF(A756="","","PC-"&amp;TEXT(A756,"mm/yyyy")&amp;"-"&amp;TEXT(COUNTIFS($A$2:A756,"&gt;="&amp;EOMONTH(A756,-1)+1,$A$2:A756,"&lt;="&amp;EOMONTH(A756,0)),"000"))</f>
        <v>PC-03/2026-031</v>
      </c>
      <c r="C756" s="7" t="s">
        <v>808</v>
      </c>
      <c r="D756" s="5" t="s">
        <v>29</v>
      </c>
      <c r="E756" s="5" t="s">
        <v>71</v>
      </c>
      <c r="F756" s="5"/>
      <c r="G756" s="5" t="s">
        <v>678</v>
      </c>
      <c r="H756" s="5" t="s">
        <v>27</v>
      </c>
      <c r="I756" s="6">
        <v>67000</v>
      </c>
      <c r="J756" s="6">
        <f>IF(D756="Thu",I756,0)</f>
        <v>0</v>
      </c>
      <c r="K756" s="6">
        <f>IF(D756="Chi",I756,0)</f>
        <v>67000</v>
      </c>
      <c r="L756" s="6" t="e">
        <f>L755+J756-K756</f>
        <v>#VALUE!</v>
      </c>
      <c r="M756" s="6">
        <f ca="1">IFERROR(__xludf.DUMMYFUNCTION("SUM(FILTER(J:J, H:H=""Tiền mặt"")) - SUM(FILTER(K:K, H:H=""Tiền mặt""))
"),959000)</f>
        <v>959000</v>
      </c>
      <c r="N756" s="6">
        <f ca="1">IFERROR(__xludf.DUMMYFUNCTION("SUM(FILTER(J:J, H:H=""Chuyển khoản"")) - SUM(FILTER(K:K, H:H=""Chuyển khoản""))
"),4468984)</f>
        <v>4468984</v>
      </c>
      <c r="O756" s="5"/>
      <c r="P756" s="5"/>
      <c r="Q756" s="5"/>
      <c r="R756" s="5"/>
      <c r="S756" s="5"/>
    </row>
    <row r="757" spans="1:19" ht="15.75" customHeight="1" x14ac:dyDescent="0.2">
      <c r="A757" s="3">
        <v>46108</v>
      </c>
      <c r="B757" s="4" t="str">
        <f>IF(A757="","","PC-"&amp;TEXT(A757,"mm/yyyy")&amp;"-"&amp;TEXT(COUNTIFS($A$2:A757,"&gt;="&amp;EOMONTH(A757,-1)+1,$A$2:A757,"&lt;="&amp;EOMONTH(A757,0)),"000"))</f>
        <v>PC-03/2026-032</v>
      </c>
      <c r="C757" s="5" t="s">
        <v>809</v>
      </c>
      <c r="D757" s="5" t="s">
        <v>29</v>
      </c>
      <c r="E757" s="5" t="s">
        <v>41</v>
      </c>
      <c r="F757" s="5"/>
      <c r="G757" s="5" t="s">
        <v>192</v>
      </c>
      <c r="H757" s="5" t="s">
        <v>23</v>
      </c>
      <c r="I757" s="6">
        <v>100000</v>
      </c>
      <c r="J757" s="6">
        <f>IF(D757="Thu",I757,0)</f>
        <v>0</v>
      </c>
      <c r="K757" s="6">
        <f>IF(D757="Chi",I757,0)</f>
        <v>100000</v>
      </c>
      <c r="L757" s="6" t="e">
        <f>L756+J757-K757</f>
        <v>#VALUE!</v>
      </c>
      <c r="M757" s="6">
        <f ca="1">IFERROR(__xludf.DUMMYFUNCTION("SUM(FILTER(J:J, H:H=""Tiền mặt"")) - SUM(FILTER(K:K, H:H=""Tiền mặt""))
"),959000)</f>
        <v>959000</v>
      </c>
      <c r="N757" s="6">
        <f ca="1">IFERROR(__xludf.DUMMYFUNCTION("SUM(FILTER(J:J, H:H=""Chuyển khoản"")) - SUM(FILTER(K:K, H:H=""Chuyển khoản""))
"),4468984)</f>
        <v>4468984</v>
      </c>
      <c r="O757" s="5"/>
      <c r="P757" s="5"/>
      <c r="Q757" s="5"/>
      <c r="R757" s="5"/>
      <c r="S757" s="5"/>
    </row>
    <row r="758" spans="1:19" ht="15.75" customHeight="1" x14ac:dyDescent="0.2">
      <c r="A758" s="3">
        <v>46108</v>
      </c>
      <c r="B758" s="4" t="str">
        <f>IF(A758="","","PC-"&amp;TEXT(A758,"mm/yyyy")&amp;"-"&amp;TEXT(COUNTIFS($A$2:A758,"&gt;="&amp;EOMONTH(A758,-1)+1,$A$2:A758,"&lt;="&amp;EOMONTH(A758,0)),"000"))</f>
        <v>PC-03/2026-033</v>
      </c>
      <c r="C758" s="5" t="s">
        <v>810</v>
      </c>
      <c r="D758" s="5" t="s">
        <v>29</v>
      </c>
      <c r="E758" s="5" t="s">
        <v>51</v>
      </c>
      <c r="F758" s="5"/>
      <c r="G758" s="5" t="s">
        <v>52</v>
      </c>
      <c r="H758" s="5" t="s">
        <v>27</v>
      </c>
      <c r="I758" s="6">
        <v>201301</v>
      </c>
      <c r="J758" s="6">
        <f>IF(D758="Thu",I758,0)</f>
        <v>0</v>
      </c>
      <c r="K758" s="6">
        <f>IF(D758="Chi",I758,0)</f>
        <v>201301</v>
      </c>
      <c r="L758" s="6" t="e">
        <f>L757+J758-K758</f>
        <v>#VALUE!</v>
      </c>
      <c r="M758" s="6">
        <f ca="1">IFERROR(__xludf.DUMMYFUNCTION("SUM(FILTER(J:J, H:H=""Tiền mặt"")) - SUM(FILTER(K:K, H:H=""Tiền mặt""))
"),959000)</f>
        <v>959000</v>
      </c>
      <c r="N758" s="6">
        <f ca="1">IFERROR(__xludf.DUMMYFUNCTION("SUM(FILTER(J:J, H:H=""Chuyển khoản"")) - SUM(FILTER(K:K, H:H=""Chuyển khoản""))
"),4468984)</f>
        <v>4468984</v>
      </c>
      <c r="O758" s="5"/>
      <c r="P758" s="5"/>
      <c r="Q758" s="5"/>
      <c r="R758" s="5"/>
      <c r="S758" s="5"/>
    </row>
    <row r="759" spans="1:19" ht="15.75" customHeight="1" x14ac:dyDescent="0.2">
      <c r="A759" s="3">
        <v>46108</v>
      </c>
      <c r="B759" s="4" t="str">
        <f>IF(A759="","","PC-"&amp;TEXT(A759,"mm/yyyy")&amp;"-"&amp;TEXT(COUNTIFS($A$2:A759,"&gt;="&amp;EOMONTH(A759,-1)+1,$A$2:A759,"&lt;="&amp;EOMONTH(A759,0)),"000"))</f>
        <v>PC-03/2026-034</v>
      </c>
      <c r="C759" s="7" t="s">
        <v>811</v>
      </c>
      <c r="D759" s="5" t="s">
        <v>29</v>
      </c>
      <c r="E759" s="5" t="s">
        <v>71</v>
      </c>
      <c r="F759" s="5"/>
      <c r="G759" s="5" t="s">
        <v>804</v>
      </c>
      <c r="H759" s="5" t="s">
        <v>27</v>
      </c>
      <c r="I759" s="6">
        <v>63000</v>
      </c>
      <c r="J759" s="6">
        <f>IF(D759="Thu",I759,0)</f>
        <v>0</v>
      </c>
      <c r="K759" s="6">
        <f>IF(D759="Chi",I759,0)</f>
        <v>63000</v>
      </c>
      <c r="L759" s="6" t="e">
        <f>L758+J759-K759</f>
        <v>#VALUE!</v>
      </c>
      <c r="M759" s="6">
        <f ca="1">IFERROR(__xludf.DUMMYFUNCTION("SUM(FILTER(J:J, H:H=""Tiền mặt"")) - SUM(FILTER(K:K, H:H=""Tiền mặt""))
"),959000)</f>
        <v>959000</v>
      </c>
      <c r="N759" s="6">
        <f ca="1">IFERROR(__xludf.DUMMYFUNCTION("SUM(FILTER(J:J, H:H=""Chuyển khoản"")) - SUM(FILTER(K:K, H:H=""Chuyển khoản""))
"),4468984)</f>
        <v>4468984</v>
      </c>
      <c r="O759" s="5"/>
      <c r="P759" s="5"/>
      <c r="Q759" s="5"/>
      <c r="R759" s="5"/>
      <c r="S759" s="5"/>
    </row>
    <row r="760" spans="1:19" ht="15.75" customHeight="1" x14ac:dyDescent="0.2">
      <c r="A760" s="3">
        <v>46108</v>
      </c>
      <c r="B760" s="4" t="str">
        <f>IF(A760="","","PC-"&amp;TEXT(A760,"mm/yyyy")&amp;"-"&amp;TEXT(COUNTIFS($A$2:A760,"&gt;="&amp;EOMONTH(A760,-1)+1,$A$2:A760,"&lt;="&amp;EOMONTH(A760,0)),"000"))</f>
        <v>PC-03/2026-035</v>
      </c>
      <c r="C760" s="7" t="s">
        <v>812</v>
      </c>
      <c r="D760" s="5" t="s">
        <v>29</v>
      </c>
      <c r="E760" s="5" t="s">
        <v>71</v>
      </c>
      <c r="F760" s="5"/>
      <c r="G760" s="5" t="s">
        <v>219</v>
      </c>
      <c r="H760" s="5" t="s">
        <v>27</v>
      </c>
      <c r="I760" s="6">
        <v>79000</v>
      </c>
      <c r="J760" s="6">
        <f>IF(D760="Thu",I760,0)</f>
        <v>0</v>
      </c>
      <c r="K760" s="6">
        <f>IF(D760="Chi",I760,0)</f>
        <v>79000</v>
      </c>
      <c r="L760" s="6" t="e">
        <f>L759+J760-K760</f>
        <v>#VALUE!</v>
      </c>
      <c r="M760" s="6">
        <f ca="1">IFERROR(__xludf.DUMMYFUNCTION("SUM(FILTER(J:J, H:H=""Tiền mặt"")) - SUM(FILTER(K:K, H:H=""Tiền mặt""))
"),959000)</f>
        <v>959000</v>
      </c>
      <c r="N760" s="6">
        <f ca="1">IFERROR(__xludf.DUMMYFUNCTION("SUM(FILTER(J:J, H:H=""Chuyển khoản"")) - SUM(FILTER(K:K, H:H=""Chuyển khoản""))
"),4468984)</f>
        <v>4468984</v>
      </c>
      <c r="O760" s="5"/>
      <c r="P760" s="5"/>
      <c r="Q760" s="5"/>
      <c r="R760" s="5"/>
      <c r="S760" s="5"/>
    </row>
    <row r="761" spans="1:19" ht="15.75" customHeight="1" x14ac:dyDescent="0.2">
      <c r="A761" s="3">
        <v>46108</v>
      </c>
      <c r="B761" s="4" t="str">
        <f>IF(A761="","","PC-"&amp;TEXT(A761,"mm/yyyy")&amp;"-"&amp;TEXT(COUNTIFS($A$2:A761,"&gt;="&amp;EOMONTH(A761,-1)+1,$A$2:A761,"&lt;="&amp;EOMONTH(A761,0)),"000"))</f>
        <v>PC-03/2026-036</v>
      </c>
      <c r="C761" s="7" t="s">
        <v>813</v>
      </c>
      <c r="D761" s="5" t="s">
        <v>29</v>
      </c>
      <c r="E761" s="5" t="s">
        <v>41</v>
      </c>
      <c r="F761" s="5"/>
      <c r="G761" s="5" t="s">
        <v>82</v>
      </c>
      <c r="H761" s="5" t="s">
        <v>23</v>
      </c>
      <c r="I761" s="6">
        <v>100000</v>
      </c>
      <c r="J761" s="6">
        <f>IF(D761="Thu",I761,0)</f>
        <v>0</v>
      </c>
      <c r="K761" s="6">
        <f>IF(D761="Chi",I761,0)</f>
        <v>100000</v>
      </c>
      <c r="L761" s="6" t="e">
        <f>L760+J761-K761</f>
        <v>#VALUE!</v>
      </c>
      <c r="M761" s="6">
        <f ca="1">IFERROR(__xludf.DUMMYFUNCTION("SUM(FILTER(J:J, H:H=""Tiền mặt"")) - SUM(FILTER(K:K, H:H=""Tiền mặt""))
"),959000)</f>
        <v>959000</v>
      </c>
      <c r="N761" s="6">
        <f ca="1">IFERROR(__xludf.DUMMYFUNCTION("SUM(FILTER(J:J, H:H=""Chuyển khoản"")) - SUM(FILTER(K:K, H:H=""Chuyển khoản""))
"),4468984)</f>
        <v>4468984</v>
      </c>
      <c r="O761" s="5"/>
      <c r="P761" s="5"/>
      <c r="Q761" s="5"/>
      <c r="R761" s="5"/>
      <c r="S761" s="5"/>
    </row>
    <row r="762" spans="1:19" ht="15.75" customHeight="1" x14ac:dyDescent="0.2">
      <c r="A762" s="3">
        <v>46108</v>
      </c>
      <c r="B762" s="4" t="str">
        <f>IF(A762="","","PC-"&amp;TEXT(A762,"mm/yyyy")&amp;"-"&amp;TEXT(COUNTIFS($A$2:A762,"&gt;="&amp;EOMONTH(A762,-1)+1,$A$2:A762,"&lt;="&amp;EOMONTH(A762,0)),"000"))</f>
        <v>PC-03/2026-037</v>
      </c>
      <c r="C762" s="7" t="s">
        <v>528</v>
      </c>
      <c r="D762" s="5" t="s">
        <v>29</v>
      </c>
      <c r="E762" s="5" t="s">
        <v>36</v>
      </c>
      <c r="F762" s="5"/>
      <c r="G762" s="5" t="s">
        <v>37</v>
      </c>
      <c r="H762" s="5" t="s">
        <v>23</v>
      </c>
      <c r="I762" s="6">
        <v>140000</v>
      </c>
      <c r="J762" s="6">
        <f>IF(D762="Thu",I762,0)</f>
        <v>0</v>
      </c>
      <c r="K762" s="6">
        <f>IF(D762="Chi",I762,0)</f>
        <v>140000</v>
      </c>
      <c r="L762" s="6" t="e">
        <f>L761+J762-K762</f>
        <v>#VALUE!</v>
      </c>
      <c r="M762" s="6">
        <f ca="1">IFERROR(__xludf.DUMMYFUNCTION("SUM(FILTER(J:J, H:H=""Tiền mặt"")) - SUM(FILTER(K:K, H:H=""Tiền mặt""))
"),959000)</f>
        <v>959000</v>
      </c>
      <c r="N762" s="6">
        <f ca="1">IFERROR(__xludf.DUMMYFUNCTION("SUM(FILTER(J:J, H:H=""Chuyển khoản"")) - SUM(FILTER(K:K, H:H=""Chuyển khoản""))
"),4468984)</f>
        <v>4468984</v>
      </c>
      <c r="O762" s="5"/>
      <c r="P762" s="5"/>
      <c r="Q762" s="5"/>
      <c r="R762" s="5"/>
      <c r="S762" s="5"/>
    </row>
    <row r="763" spans="1:19" ht="15.75" customHeight="1" x14ac:dyDescent="0.2">
      <c r="A763" s="3">
        <v>46108</v>
      </c>
      <c r="B763" s="4" t="str">
        <f>IF(A763="","","PC-"&amp;TEXT(A763,"mm/yyyy")&amp;"-"&amp;TEXT(COUNTIFS($A$2:A763,"&gt;="&amp;EOMONTH(A763,-1)+1,$A$2:A763,"&lt;="&amp;EOMONTH(A763,0)),"000"))</f>
        <v>PC-03/2026-038</v>
      </c>
      <c r="C763" s="5" t="s">
        <v>814</v>
      </c>
      <c r="D763" s="5" t="s">
        <v>29</v>
      </c>
      <c r="E763" s="5" t="s">
        <v>41</v>
      </c>
      <c r="F763" s="5"/>
      <c r="G763" s="5" t="s">
        <v>192</v>
      </c>
      <c r="H763" s="5" t="s">
        <v>23</v>
      </c>
      <c r="I763" s="6">
        <v>100000</v>
      </c>
      <c r="J763" s="6">
        <f>IF(D763="Thu",I763,0)</f>
        <v>0</v>
      </c>
      <c r="K763" s="6">
        <f>IF(D763="Chi",I763,0)</f>
        <v>100000</v>
      </c>
      <c r="L763" s="6" t="e">
        <f>L762+J763-K763</f>
        <v>#VALUE!</v>
      </c>
      <c r="M763" s="6">
        <f ca="1">IFERROR(__xludf.DUMMYFUNCTION("SUM(FILTER(J:J, H:H=""Tiền mặt"")) - SUM(FILTER(K:K, H:H=""Tiền mặt""))
"),959000)</f>
        <v>959000</v>
      </c>
      <c r="N763" s="6">
        <f ca="1">IFERROR(__xludf.DUMMYFUNCTION("SUM(FILTER(J:J, H:H=""Chuyển khoản"")) - SUM(FILTER(K:K, H:H=""Chuyển khoản""))
"),4468984)</f>
        <v>4468984</v>
      </c>
      <c r="O763" s="5"/>
      <c r="P763" s="5"/>
      <c r="Q763" s="5"/>
      <c r="R763" s="5"/>
      <c r="S763" s="5"/>
    </row>
    <row r="764" spans="1:19" ht="15.75" customHeight="1" x14ac:dyDescent="0.2">
      <c r="A764" s="3">
        <v>46108</v>
      </c>
      <c r="B764" s="4" t="str">
        <f>IF(A764="","","PC-"&amp;TEXT(A764,"mm/yyyy")&amp;"-"&amp;TEXT(COUNTIFS($A$2:A764,"&gt;="&amp;EOMONTH(A764,-1)+1,$A$2:A764,"&lt;="&amp;EOMONTH(A764,0)),"000"))</f>
        <v>PC-03/2026-039</v>
      </c>
      <c r="C764" s="5" t="s">
        <v>815</v>
      </c>
      <c r="D764" s="5" t="s">
        <v>29</v>
      </c>
      <c r="E764" s="5" t="s">
        <v>71</v>
      </c>
      <c r="F764" s="5"/>
      <c r="G764" s="5" t="s">
        <v>816</v>
      </c>
      <c r="H764" s="5" t="s">
        <v>27</v>
      </c>
      <c r="I764" s="6">
        <v>48000</v>
      </c>
      <c r="J764" s="6">
        <f>IF(D764="Thu",I764,0)</f>
        <v>0</v>
      </c>
      <c r="K764" s="6">
        <f>IF(D764="Chi",I764,0)</f>
        <v>48000</v>
      </c>
      <c r="L764" s="6" t="e">
        <f>L763+J764-K764</f>
        <v>#VALUE!</v>
      </c>
      <c r="M764" s="6">
        <f ca="1">IFERROR(__xludf.DUMMYFUNCTION("SUM(FILTER(J:J, H:H=""Tiền mặt"")) - SUM(FILTER(K:K, H:H=""Tiền mặt""))
"),959000)</f>
        <v>959000</v>
      </c>
      <c r="N764" s="6">
        <f ca="1">IFERROR(__xludf.DUMMYFUNCTION("SUM(FILTER(J:J, H:H=""Chuyển khoản"")) - SUM(FILTER(K:K, H:H=""Chuyển khoản""))
"),4468984)</f>
        <v>4468984</v>
      </c>
      <c r="O764" s="5"/>
      <c r="P764" s="5"/>
      <c r="Q764" s="5"/>
      <c r="R764" s="5"/>
      <c r="S764" s="5"/>
    </row>
    <row r="765" spans="1:19" ht="15.75" customHeight="1" x14ac:dyDescent="0.2">
      <c r="A765" s="3">
        <v>46108</v>
      </c>
      <c r="B765" s="4" t="str">
        <f>IF(A765="","","PC-"&amp;TEXT(A765,"mm/yyyy")&amp;"-"&amp;TEXT(COUNTIFS($A$2:A765,"&gt;="&amp;EOMONTH(A765,-1)+1,$A$2:A765,"&lt;="&amp;EOMONTH(A765,0)),"000"))</f>
        <v>PC-03/2026-040</v>
      </c>
      <c r="C765" s="5" t="s">
        <v>817</v>
      </c>
      <c r="D765" s="5" t="s">
        <v>29</v>
      </c>
      <c r="E765" s="5" t="s">
        <v>41</v>
      </c>
      <c r="F765" s="5"/>
      <c r="G765" s="5" t="s">
        <v>82</v>
      </c>
      <c r="H765" s="5" t="s">
        <v>23</v>
      </c>
      <c r="I765" s="6">
        <v>200000</v>
      </c>
      <c r="J765" s="6">
        <f>IF(D765="Thu",I765,0)</f>
        <v>0</v>
      </c>
      <c r="K765" s="6">
        <f>IF(D765="Chi",I765,0)</f>
        <v>200000</v>
      </c>
      <c r="L765" s="6" t="e">
        <f>L764+J765-K765</f>
        <v>#VALUE!</v>
      </c>
      <c r="M765" s="6">
        <f ca="1">IFERROR(__xludf.DUMMYFUNCTION("SUM(FILTER(J:J, H:H=""Tiền mặt"")) - SUM(FILTER(K:K, H:H=""Tiền mặt""))
"),959000)</f>
        <v>959000</v>
      </c>
      <c r="N765" s="6">
        <f ca="1">IFERROR(__xludf.DUMMYFUNCTION("SUM(FILTER(J:J, H:H=""Chuyển khoản"")) - SUM(FILTER(K:K, H:H=""Chuyển khoản""))
"),4468984)</f>
        <v>4468984</v>
      </c>
      <c r="O765" s="5"/>
      <c r="P765" s="5"/>
      <c r="Q765" s="5"/>
      <c r="R765" s="5"/>
      <c r="S765" s="5"/>
    </row>
    <row r="766" spans="1:19" ht="15.75" customHeight="1" x14ac:dyDescent="0.2">
      <c r="A766" s="3">
        <v>46108</v>
      </c>
      <c r="B766" s="4" t="str">
        <f>IF(A766="","","PC-"&amp;TEXT(A766,"mm/yyyy")&amp;"-"&amp;TEXT(COUNTIFS($A$2:A766,"&gt;="&amp;EOMONTH(A766,-1)+1,$A$2:A766,"&lt;="&amp;EOMONTH(A766,0)),"000"))</f>
        <v>PC-03/2026-041</v>
      </c>
      <c r="C766" s="7" t="s">
        <v>818</v>
      </c>
      <c r="D766" s="5" t="s">
        <v>29</v>
      </c>
      <c r="E766" s="5" t="s">
        <v>71</v>
      </c>
      <c r="F766" s="5"/>
      <c r="G766" s="5" t="s">
        <v>219</v>
      </c>
      <c r="H766" s="5" t="s">
        <v>27</v>
      </c>
      <c r="I766" s="6">
        <v>110000</v>
      </c>
      <c r="J766" s="6">
        <f>IF(D766="Thu",I766,0)</f>
        <v>0</v>
      </c>
      <c r="K766" s="6">
        <f>IF(D766="Chi",I766,0)</f>
        <v>110000</v>
      </c>
      <c r="L766" s="6" t="e">
        <f>L765+J766-K766</f>
        <v>#VALUE!</v>
      </c>
      <c r="M766" s="6">
        <f ca="1">IFERROR(__xludf.DUMMYFUNCTION("SUM(FILTER(J:J, H:H=""Tiền mặt"")) - SUM(FILTER(K:K, H:H=""Tiền mặt""))
"),959000)</f>
        <v>959000</v>
      </c>
      <c r="N766" s="6">
        <f ca="1">IFERROR(__xludf.DUMMYFUNCTION("SUM(FILTER(J:J, H:H=""Chuyển khoản"")) - SUM(FILTER(K:K, H:H=""Chuyển khoản""))
"),4468984)</f>
        <v>4468984</v>
      </c>
      <c r="O766" s="5"/>
      <c r="P766" s="5"/>
      <c r="Q766" s="5"/>
      <c r="R766" s="5"/>
      <c r="S766" s="5"/>
    </row>
    <row r="767" spans="1:19" ht="15.75" customHeight="1" x14ac:dyDescent="0.2">
      <c r="A767" s="3">
        <v>46107</v>
      </c>
      <c r="B767" s="4" t="str">
        <f>IF(A767="","","PC-"&amp;TEXT(A767,"mm/yyyy")&amp;"-"&amp;TEXT(COUNTIFS($A$2:A767,"&gt;="&amp;EOMONTH(A767,-1)+1,$A$2:A767,"&lt;="&amp;EOMONTH(A767,0)),"000"))</f>
        <v>PC-03/2026-042</v>
      </c>
      <c r="C767" s="5" t="s">
        <v>791</v>
      </c>
      <c r="D767" s="5" t="s">
        <v>29</v>
      </c>
      <c r="E767" s="5" t="s">
        <v>44</v>
      </c>
      <c r="F767" s="5"/>
      <c r="G767" s="5" t="s">
        <v>124</v>
      </c>
      <c r="H767" s="5" t="s">
        <v>23</v>
      </c>
      <c r="I767" s="6">
        <v>1500000</v>
      </c>
      <c r="J767" s="6">
        <f>IF(D767="Thu",I767,0)</f>
        <v>0</v>
      </c>
      <c r="K767" s="6">
        <f>IF(D767="Chi",I767,0)</f>
        <v>1500000</v>
      </c>
      <c r="L767" s="6" t="e">
        <f>L766+J767-K767</f>
        <v>#VALUE!</v>
      </c>
      <c r="M767" s="6">
        <f ca="1">IFERROR(__xludf.DUMMYFUNCTION("SUM(FILTER(J:J, H:H=""Tiền mặt"")) - SUM(FILTER(K:K, H:H=""Tiền mặt""))
"),959000)</f>
        <v>959000</v>
      </c>
      <c r="N767" s="6">
        <f ca="1">IFERROR(__xludf.DUMMYFUNCTION("SUM(FILTER(J:J, H:H=""Chuyển khoản"")) - SUM(FILTER(K:K, H:H=""Chuyển khoản""))
"),4468984)</f>
        <v>4468984</v>
      </c>
      <c r="O767" s="5"/>
      <c r="P767" s="5"/>
      <c r="Q767" s="5"/>
      <c r="R767" s="5"/>
      <c r="S767" s="5"/>
    </row>
    <row r="768" spans="1:19" ht="15.75" customHeight="1" x14ac:dyDescent="0.2">
      <c r="A768" s="3">
        <v>46107</v>
      </c>
      <c r="B768" s="4" t="str">
        <f>IF(A768="","","PC-"&amp;TEXT(A768,"mm/yyyy")&amp;"-"&amp;TEXT(COUNTIFS($A$2:A768,"&gt;="&amp;EOMONTH(A768,-1)+1,$A$2:A768,"&lt;="&amp;EOMONTH(A768,0)),"000"))</f>
        <v>PC-03/2026-043</v>
      </c>
      <c r="C768" s="5" t="s">
        <v>792</v>
      </c>
      <c r="D768" s="5" t="s">
        <v>29</v>
      </c>
      <c r="E768" s="5" t="s">
        <v>47</v>
      </c>
      <c r="F768" s="5"/>
      <c r="G768" s="5" t="s">
        <v>48</v>
      </c>
      <c r="H768" s="5" t="s">
        <v>23</v>
      </c>
      <c r="I768" s="6">
        <v>50000</v>
      </c>
      <c r="J768" s="6">
        <f>IF(D768="Thu",I768,0)</f>
        <v>0</v>
      </c>
      <c r="K768" s="6">
        <f>IF(D768="Chi",I768,0)</f>
        <v>50000</v>
      </c>
      <c r="L768" s="6" t="e">
        <f>L767+J768-K768</f>
        <v>#VALUE!</v>
      </c>
      <c r="M768" s="6">
        <f ca="1">IFERROR(__xludf.DUMMYFUNCTION("SUM(FILTER(J:J, H:H=""Tiền mặt"")) - SUM(FILTER(K:K, H:H=""Tiền mặt""))
"),959000)</f>
        <v>959000</v>
      </c>
      <c r="N768" s="6">
        <f ca="1">IFERROR(__xludf.DUMMYFUNCTION("SUM(FILTER(J:J, H:H=""Chuyển khoản"")) - SUM(FILTER(K:K, H:H=""Chuyển khoản""))
"),4468984)</f>
        <v>4468984</v>
      </c>
      <c r="O768" s="5"/>
      <c r="P768" s="5"/>
      <c r="Q768" s="5"/>
      <c r="R768" s="5"/>
      <c r="S768" s="5"/>
    </row>
    <row r="769" spans="1:19" ht="15.75" customHeight="1" x14ac:dyDescent="0.2">
      <c r="A769" s="3">
        <v>46107</v>
      </c>
      <c r="B769" s="4" t="str">
        <f>IF(A769="","","PC-"&amp;TEXT(A769,"mm/yyyy")&amp;"-"&amp;TEXT(COUNTIFS($A$2:A769,"&gt;="&amp;EOMONTH(A769,-1)+1,$A$2:A769,"&lt;="&amp;EOMONTH(A769,0)),"000"))</f>
        <v>PC-03/2026-044</v>
      </c>
      <c r="C769" s="5" t="s">
        <v>793</v>
      </c>
      <c r="D769" s="5" t="s">
        <v>20</v>
      </c>
      <c r="E769" s="5" t="s">
        <v>21</v>
      </c>
      <c r="F769" s="5"/>
      <c r="G769" s="5" t="s">
        <v>22</v>
      </c>
      <c r="H769" s="5" t="s">
        <v>23</v>
      </c>
      <c r="I769" s="6">
        <v>10000000</v>
      </c>
      <c r="J769" s="6">
        <f>IF(D769="Thu",I769,0)</f>
        <v>10000000</v>
      </c>
      <c r="K769" s="6">
        <f>IF(D769="Chi",I769,0)</f>
        <v>0</v>
      </c>
      <c r="L769" s="6" t="e">
        <f>L768+J769-K769</f>
        <v>#VALUE!</v>
      </c>
      <c r="M769" s="6">
        <f ca="1">IFERROR(__xludf.DUMMYFUNCTION("SUM(FILTER(J:J, H:H=""Tiền mặt"")) - SUM(FILTER(K:K, H:H=""Tiền mặt""))
"),959000)</f>
        <v>959000</v>
      </c>
      <c r="N769" s="6">
        <f ca="1">IFERROR(__xludf.DUMMYFUNCTION("SUM(FILTER(J:J, H:H=""Chuyển khoản"")) - SUM(FILTER(K:K, H:H=""Chuyển khoản""))
"),4468984)</f>
        <v>4468984</v>
      </c>
      <c r="O769" s="5"/>
      <c r="P769" s="5"/>
      <c r="Q769" s="5"/>
      <c r="R769" s="5"/>
      <c r="S769" s="5"/>
    </row>
    <row r="770" spans="1:19" ht="15.75" customHeight="1" x14ac:dyDescent="0.2">
      <c r="A770" s="3">
        <v>46107</v>
      </c>
      <c r="B770" s="4" t="str">
        <f>IF(A770="","","PC-"&amp;TEXT(A770,"mm/yyyy")&amp;"-"&amp;TEXT(COUNTIFS($A$2:A770,"&gt;="&amp;EOMONTH(A770,-1)+1,$A$2:A770,"&lt;="&amp;EOMONTH(A770,0)),"000"))</f>
        <v>PC-03/2026-045</v>
      </c>
      <c r="C770" s="7" t="s">
        <v>794</v>
      </c>
      <c r="D770" s="5" t="s">
        <v>29</v>
      </c>
      <c r="E770" s="5" t="s">
        <v>41</v>
      </c>
      <c r="F770" s="5"/>
      <c r="G770" s="5" t="s">
        <v>82</v>
      </c>
      <c r="H770" s="5" t="s">
        <v>23</v>
      </c>
      <c r="I770" s="6">
        <v>200000</v>
      </c>
      <c r="J770" s="6">
        <f>IF(D770="Thu",I770,0)</f>
        <v>0</v>
      </c>
      <c r="K770" s="6">
        <f>IF(D770="Chi",I770,0)</f>
        <v>200000</v>
      </c>
      <c r="L770" s="6" t="e">
        <f>L769+J770-K770</f>
        <v>#VALUE!</v>
      </c>
      <c r="M770" s="6">
        <f ca="1">IFERROR(__xludf.DUMMYFUNCTION("SUM(FILTER(J:J, H:H=""Tiền mặt"")) - SUM(FILTER(K:K, H:H=""Tiền mặt""))
"),959000)</f>
        <v>959000</v>
      </c>
      <c r="N770" s="6">
        <f ca="1">IFERROR(__xludf.DUMMYFUNCTION("SUM(FILTER(J:J, H:H=""Chuyển khoản"")) - SUM(FILTER(K:K, H:H=""Chuyển khoản""))
"),4468984)</f>
        <v>4468984</v>
      </c>
      <c r="O770" s="5"/>
      <c r="P770" s="5"/>
      <c r="Q770" s="5"/>
      <c r="R770" s="5"/>
      <c r="S770" s="5"/>
    </row>
    <row r="771" spans="1:19" ht="15.75" customHeight="1" x14ac:dyDescent="0.2">
      <c r="A771" s="3">
        <v>46107</v>
      </c>
      <c r="B771" s="4" t="str">
        <f>IF(A771="","","PC-"&amp;TEXT(A771,"mm/yyyy")&amp;"-"&amp;TEXT(COUNTIFS($A$2:A771,"&gt;="&amp;EOMONTH(A771,-1)+1,$A$2:A771,"&lt;="&amp;EOMONTH(A771,0)),"000"))</f>
        <v>PC-03/2026-046</v>
      </c>
      <c r="C771" s="7" t="s">
        <v>795</v>
      </c>
      <c r="D771" s="5" t="s">
        <v>29</v>
      </c>
      <c r="E771" s="5" t="s">
        <v>41</v>
      </c>
      <c r="F771" s="5"/>
      <c r="G771" s="5" t="s">
        <v>82</v>
      </c>
      <c r="H771" s="5" t="s">
        <v>23</v>
      </c>
      <c r="I771" s="6">
        <v>200000</v>
      </c>
      <c r="J771" s="6">
        <f>IF(D771="Thu",I771,0)</f>
        <v>0</v>
      </c>
      <c r="K771" s="6">
        <f>IF(D771="Chi",I771,0)</f>
        <v>200000</v>
      </c>
      <c r="L771" s="6" t="e">
        <f>L770+J771-K771</f>
        <v>#VALUE!</v>
      </c>
      <c r="M771" s="6">
        <f ca="1">IFERROR(__xludf.DUMMYFUNCTION("SUM(FILTER(J:J, H:H=""Tiền mặt"")) - SUM(FILTER(K:K, H:H=""Tiền mặt""))
"),959000)</f>
        <v>959000</v>
      </c>
      <c r="N771" s="6">
        <f ca="1">IFERROR(__xludf.DUMMYFUNCTION("SUM(FILTER(J:J, H:H=""Chuyển khoản"")) - SUM(FILTER(K:K, H:H=""Chuyển khoản""))
"),4468984)</f>
        <v>4468984</v>
      </c>
      <c r="O771" s="5"/>
      <c r="P771" s="5"/>
      <c r="Q771" s="5"/>
      <c r="R771" s="5"/>
      <c r="S771" s="5"/>
    </row>
    <row r="772" spans="1:19" ht="15.75" customHeight="1" x14ac:dyDescent="0.2">
      <c r="A772" s="3">
        <v>46107</v>
      </c>
      <c r="B772" s="4" t="str">
        <f>IF(A772="","","PC-"&amp;TEXT(A772,"mm/yyyy")&amp;"-"&amp;TEXT(COUNTIFS($A$2:A772,"&gt;="&amp;EOMONTH(A772,-1)+1,$A$2:A772,"&lt;="&amp;EOMONTH(A772,0)),"000"))</f>
        <v>PC-03/2026-047</v>
      </c>
      <c r="C772" s="7" t="s">
        <v>796</v>
      </c>
      <c r="D772" s="5" t="s">
        <v>29</v>
      </c>
      <c r="E772" s="5" t="s">
        <v>41</v>
      </c>
      <c r="F772" s="5"/>
      <c r="G772" s="5" t="s">
        <v>82</v>
      </c>
      <c r="H772" s="5" t="s">
        <v>23</v>
      </c>
      <c r="I772" s="6">
        <v>3300000</v>
      </c>
      <c r="J772" s="6">
        <f>IF(D772="Thu",I772,0)</f>
        <v>0</v>
      </c>
      <c r="K772" s="6">
        <f>IF(D772="Chi",I772,0)</f>
        <v>3300000</v>
      </c>
      <c r="L772" s="6" t="e">
        <f>L771+J772-K772</f>
        <v>#VALUE!</v>
      </c>
      <c r="M772" s="6">
        <f ca="1">IFERROR(__xludf.DUMMYFUNCTION("SUM(FILTER(J:J, H:H=""Tiền mặt"")) - SUM(FILTER(K:K, H:H=""Tiền mặt""))
"),959000)</f>
        <v>959000</v>
      </c>
      <c r="N772" s="6">
        <f ca="1">IFERROR(__xludf.DUMMYFUNCTION("SUM(FILTER(J:J, H:H=""Chuyển khoản"")) - SUM(FILTER(K:K, H:H=""Chuyển khoản""))
"),4468984)</f>
        <v>4468984</v>
      </c>
      <c r="O772" s="5"/>
      <c r="P772" s="5"/>
      <c r="Q772" s="5"/>
      <c r="R772" s="5"/>
      <c r="S772" s="5"/>
    </row>
    <row r="773" spans="1:19" ht="15.75" customHeight="1" x14ac:dyDescent="0.2">
      <c r="A773" s="3">
        <v>46107</v>
      </c>
      <c r="B773" s="4" t="str">
        <f>IF(A773="","","PC-"&amp;TEXT(A773,"mm/yyyy")&amp;"-"&amp;TEXT(COUNTIFS($A$2:A773,"&gt;="&amp;EOMONTH(A773,-1)+1,$A$2:A773,"&lt;="&amp;EOMONTH(A773,0)),"000"))</f>
        <v>PC-03/2026-048</v>
      </c>
      <c r="C773" s="5" t="s">
        <v>797</v>
      </c>
      <c r="D773" s="5" t="s">
        <v>29</v>
      </c>
      <c r="E773" s="5" t="s">
        <v>41</v>
      </c>
      <c r="F773" s="5"/>
      <c r="G773" s="5" t="s">
        <v>82</v>
      </c>
      <c r="H773" s="5" t="s">
        <v>23</v>
      </c>
      <c r="I773" s="6">
        <v>100000</v>
      </c>
      <c r="J773" s="6">
        <f>IF(D773="Thu",I773,0)</f>
        <v>0</v>
      </c>
      <c r="K773" s="6">
        <f>IF(D773="Chi",I773,0)</f>
        <v>100000</v>
      </c>
      <c r="L773" s="6" t="e">
        <f>L772+J773-K773</f>
        <v>#VALUE!</v>
      </c>
      <c r="M773" s="6">
        <f ca="1">IFERROR(__xludf.DUMMYFUNCTION("SUM(FILTER(J:J, H:H=""Tiền mặt"")) - SUM(FILTER(K:K, H:H=""Tiền mặt""))
"),959000)</f>
        <v>959000</v>
      </c>
      <c r="N773" s="6">
        <f ca="1">IFERROR(__xludf.DUMMYFUNCTION("SUM(FILTER(J:J, H:H=""Chuyển khoản"")) - SUM(FILTER(K:K, H:H=""Chuyển khoản""))
"),4468984)</f>
        <v>4468984</v>
      </c>
      <c r="O773" s="5"/>
      <c r="P773" s="5"/>
      <c r="Q773" s="5"/>
      <c r="R773" s="5"/>
      <c r="S773" s="5"/>
    </row>
    <row r="774" spans="1:19" ht="15.75" customHeight="1" x14ac:dyDescent="0.2">
      <c r="A774" s="3">
        <v>46107</v>
      </c>
      <c r="B774" s="4" t="str">
        <f>IF(A774="","","PC-"&amp;TEXT(A774,"mm/yyyy")&amp;"-"&amp;TEXT(COUNTIFS($A$2:A774,"&gt;="&amp;EOMONTH(A774,-1)+1,$A$2:A774,"&lt;="&amp;EOMONTH(A774,0)),"000"))</f>
        <v>PC-03/2026-049</v>
      </c>
      <c r="C774" s="5" t="s">
        <v>798</v>
      </c>
      <c r="D774" s="5" t="s">
        <v>29</v>
      </c>
      <c r="E774" s="5" t="s">
        <v>44</v>
      </c>
      <c r="F774" s="5"/>
      <c r="G774" s="5" t="s">
        <v>99</v>
      </c>
      <c r="H774" s="5" t="s">
        <v>23</v>
      </c>
      <c r="I774" s="6">
        <v>1500000</v>
      </c>
      <c r="J774" s="6">
        <f>IF(D774="Thu",I774,0)</f>
        <v>0</v>
      </c>
      <c r="K774" s="6">
        <f>IF(D774="Chi",I774,0)</f>
        <v>1500000</v>
      </c>
      <c r="L774" s="6" t="e">
        <f>L773+J774-K774</f>
        <v>#VALUE!</v>
      </c>
      <c r="M774" s="6">
        <f ca="1">IFERROR(__xludf.DUMMYFUNCTION("SUM(FILTER(J:J, H:H=""Tiền mặt"")) - SUM(FILTER(K:K, H:H=""Tiền mặt""))
"),959000)</f>
        <v>959000</v>
      </c>
      <c r="N774" s="6">
        <f ca="1">IFERROR(__xludf.DUMMYFUNCTION("SUM(FILTER(J:J, H:H=""Chuyển khoản"")) - SUM(FILTER(K:K, H:H=""Chuyển khoản""))
"),4468984)</f>
        <v>4468984</v>
      </c>
      <c r="O774" s="5"/>
      <c r="P774" s="5"/>
      <c r="Q774" s="5"/>
      <c r="R774" s="5"/>
      <c r="S774" s="5"/>
    </row>
    <row r="775" spans="1:19" ht="15.75" customHeight="1" x14ac:dyDescent="0.2">
      <c r="A775" s="3">
        <v>46107</v>
      </c>
      <c r="B775" s="4" t="str">
        <f>IF(A775="","","PC-"&amp;TEXT(A775,"mm/yyyy")&amp;"-"&amp;TEXT(COUNTIFS($A$2:A775,"&gt;="&amp;EOMONTH(A775,-1)+1,$A$2:A775,"&lt;="&amp;EOMONTH(A775,0)),"000"))</f>
        <v>PC-03/2026-050</v>
      </c>
      <c r="C775" s="5" t="s">
        <v>799</v>
      </c>
      <c r="D775" s="5" t="s">
        <v>20</v>
      </c>
      <c r="E775" s="5" t="s">
        <v>21</v>
      </c>
      <c r="F775" s="5"/>
      <c r="G775" s="5" t="s">
        <v>22</v>
      </c>
      <c r="H775" s="5" t="s">
        <v>23</v>
      </c>
      <c r="I775" s="6">
        <v>1500000</v>
      </c>
      <c r="J775" s="6">
        <f>IF(D775="Thu",I775,0)</f>
        <v>1500000</v>
      </c>
      <c r="K775" s="6">
        <f>IF(D775="Chi",I775,0)</f>
        <v>0</v>
      </c>
      <c r="L775" s="6" t="e">
        <f>L774+J775-K775</f>
        <v>#VALUE!</v>
      </c>
      <c r="M775" s="6">
        <f ca="1">IFERROR(__xludf.DUMMYFUNCTION("SUM(FILTER(J:J, H:H=""Tiền mặt"")) - SUM(FILTER(K:K, H:H=""Tiền mặt""))
"),959000)</f>
        <v>959000</v>
      </c>
      <c r="N775" s="6">
        <f ca="1">IFERROR(__xludf.DUMMYFUNCTION("SUM(FILTER(J:J, H:H=""Chuyển khoản"")) - SUM(FILTER(K:K, H:H=""Chuyển khoản""))
"),4468984)</f>
        <v>4468984</v>
      </c>
      <c r="O775" s="5"/>
      <c r="P775" s="5"/>
      <c r="Q775" s="5"/>
      <c r="R775" s="5"/>
      <c r="S775" s="5"/>
    </row>
    <row r="776" spans="1:19" ht="15.75" customHeight="1" x14ac:dyDescent="0.2">
      <c r="A776" s="3">
        <v>46107</v>
      </c>
      <c r="B776" s="4" t="str">
        <f>IF(A776="","","PC-"&amp;TEXT(A776,"mm/yyyy")&amp;"-"&amp;TEXT(COUNTIFS($A$2:A776,"&gt;="&amp;EOMONTH(A776,-1)+1,$A$2:A776,"&lt;="&amp;EOMONTH(A776,0)),"000"))</f>
        <v>PC-03/2026-051</v>
      </c>
      <c r="C776" s="5" t="s">
        <v>800</v>
      </c>
      <c r="D776" s="5" t="s">
        <v>29</v>
      </c>
      <c r="E776" s="5" t="s">
        <v>41</v>
      </c>
      <c r="F776" s="5"/>
      <c r="G776" s="5" t="s">
        <v>192</v>
      </c>
      <c r="H776" s="5" t="s">
        <v>23</v>
      </c>
      <c r="I776" s="6">
        <v>100000</v>
      </c>
      <c r="J776" s="6">
        <f>IF(D776="Thu",I776,0)</f>
        <v>0</v>
      </c>
      <c r="K776" s="6">
        <f>IF(D776="Chi",I776,0)</f>
        <v>100000</v>
      </c>
      <c r="L776" s="6" t="e">
        <f>L775+J776-K776</f>
        <v>#VALUE!</v>
      </c>
      <c r="M776" s="6">
        <f ca="1">IFERROR(__xludf.DUMMYFUNCTION("SUM(FILTER(J:J, H:H=""Tiền mặt"")) - SUM(FILTER(K:K, H:H=""Tiền mặt""))
"),959000)</f>
        <v>959000</v>
      </c>
      <c r="N776" s="6">
        <f ca="1">IFERROR(__xludf.DUMMYFUNCTION("SUM(FILTER(J:J, H:H=""Chuyển khoản"")) - SUM(FILTER(K:K, H:H=""Chuyển khoản""))
"),4468984)</f>
        <v>4468984</v>
      </c>
      <c r="O776" s="5"/>
      <c r="P776" s="5"/>
      <c r="Q776" s="5"/>
      <c r="R776" s="5"/>
      <c r="S776" s="5"/>
    </row>
    <row r="777" spans="1:19" ht="15.75" customHeight="1" x14ac:dyDescent="0.2">
      <c r="A777" s="3">
        <v>46107</v>
      </c>
      <c r="B777" s="4" t="str">
        <f>IF(A777="","","PC-"&amp;TEXT(A777,"mm/yyyy")&amp;"-"&amp;TEXT(COUNTIFS($A$2:A777,"&gt;="&amp;EOMONTH(A777,-1)+1,$A$2:A777,"&lt;="&amp;EOMONTH(A777,0)),"000"))</f>
        <v>PC-03/2026-052</v>
      </c>
      <c r="C777" s="5" t="s">
        <v>801</v>
      </c>
      <c r="D777" s="5" t="s">
        <v>29</v>
      </c>
      <c r="E777" s="5" t="s">
        <v>41</v>
      </c>
      <c r="F777" s="5"/>
      <c r="G777" s="5" t="s">
        <v>82</v>
      </c>
      <c r="H777" s="5" t="s">
        <v>23</v>
      </c>
      <c r="I777" s="6">
        <v>100000</v>
      </c>
      <c r="J777" s="6">
        <f>IF(D777="Thu",I777,0)</f>
        <v>0</v>
      </c>
      <c r="K777" s="6">
        <f>IF(D777="Chi",I777,0)</f>
        <v>100000</v>
      </c>
      <c r="L777" s="6" t="e">
        <f>L776+J777-K777</f>
        <v>#VALUE!</v>
      </c>
      <c r="M777" s="6">
        <f ca="1">IFERROR(__xludf.DUMMYFUNCTION("SUM(FILTER(J:J, H:H=""Tiền mặt"")) - SUM(FILTER(K:K, H:H=""Tiền mặt""))
"),959000)</f>
        <v>959000</v>
      </c>
      <c r="N777" s="6">
        <f ca="1">IFERROR(__xludf.DUMMYFUNCTION("SUM(FILTER(J:J, H:H=""Chuyển khoản"")) - SUM(FILTER(K:K, H:H=""Chuyển khoản""))
"),4468984)</f>
        <v>4468984</v>
      </c>
      <c r="O777" s="5"/>
      <c r="P777" s="5"/>
      <c r="Q777" s="5"/>
      <c r="R777" s="5"/>
      <c r="S777" s="5"/>
    </row>
    <row r="778" spans="1:19" ht="15.75" customHeight="1" x14ac:dyDescent="0.2">
      <c r="A778" s="3">
        <v>46107</v>
      </c>
      <c r="B778" s="4" t="str">
        <f>IF(A778="","","PC-"&amp;TEXT(A778,"mm/yyyy")&amp;"-"&amp;TEXT(COUNTIFS($A$2:A778,"&gt;="&amp;EOMONTH(A778,-1)+1,$A$2:A778,"&lt;="&amp;EOMONTH(A778,0)),"000"))</f>
        <v>PC-03/2026-053</v>
      </c>
      <c r="C778" s="7" t="s">
        <v>802</v>
      </c>
      <c r="D778" s="5" t="s">
        <v>29</v>
      </c>
      <c r="E778" s="5" t="s">
        <v>71</v>
      </c>
      <c r="F778" s="5"/>
      <c r="G778" s="5" t="s">
        <v>316</v>
      </c>
      <c r="H778" s="5" t="s">
        <v>27</v>
      </c>
      <c r="I778" s="6">
        <v>57000</v>
      </c>
      <c r="J778" s="6">
        <f>IF(D778="Thu",I778,0)</f>
        <v>0</v>
      </c>
      <c r="K778" s="6">
        <f>IF(D778="Chi",I778,0)</f>
        <v>57000</v>
      </c>
      <c r="L778" s="6" t="e">
        <f>L777+J778-K778</f>
        <v>#VALUE!</v>
      </c>
      <c r="M778" s="6">
        <f ca="1">IFERROR(__xludf.DUMMYFUNCTION("SUM(FILTER(J:J, H:H=""Tiền mặt"")) - SUM(FILTER(K:K, H:H=""Tiền mặt""))
"),959000)</f>
        <v>959000</v>
      </c>
      <c r="N778" s="6">
        <f ca="1">IFERROR(__xludf.DUMMYFUNCTION("SUM(FILTER(J:J, H:H=""Chuyển khoản"")) - SUM(FILTER(K:K, H:H=""Chuyển khoản""))
"),4468984)</f>
        <v>4468984</v>
      </c>
      <c r="O778" s="5"/>
      <c r="P778" s="5"/>
      <c r="Q778" s="5"/>
      <c r="R778" s="5"/>
      <c r="S778" s="5"/>
    </row>
    <row r="779" spans="1:19" ht="15.75" customHeight="1" x14ac:dyDescent="0.2">
      <c r="A779" s="3">
        <v>46107</v>
      </c>
      <c r="B779" s="4" t="str">
        <f>IF(A779="","","PC-"&amp;TEXT(A779,"mm/yyyy")&amp;"-"&amp;TEXT(COUNTIFS($A$2:A779,"&gt;="&amp;EOMONTH(A779,-1)+1,$A$2:A779,"&lt;="&amp;EOMONTH(A779,0)),"000"))</f>
        <v>PC-03/2026-054</v>
      </c>
      <c r="C779" s="5" t="s">
        <v>803</v>
      </c>
      <c r="D779" s="5" t="s">
        <v>29</v>
      </c>
      <c r="E779" s="5" t="s">
        <v>71</v>
      </c>
      <c r="F779" s="5"/>
      <c r="G779" s="5" t="s">
        <v>804</v>
      </c>
      <c r="H779" s="5" t="s">
        <v>27</v>
      </c>
      <c r="I779" s="6">
        <v>41000</v>
      </c>
      <c r="J779" s="6">
        <f>IF(D779="Thu",I779,0)</f>
        <v>0</v>
      </c>
      <c r="K779" s="6">
        <f>IF(D779="Chi",I779,0)</f>
        <v>41000</v>
      </c>
      <c r="L779" s="6" t="e">
        <f>L778+J779-K779</f>
        <v>#VALUE!</v>
      </c>
      <c r="M779" s="6">
        <f ca="1">IFERROR(__xludf.DUMMYFUNCTION("SUM(FILTER(J:J, H:H=""Tiền mặt"")) - SUM(FILTER(K:K, H:H=""Tiền mặt""))
"),959000)</f>
        <v>959000</v>
      </c>
      <c r="N779" s="6">
        <f ca="1">IFERROR(__xludf.DUMMYFUNCTION("SUM(FILTER(J:J, H:H=""Chuyển khoản"")) - SUM(FILTER(K:K, H:H=""Chuyển khoản""))
"),4468984)</f>
        <v>4468984</v>
      </c>
      <c r="O779" s="5"/>
      <c r="P779" s="5"/>
      <c r="Q779" s="5"/>
      <c r="R779" s="5"/>
      <c r="S779" s="5"/>
    </row>
    <row r="780" spans="1:19" ht="15.75" customHeight="1" x14ac:dyDescent="0.2">
      <c r="A780" s="3">
        <v>46107</v>
      </c>
      <c r="B780" s="4" t="str">
        <f>IF(A780="","","PC-"&amp;TEXT(A780,"mm/yyyy")&amp;"-"&amp;TEXT(COUNTIFS($A$2:A780,"&gt;="&amp;EOMONTH(A780,-1)+1,$A$2:A780,"&lt;="&amp;EOMONTH(A780,0)),"000"))</f>
        <v>PC-03/2026-055</v>
      </c>
      <c r="C780" s="5" t="s">
        <v>805</v>
      </c>
      <c r="D780" s="5" t="s">
        <v>29</v>
      </c>
      <c r="E780" s="5" t="s">
        <v>44</v>
      </c>
      <c r="F780" s="5"/>
      <c r="G780" s="5" t="s">
        <v>806</v>
      </c>
      <c r="H780" s="5" t="s">
        <v>23</v>
      </c>
      <c r="I780" s="6">
        <v>1500000</v>
      </c>
      <c r="J780" s="6">
        <f>IF(D780="Thu",I780,0)</f>
        <v>0</v>
      </c>
      <c r="K780" s="6">
        <f>IF(D780="Chi",I780,0)</f>
        <v>1500000</v>
      </c>
      <c r="L780" s="6" t="e">
        <f>L779+J780-K780</f>
        <v>#VALUE!</v>
      </c>
      <c r="M780" s="6">
        <f ca="1">IFERROR(__xludf.DUMMYFUNCTION("SUM(FILTER(J:J, H:H=""Tiền mặt"")) - SUM(FILTER(K:K, H:H=""Tiền mặt""))
"),959000)</f>
        <v>959000</v>
      </c>
      <c r="N780" s="6">
        <f ca="1">IFERROR(__xludf.DUMMYFUNCTION("SUM(FILTER(J:J, H:H=""Chuyển khoản"")) - SUM(FILTER(K:K, H:H=""Chuyển khoản""))
"),4468984)</f>
        <v>4468984</v>
      </c>
      <c r="O780" s="5"/>
      <c r="P780" s="5"/>
      <c r="Q780" s="5"/>
      <c r="R780" s="5"/>
      <c r="S780" s="5"/>
    </row>
    <row r="781" spans="1:19" ht="15.75" customHeight="1" x14ac:dyDescent="0.2">
      <c r="A781" s="3">
        <v>46107</v>
      </c>
      <c r="B781" s="4" t="str">
        <f>IF(A781="","","PC-"&amp;TEXT(A781,"mm/yyyy")&amp;"-"&amp;TEXT(COUNTIFS($A$2:A781,"&gt;="&amp;EOMONTH(A781,-1)+1,$A$2:A781,"&lt;="&amp;EOMONTH(A781,0)),"000"))</f>
        <v>PC-03/2026-056</v>
      </c>
      <c r="C781" s="5" t="s">
        <v>807</v>
      </c>
      <c r="D781" s="5" t="s">
        <v>29</v>
      </c>
      <c r="E781" s="5" t="s">
        <v>47</v>
      </c>
      <c r="F781" s="5"/>
      <c r="G781" s="5" t="s">
        <v>48</v>
      </c>
      <c r="H781" s="5" t="s">
        <v>23</v>
      </c>
      <c r="I781" s="6">
        <v>50000</v>
      </c>
      <c r="J781" s="6">
        <f>IF(D781="Thu",I781,0)</f>
        <v>0</v>
      </c>
      <c r="K781" s="6">
        <f>IF(D781="Chi",I781,0)</f>
        <v>50000</v>
      </c>
      <c r="L781" s="6" t="e">
        <f>L780+J781-K781</f>
        <v>#VALUE!</v>
      </c>
      <c r="M781" s="6">
        <f ca="1">IFERROR(__xludf.DUMMYFUNCTION("SUM(FILTER(J:J, H:H=""Tiền mặt"")) - SUM(FILTER(K:K, H:H=""Tiền mặt""))
"),959000)</f>
        <v>959000</v>
      </c>
      <c r="N781" s="6">
        <f ca="1">IFERROR(__xludf.DUMMYFUNCTION("SUM(FILTER(J:J, H:H=""Chuyển khoản"")) - SUM(FILTER(K:K, H:H=""Chuyển khoản""))
"),4468984)</f>
        <v>4468984</v>
      </c>
      <c r="O781" s="5"/>
      <c r="P781" s="5"/>
      <c r="Q781" s="5"/>
      <c r="R781" s="5"/>
      <c r="S781" s="5"/>
    </row>
    <row r="782" spans="1:19" ht="15.75" customHeight="1" x14ac:dyDescent="0.2">
      <c r="A782" s="3">
        <v>46106</v>
      </c>
      <c r="B782" s="4" t="str">
        <f>IF(A782="","","PC-"&amp;TEXT(A782,"mm/yyyy")&amp;"-"&amp;TEXT(COUNTIFS($A$2:A782,"&gt;="&amp;EOMONTH(A782,-1)+1,$A$2:A782,"&lt;="&amp;EOMONTH(A782,0)),"000"))</f>
        <v>PC-03/2026-057</v>
      </c>
      <c r="C782" s="5" t="s">
        <v>773</v>
      </c>
      <c r="D782" s="5" t="s">
        <v>29</v>
      </c>
      <c r="E782" s="5" t="s">
        <v>51</v>
      </c>
      <c r="F782" s="5"/>
      <c r="G782" s="5" t="s">
        <v>52</v>
      </c>
      <c r="H782" s="5" t="s">
        <v>27</v>
      </c>
      <c r="I782" s="6">
        <v>117747</v>
      </c>
      <c r="J782" s="6">
        <f>IF(D782="Thu",I782,0)</f>
        <v>0</v>
      </c>
      <c r="K782" s="6">
        <f>IF(D782="Chi",I782,0)</f>
        <v>117747</v>
      </c>
      <c r="L782" s="6" t="e">
        <f>L781+J782-K782</f>
        <v>#VALUE!</v>
      </c>
      <c r="M782" s="6">
        <f ca="1">IFERROR(__xludf.DUMMYFUNCTION("SUM(FILTER(J:J, H:H=""Tiền mặt"")) - SUM(FILTER(K:K, H:H=""Tiền mặt""))
"),959000)</f>
        <v>959000</v>
      </c>
      <c r="N782" s="6">
        <f ca="1">IFERROR(__xludf.DUMMYFUNCTION("SUM(FILTER(J:J, H:H=""Chuyển khoản"")) - SUM(FILTER(K:K, H:H=""Chuyển khoản""))
"),4468984)</f>
        <v>4468984</v>
      </c>
      <c r="O782" s="5"/>
      <c r="P782" s="5"/>
      <c r="Q782" s="5"/>
      <c r="R782" s="5"/>
      <c r="S782" s="5"/>
    </row>
    <row r="783" spans="1:19" ht="15.75" customHeight="1" x14ac:dyDescent="0.2">
      <c r="A783" s="3">
        <v>46106</v>
      </c>
      <c r="B783" s="4" t="str">
        <f>IF(A783="","","PC-"&amp;TEXT(A783,"mm/yyyy")&amp;"-"&amp;TEXT(COUNTIFS($A$2:A783,"&gt;="&amp;EOMONTH(A783,-1)+1,$A$2:A783,"&lt;="&amp;EOMONTH(A783,0)),"000"))</f>
        <v>PC-03/2026-058</v>
      </c>
      <c r="C783" s="5" t="s">
        <v>774</v>
      </c>
      <c r="D783" s="5" t="s">
        <v>29</v>
      </c>
      <c r="E783" s="5" t="s">
        <v>41</v>
      </c>
      <c r="F783" s="5"/>
      <c r="G783" s="5" t="s">
        <v>192</v>
      </c>
      <c r="H783" s="5" t="s">
        <v>23</v>
      </c>
      <c r="I783" s="6">
        <v>100000</v>
      </c>
      <c r="J783" s="6">
        <f>IF(D783="Thu",I783,0)</f>
        <v>0</v>
      </c>
      <c r="K783" s="6">
        <f>IF(D783="Chi",I783,0)</f>
        <v>100000</v>
      </c>
      <c r="L783" s="6" t="e">
        <f>L782+J783-K783</f>
        <v>#VALUE!</v>
      </c>
      <c r="M783" s="6">
        <f ca="1">IFERROR(__xludf.DUMMYFUNCTION("SUM(FILTER(J:J, H:H=""Tiền mặt"")) - SUM(FILTER(K:K, H:H=""Tiền mặt""))
"),959000)</f>
        <v>959000</v>
      </c>
      <c r="N783" s="6">
        <f ca="1">IFERROR(__xludf.DUMMYFUNCTION("SUM(FILTER(J:J, H:H=""Chuyển khoản"")) - SUM(FILTER(K:K, H:H=""Chuyển khoản""))
"),4468984)</f>
        <v>4468984</v>
      </c>
      <c r="O783" s="5"/>
      <c r="P783" s="5"/>
      <c r="Q783" s="5"/>
      <c r="R783" s="5"/>
      <c r="S783" s="5"/>
    </row>
    <row r="784" spans="1:19" ht="15.75" customHeight="1" x14ac:dyDescent="0.2">
      <c r="A784" s="3">
        <v>46106</v>
      </c>
      <c r="B784" s="4" t="str">
        <f>IF(A784="","","PC-"&amp;TEXT(A784,"mm/yyyy")&amp;"-"&amp;TEXT(COUNTIFS($A$2:A784,"&gt;="&amp;EOMONTH(A784,-1)+1,$A$2:A784,"&lt;="&amp;EOMONTH(A784,0)),"000"))</f>
        <v>PC-03/2026-059</v>
      </c>
      <c r="C784" s="5" t="s">
        <v>775</v>
      </c>
      <c r="D784" s="5" t="s">
        <v>29</v>
      </c>
      <c r="E784" s="5" t="s">
        <v>61</v>
      </c>
      <c r="F784" s="5"/>
      <c r="G784" s="5" t="s">
        <v>52</v>
      </c>
      <c r="H784" s="5" t="s">
        <v>27</v>
      </c>
      <c r="I784" s="6">
        <v>200000</v>
      </c>
      <c r="J784" s="6">
        <f>IF(D784="Thu",I784,0)</f>
        <v>0</v>
      </c>
      <c r="K784" s="6">
        <f>IF(D784="Chi",I784,0)</f>
        <v>200000</v>
      </c>
      <c r="L784" s="6" t="e">
        <f>L783+J784-K784</f>
        <v>#VALUE!</v>
      </c>
      <c r="M784" s="6">
        <f ca="1">IFERROR(__xludf.DUMMYFUNCTION("SUM(FILTER(J:J, H:H=""Tiền mặt"")) - SUM(FILTER(K:K, H:H=""Tiền mặt""))
"),959000)</f>
        <v>959000</v>
      </c>
      <c r="N784" s="6">
        <f ca="1">IFERROR(__xludf.DUMMYFUNCTION("SUM(FILTER(J:J, H:H=""Chuyển khoản"")) - SUM(FILTER(K:K, H:H=""Chuyển khoản""))
"),4468984)</f>
        <v>4468984</v>
      </c>
      <c r="O784" s="5"/>
      <c r="P784" s="5"/>
      <c r="Q784" s="5"/>
      <c r="R784" s="5"/>
      <c r="S784" s="5"/>
    </row>
    <row r="785" spans="1:19" ht="15.75" customHeight="1" x14ac:dyDescent="0.2">
      <c r="A785" s="3">
        <v>46106</v>
      </c>
      <c r="B785" s="4" t="str">
        <f>IF(A785="","","PC-"&amp;TEXT(A785,"mm/yyyy")&amp;"-"&amp;TEXT(COUNTIFS($A$2:A785,"&gt;="&amp;EOMONTH(A785,-1)+1,$A$2:A785,"&lt;="&amp;EOMONTH(A785,0)),"000"))</f>
        <v>PC-03/2026-060</v>
      </c>
      <c r="C785" s="5" t="s">
        <v>776</v>
      </c>
      <c r="D785" s="5" t="s">
        <v>29</v>
      </c>
      <c r="E785" s="5" t="s">
        <v>64</v>
      </c>
      <c r="F785" s="5"/>
      <c r="G785" s="5" t="s">
        <v>217</v>
      </c>
      <c r="H785" s="5" t="s">
        <v>27</v>
      </c>
      <c r="I785" s="6">
        <v>55000</v>
      </c>
      <c r="J785" s="6">
        <f>IF(D785="Thu",I785,0)</f>
        <v>0</v>
      </c>
      <c r="K785" s="6">
        <f>IF(D785="Chi",I785,0)</f>
        <v>55000</v>
      </c>
      <c r="L785" s="6" t="e">
        <f>L784+J785-K785</f>
        <v>#VALUE!</v>
      </c>
      <c r="M785" s="6">
        <f ca="1">IFERROR(__xludf.DUMMYFUNCTION("SUM(FILTER(J:J, H:H=""Tiền mặt"")) - SUM(FILTER(K:K, H:H=""Tiền mặt""))
"),959000)</f>
        <v>959000</v>
      </c>
      <c r="N785" s="6">
        <f ca="1">IFERROR(__xludf.DUMMYFUNCTION("SUM(FILTER(J:J, H:H=""Chuyển khoản"")) - SUM(FILTER(K:K, H:H=""Chuyển khoản""))
"),4468984)</f>
        <v>4468984</v>
      </c>
      <c r="O785" s="5"/>
      <c r="P785" s="5"/>
      <c r="Q785" s="5"/>
      <c r="R785" s="5"/>
      <c r="S785" s="5"/>
    </row>
    <row r="786" spans="1:19" ht="15.75" customHeight="1" x14ac:dyDescent="0.2">
      <c r="A786" s="3">
        <v>46106</v>
      </c>
      <c r="B786" s="4" t="str">
        <f>IF(A786="","","PC-"&amp;TEXT(A786,"mm/yyyy")&amp;"-"&amp;TEXT(COUNTIFS($A$2:A786,"&gt;="&amp;EOMONTH(A786,-1)+1,$A$2:A786,"&lt;="&amp;EOMONTH(A786,0)),"000"))</f>
        <v>PC-03/2026-061</v>
      </c>
      <c r="C786" s="5" t="s">
        <v>777</v>
      </c>
      <c r="D786" s="5" t="s">
        <v>29</v>
      </c>
      <c r="E786" s="5" t="s">
        <v>88</v>
      </c>
      <c r="F786" s="5"/>
      <c r="G786" s="5" t="s">
        <v>89</v>
      </c>
      <c r="H786" s="5" t="s">
        <v>23</v>
      </c>
      <c r="I786" s="6">
        <v>89000</v>
      </c>
      <c r="J786" s="6">
        <f>IF(D786="Thu",I786,0)</f>
        <v>0</v>
      </c>
      <c r="K786" s="6">
        <f>IF(D786="Chi",I786,0)</f>
        <v>89000</v>
      </c>
      <c r="L786" s="6" t="e">
        <f>L785+J786-K786</f>
        <v>#VALUE!</v>
      </c>
      <c r="M786" s="6">
        <f ca="1">IFERROR(__xludf.DUMMYFUNCTION("SUM(FILTER(J:J, H:H=""Tiền mặt"")) - SUM(FILTER(K:K, H:H=""Tiền mặt""))
"),959000)</f>
        <v>959000</v>
      </c>
      <c r="N786" s="6">
        <f ca="1">IFERROR(__xludf.DUMMYFUNCTION("SUM(FILTER(J:J, H:H=""Chuyển khoản"")) - SUM(FILTER(K:K, H:H=""Chuyển khoản""))
"),4468984)</f>
        <v>4468984</v>
      </c>
      <c r="O786" s="5"/>
      <c r="P786" s="5"/>
      <c r="Q786" s="5"/>
      <c r="R786" s="5"/>
      <c r="S786" s="5"/>
    </row>
    <row r="787" spans="1:19" ht="15.75" customHeight="1" x14ac:dyDescent="0.2">
      <c r="A787" s="3">
        <v>46106</v>
      </c>
      <c r="B787" s="4" t="str">
        <f>IF(A787="","","PC-"&amp;TEXT(A787,"mm/yyyy")&amp;"-"&amp;TEXT(COUNTIFS($A$2:A787,"&gt;="&amp;EOMONTH(A787,-1)+1,$A$2:A787,"&lt;="&amp;EOMONTH(A787,0)),"000"))</f>
        <v>PC-03/2026-062</v>
      </c>
      <c r="C787" s="5" t="s">
        <v>778</v>
      </c>
      <c r="D787" s="5" t="s">
        <v>29</v>
      </c>
      <c r="E787" s="5" t="s">
        <v>64</v>
      </c>
      <c r="F787" s="5"/>
      <c r="G787" s="5" t="s">
        <v>779</v>
      </c>
      <c r="H787" s="5" t="s">
        <v>23</v>
      </c>
      <c r="I787" s="6">
        <v>100000</v>
      </c>
      <c r="J787" s="6">
        <f>IF(D787="Thu",I787,0)</f>
        <v>0</v>
      </c>
      <c r="K787" s="6">
        <f>IF(D787="Chi",I787,0)</f>
        <v>100000</v>
      </c>
      <c r="L787" s="6" t="e">
        <f>L786+J787-K787</f>
        <v>#VALUE!</v>
      </c>
      <c r="M787" s="6">
        <f ca="1">IFERROR(__xludf.DUMMYFUNCTION("SUM(FILTER(J:J, H:H=""Tiền mặt"")) - SUM(FILTER(K:K, H:H=""Tiền mặt""))
"),959000)</f>
        <v>959000</v>
      </c>
      <c r="N787" s="6">
        <f ca="1">IFERROR(__xludf.DUMMYFUNCTION("SUM(FILTER(J:J, H:H=""Chuyển khoản"")) - SUM(FILTER(K:K, H:H=""Chuyển khoản""))
"),4468984)</f>
        <v>4468984</v>
      </c>
      <c r="O787" s="5"/>
      <c r="P787" s="5"/>
      <c r="Q787" s="5"/>
      <c r="R787" s="5"/>
      <c r="S787" s="5"/>
    </row>
    <row r="788" spans="1:19" ht="15.75" customHeight="1" x14ac:dyDescent="0.2">
      <c r="A788" s="3">
        <v>46106</v>
      </c>
      <c r="B788" s="4" t="str">
        <f>IF(A788="","","PC-"&amp;TEXT(A788,"mm/yyyy")&amp;"-"&amp;TEXT(COUNTIFS($A$2:A788,"&gt;="&amp;EOMONTH(A788,-1)+1,$A$2:A788,"&lt;="&amp;EOMONTH(A788,0)),"000"))</f>
        <v>PC-03/2026-063</v>
      </c>
      <c r="C788" s="5" t="s">
        <v>780</v>
      </c>
      <c r="D788" s="5" t="s">
        <v>29</v>
      </c>
      <c r="E788" s="5" t="s">
        <v>64</v>
      </c>
      <c r="F788" s="5"/>
      <c r="G788" s="5" t="s">
        <v>22</v>
      </c>
      <c r="H788" s="5" t="s">
        <v>23</v>
      </c>
      <c r="I788" s="6">
        <v>1000000</v>
      </c>
      <c r="J788" s="6">
        <f>IF(D788="Thu",I788,0)</f>
        <v>0</v>
      </c>
      <c r="K788" s="6">
        <f>IF(D788="Chi",I788,0)</f>
        <v>1000000</v>
      </c>
      <c r="L788" s="6" t="e">
        <f>L787+J788-K788</f>
        <v>#VALUE!</v>
      </c>
      <c r="M788" s="6">
        <f ca="1">IFERROR(__xludf.DUMMYFUNCTION("SUM(FILTER(J:J, H:H=""Tiền mặt"")) - SUM(FILTER(K:K, H:H=""Tiền mặt""))
"),959000)</f>
        <v>959000</v>
      </c>
      <c r="N788" s="6">
        <f ca="1">IFERROR(__xludf.DUMMYFUNCTION("SUM(FILTER(J:J, H:H=""Chuyển khoản"")) - SUM(FILTER(K:K, H:H=""Chuyển khoản""))
"),4468984)</f>
        <v>4468984</v>
      </c>
      <c r="O788" s="5"/>
      <c r="P788" s="5"/>
      <c r="Q788" s="5"/>
      <c r="R788" s="5"/>
      <c r="S788" s="5"/>
    </row>
    <row r="789" spans="1:19" ht="15.75" customHeight="1" x14ac:dyDescent="0.2">
      <c r="A789" s="3">
        <v>46106</v>
      </c>
      <c r="B789" s="4" t="str">
        <f>IF(A789="","","PC-"&amp;TEXT(A789,"mm/yyyy")&amp;"-"&amp;TEXT(COUNTIFS($A$2:A789,"&gt;="&amp;EOMONTH(A789,-1)+1,$A$2:A789,"&lt;="&amp;EOMONTH(A789,0)),"000"))</f>
        <v>PC-03/2026-064</v>
      </c>
      <c r="C789" s="5" t="s">
        <v>781</v>
      </c>
      <c r="D789" s="5" t="s">
        <v>29</v>
      </c>
      <c r="E789" s="5" t="s">
        <v>75</v>
      </c>
      <c r="F789" s="5"/>
      <c r="G789" s="5" t="s">
        <v>782</v>
      </c>
      <c r="H789" s="5" t="s">
        <v>27</v>
      </c>
      <c r="I789" s="6">
        <v>1800000</v>
      </c>
      <c r="J789" s="6">
        <f>IF(D789="Thu",I789,0)</f>
        <v>0</v>
      </c>
      <c r="K789" s="6">
        <f>IF(D789="Chi",I789,0)</f>
        <v>1800000</v>
      </c>
      <c r="L789" s="6" t="e">
        <f>L788+J789-K789</f>
        <v>#VALUE!</v>
      </c>
      <c r="M789" s="6">
        <f ca="1">IFERROR(__xludf.DUMMYFUNCTION("SUM(FILTER(J:J, H:H=""Tiền mặt"")) - SUM(FILTER(K:K, H:H=""Tiền mặt""))
"),959000)</f>
        <v>959000</v>
      </c>
      <c r="N789" s="6">
        <f ca="1">IFERROR(__xludf.DUMMYFUNCTION("SUM(FILTER(J:J, H:H=""Chuyển khoản"")) - SUM(FILTER(K:K, H:H=""Chuyển khoản""))
"),4468984)</f>
        <v>4468984</v>
      </c>
      <c r="O789" s="5"/>
      <c r="P789" s="5"/>
      <c r="Q789" s="5"/>
      <c r="R789" s="5"/>
      <c r="S789" s="5"/>
    </row>
    <row r="790" spans="1:19" ht="15.75" customHeight="1" x14ac:dyDescent="0.2">
      <c r="A790" s="3">
        <v>46106</v>
      </c>
      <c r="B790" s="4" t="str">
        <f>IF(A790="","","PC-"&amp;TEXT(A790,"mm/yyyy")&amp;"-"&amp;TEXT(COUNTIFS($A$2:A790,"&gt;="&amp;EOMONTH(A790,-1)+1,$A$2:A790,"&lt;="&amp;EOMONTH(A790,0)),"000"))</f>
        <v>PC-03/2026-065</v>
      </c>
      <c r="C790" s="5" t="s">
        <v>783</v>
      </c>
      <c r="D790" s="5" t="s">
        <v>29</v>
      </c>
      <c r="E790" s="5" t="s">
        <v>71</v>
      </c>
      <c r="F790" s="5"/>
      <c r="G790" s="5" t="s">
        <v>72</v>
      </c>
      <c r="H790" s="5" t="s">
        <v>23</v>
      </c>
      <c r="I790" s="6">
        <v>120000</v>
      </c>
      <c r="J790" s="6">
        <f>IF(D790="Thu",I790,0)</f>
        <v>0</v>
      </c>
      <c r="K790" s="6">
        <f>IF(D790="Chi",I790,0)</f>
        <v>120000</v>
      </c>
      <c r="L790" s="6" t="e">
        <f>L789+J790-K790</f>
        <v>#VALUE!</v>
      </c>
      <c r="M790" s="6">
        <f ca="1">IFERROR(__xludf.DUMMYFUNCTION("SUM(FILTER(J:J, H:H=""Tiền mặt"")) - SUM(FILTER(K:K, H:H=""Tiền mặt""))
"),959000)</f>
        <v>959000</v>
      </c>
      <c r="N790" s="6">
        <f ca="1">IFERROR(__xludf.DUMMYFUNCTION("SUM(FILTER(J:J, H:H=""Chuyển khoản"")) - SUM(FILTER(K:K, H:H=""Chuyển khoản""))
"),4468984)</f>
        <v>4468984</v>
      </c>
      <c r="O790" s="5"/>
      <c r="P790" s="5"/>
      <c r="Q790" s="5"/>
      <c r="R790" s="5"/>
      <c r="S790" s="5"/>
    </row>
    <row r="791" spans="1:19" ht="15.75" customHeight="1" x14ac:dyDescent="0.2">
      <c r="A791" s="3">
        <v>46106</v>
      </c>
      <c r="B791" s="4" t="str">
        <f>IF(A791="","","PC-"&amp;TEXT(A791,"mm/yyyy")&amp;"-"&amp;TEXT(COUNTIFS($A$2:A791,"&gt;="&amp;EOMONTH(A791,-1)+1,$A$2:A791,"&lt;="&amp;EOMONTH(A791,0)),"000"))</f>
        <v>PC-03/2026-066</v>
      </c>
      <c r="C791" s="5" t="s">
        <v>784</v>
      </c>
      <c r="D791" s="5" t="s">
        <v>29</v>
      </c>
      <c r="E791" s="5" t="s">
        <v>41</v>
      </c>
      <c r="F791" s="5"/>
      <c r="G791" s="5" t="s">
        <v>82</v>
      </c>
      <c r="H791" s="5" t="s">
        <v>23</v>
      </c>
      <c r="I791" s="6">
        <v>100000</v>
      </c>
      <c r="J791" s="6">
        <f>IF(D791="Thu",I791,0)</f>
        <v>0</v>
      </c>
      <c r="K791" s="6">
        <f>IF(D791="Chi",I791,0)</f>
        <v>100000</v>
      </c>
      <c r="L791" s="6" t="e">
        <f>L790+J791-K791</f>
        <v>#VALUE!</v>
      </c>
      <c r="M791" s="6">
        <f ca="1">IFERROR(__xludf.DUMMYFUNCTION("SUM(FILTER(J:J, H:H=""Tiền mặt"")) - SUM(FILTER(K:K, H:H=""Tiền mặt""))
"),959000)</f>
        <v>959000</v>
      </c>
      <c r="N791" s="6">
        <f ca="1">IFERROR(__xludf.DUMMYFUNCTION("SUM(FILTER(J:J, H:H=""Chuyển khoản"")) - SUM(FILTER(K:K, H:H=""Chuyển khoản""))
"),4468984)</f>
        <v>4468984</v>
      </c>
      <c r="O791" s="5"/>
      <c r="P791" s="5"/>
      <c r="Q791" s="5"/>
      <c r="R791" s="5"/>
      <c r="S791" s="5"/>
    </row>
    <row r="792" spans="1:19" ht="15.75" customHeight="1" x14ac:dyDescent="0.2">
      <c r="A792" s="3">
        <v>46106</v>
      </c>
      <c r="B792" s="4" t="str">
        <f>IF(A792="","","PC-"&amp;TEXT(A792,"mm/yyyy")&amp;"-"&amp;TEXT(COUNTIFS($A$2:A792,"&gt;="&amp;EOMONTH(A792,-1)+1,$A$2:A792,"&lt;="&amp;EOMONTH(A792,0)),"000"))</f>
        <v>PC-03/2026-067</v>
      </c>
      <c r="C792" s="5" t="s">
        <v>785</v>
      </c>
      <c r="D792" s="5" t="s">
        <v>29</v>
      </c>
      <c r="E792" s="5" t="s">
        <v>41</v>
      </c>
      <c r="F792" s="5"/>
      <c r="G792" s="5" t="s">
        <v>192</v>
      </c>
      <c r="H792" s="5" t="s">
        <v>23</v>
      </c>
      <c r="I792" s="6">
        <v>100000</v>
      </c>
      <c r="J792" s="6">
        <f>IF(D792="Thu",I792,0)</f>
        <v>0</v>
      </c>
      <c r="K792" s="6">
        <f>IF(D792="Chi",I792,0)</f>
        <v>100000</v>
      </c>
      <c r="L792" s="6" t="e">
        <f>L791+J792-K792</f>
        <v>#VALUE!</v>
      </c>
      <c r="M792" s="6">
        <f ca="1">IFERROR(__xludf.DUMMYFUNCTION("SUM(FILTER(J:J, H:H=""Tiền mặt"")) - SUM(FILTER(K:K, H:H=""Tiền mặt""))
"),959000)</f>
        <v>959000</v>
      </c>
      <c r="N792" s="6">
        <f ca="1">IFERROR(__xludf.DUMMYFUNCTION("SUM(FILTER(J:J, H:H=""Chuyển khoản"")) - SUM(FILTER(K:K, H:H=""Chuyển khoản""))
"),4468984)</f>
        <v>4468984</v>
      </c>
      <c r="O792" s="5"/>
      <c r="P792" s="5"/>
      <c r="Q792" s="5"/>
      <c r="R792" s="5"/>
      <c r="S792" s="5"/>
    </row>
    <row r="793" spans="1:19" ht="15.75" customHeight="1" x14ac:dyDescent="0.2">
      <c r="A793" s="3">
        <v>46106</v>
      </c>
      <c r="B793" s="4" t="str">
        <f>IF(A793="","","PC-"&amp;TEXT(A793,"mm/yyyy")&amp;"-"&amp;TEXT(COUNTIFS($A$2:A793,"&gt;="&amp;EOMONTH(A793,-1)+1,$A$2:A793,"&lt;="&amp;EOMONTH(A793,0)),"000"))</f>
        <v>PC-03/2026-068</v>
      </c>
      <c r="C793" s="5" t="s">
        <v>786</v>
      </c>
      <c r="D793" s="5" t="s">
        <v>29</v>
      </c>
      <c r="E793" s="5" t="s">
        <v>51</v>
      </c>
      <c r="F793" s="5"/>
      <c r="G793" s="5" t="s">
        <v>52</v>
      </c>
      <c r="H793" s="5" t="s">
        <v>27</v>
      </c>
      <c r="I793" s="6">
        <v>237600</v>
      </c>
      <c r="J793" s="6">
        <f>IF(D793="Thu",I793,0)</f>
        <v>0</v>
      </c>
      <c r="K793" s="6">
        <f>IF(D793="Chi",I793,0)</f>
        <v>237600</v>
      </c>
      <c r="L793" s="6" t="e">
        <f>L792+J793-K793</f>
        <v>#VALUE!</v>
      </c>
      <c r="M793" s="6">
        <f ca="1">IFERROR(__xludf.DUMMYFUNCTION("SUM(FILTER(J:J, H:H=""Tiền mặt"")) - SUM(FILTER(K:K, H:H=""Tiền mặt""))
"),959000)</f>
        <v>959000</v>
      </c>
      <c r="N793" s="6">
        <f ca="1">IFERROR(__xludf.DUMMYFUNCTION("SUM(FILTER(J:J, H:H=""Chuyển khoản"")) - SUM(FILTER(K:K, H:H=""Chuyển khoản""))
"),4468984)</f>
        <v>4468984</v>
      </c>
      <c r="O793" s="5"/>
      <c r="P793" s="5"/>
      <c r="Q793" s="5"/>
      <c r="R793" s="5"/>
      <c r="S793" s="5"/>
    </row>
    <row r="794" spans="1:19" ht="15.75" customHeight="1" x14ac:dyDescent="0.2">
      <c r="A794" s="3">
        <v>46106</v>
      </c>
      <c r="B794" s="4" t="str">
        <f>IF(A794="","","PC-"&amp;TEXT(A794,"mm/yyyy")&amp;"-"&amp;TEXT(COUNTIFS($A$2:A794,"&gt;="&amp;EOMONTH(A794,-1)+1,$A$2:A794,"&lt;="&amp;EOMONTH(A794,0)),"000"))</f>
        <v>PC-03/2026-069</v>
      </c>
      <c r="C794" s="5" t="s">
        <v>787</v>
      </c>
      <c r="D794" s="5" t="s">
        <v>29</v>
      </c>
      <c r="E794" s="5" t="s">
        <v>44</v>
      </c>
      <c r="F794" s="5"/>
      <c r="G794" s="5" t="s">
        <v>22</v>
      </c>
      <c r="H794" s="5" t="s">
        <v>23</v>
      </c>
      <c r="I794" s="6">
        <v>0</v>
      </c>
      <c r="J794" s="6">
        <f>IF(D794="Thu",I794,0)</f>
        <v>0</v>
      </c>
      <c r="K794" s="6">
        <f>IF(D794="Chi",I794,0)</f>
        <v>0</v>
      </c>
      <c r="L794" s="6" t="e">
        <f>L793+J794-K794</f>
        <v>#VALUE!</v>
      </c>
      <c r="M794" s="6">
        <f ca="1">IFERROR(__xludf.DUMMYFUNCTION("SUM(FILTER(J:J, H:H=""Tiền mặt"")) - SUM(FILTER(K:K, H:H=""Tiền mặt""))
"),959000)</f>
        <v>959000</v>
      </c>
      <c r="N794" s="6">
        <f ca="1">IFERROR(__xludf.DUMMYFUNCTION("SUM(FILTER(J:J, H:H=""Chuyển khoản"")) - SUM(FILTER(K:K, H:H=""Chuyển khoản""))
"),4468984)</f>
        <v>4468984</v>
      </c>
      <c r="O794" s="5"/>
      <c r="P794" s="5"/>
      <c r="Q794" s="5"/>
      <c r="R794" s="5"/>
      <c r="S794" s="5"/>
    </row>
    <row r="795" spans="1:19" ht="15.75" customHeight="1" x14ac:dyDescent="0.2">
      <c r="A795" s="3">
        <v>46106</v>
      </c>
      <c r="B795" s="4" t="str">
        <f>IF(A795="","","PC-"&amp;TEXT(A795,"mm/yyyy")&amp;"-"&amp;TEXT(COUNTIFS($A$2:A795,"&gt;="&amp;EOMONTH(A795,-1)+1,$A$2:A795,"&lt;="&amp;EOMONTH(A795,0)),"000"))</f>
        <v>PC-03/2026-070</v>
      </c>
      <c r="C795" s="5" t="s">
        <v>788</v>
      </c>
      <c r="D795" s="5" t="s">
        <v>29</v>
      </c>
      <c r="E795" s="5" t="s">
        <v>64</v>
      </c>
      <c r="F795" s="5"/>
      <c r="G795" s="5" t="s">
        <v>217</v>
      </c>
      <c r="H795" s="5" t="s">
        <v>27</v>
      </c>
      <c r="I795" s="6">
        <v>110000</v>
      </c>
      <c r="J795" s="6">
        <f>IF(D795="Thu",I795,0)</f>
        <v>0</v>
      </c>
      <c r="K795" s="6">
        <f>IF(D795="Chi",I795,0)</f>
        <v>110000</v>
      </c>
      <c r="L795" s="6" t="e">
        <f>L794+J795-K795</f>
        <v>#VALUE!</v>
      </c>
      <c r="M795" s="6">
        <f ca="1">IFERROR(__xludf.DUMMYFUNCTION("SUM(FILTER(J:J, H:H=""Tiền mặt"")) - SUM(FILTER(K:K, H:H=""Tiền mặt""))
"),959000)</f>
        <v>959000</v>
      </c>
      <c r="N795" s="6">
        <f ca="1">IFERROR(__xludf.DUMMYFUNCTION("SUM(FILTER(J:J, H:H=""Chuyển khoản"")) - SUM(FILTER(K:K, H:H=""Chuyển khoản""))
"),4468984)</f>
        <v>4468984</v>
      </c>
      <c r="O795" s="5"/>
      <c r="P795" s="5"/>
      <c r="Q795" s="5"/>
      <c r="R795" s="5"/>
      <c r="S795" s="5"/>
    </row>
    <row r="796" spans="1:19" ht="15.75" customHeight="1" x14ac:dyDescent="0.2">
      <c r="A796" s="3">
        <v>46106</v>
      </c>
      <c r="B796" s="4" t="str">
        <f>IF(A796="","","PC-"&amp;TEXT(A796,"mm/yyyy")&amp;"-"&amp;TEXT(COUNTIFS($A$2:A796,"&gt;="&amp;EOMONTH(A796,-1)+1,$A$2:A796,"&lt;="&amp;EOMONTH(A796,0)),"000"))</f>
        <v>PC-03/2026-071</v>
      </c>
      <c r="C796" s="5" t="s">
        <v>789</v>
      </c>
      <c r="D796" s="5" t="s">
        <v>29</v>
      </c>
      <c r="E796" s="5" t="s">
        <v>88</v>
      </c>
      <c r="F796" s="5"/>
      <c r="G796" s="5" t="s">
        <v>790</v>
      </c>
      <c r="H796" s="5" t="s">
        <v>23</v>
      </c>
      <c r="I796" s="6">
        <v>2000000</v>
      </c>
      <c r="J796" s="6">
        <f>IF(D796="Thu",I796,0)</f>
        <v>0</v>
      </c>
      <c r="K796" s="6">
        <f>IF(D796="Chi",I796,0)</f>
        <v>2000000</v>
      </c>
      <c r="L796" s="6" t="e">
        <f>L795+J796-K796</f>
        <v>#VALUE!</v>
      </c>
      <c r="M796" s="6">
        <f ca="1">IFERROR(__xludf.DUMMYFUNCTION("SUM(FILTER(J:J, H:H=""Tiền mặt"")) - SUM(FILTER(K:K, H:H=""Tiền mặt""))
"),959000)</f>
        <v>959000</v>
      </c>
      <c r="N796" s="6">
        <f ca="1">IFERROR(__xludf.DUMMYFUNCTION("SUM(FILTER(J:J, H:H=""Chuyển khoản"")) - SUM(FILTER(K:K, H:H=""Chuyển khoản""))
"),4468984)</f>
        <v>4468984</v>
      </c>
      <c r="O796" s="5"/>
      <c r="P796" s="5"/>
      <c r="Q796" s="5"/>
      <c r="R796" s="5"/>
      <c r="S796" s="5"/>
    </row>
    <row r="797" spans="1:19" ht="15.75" customHeight="1" x14ac:dyDescent="0.2">
      <c r="A797" s="3">
        <v>46105</v>
      </c>
      <c r="B797" s="4" t="str">
        <f>IF(A797="","","PC-"&amp;TEXT(A797,"mm/yyyy")&amp;"-"&amp;TEXT(COUNTIFS($A$2:A797,"&gt;="&amp;EOMONTH(A797,-1)+1,$A$2:A797,"&lt;="&amp;EOMONTH(A797,0)),"000"))</f>
        <v>PC-03/2026-072</v>
      </c>
      <c r="C797" s="5" t="s">
        <v>765</v>
      </c>
      <c r="D797" s="5" t="s">
        <v>29</v>
      </c>
      <c r="E797" s="5" t="s">
        <v>36</v>
      </c>
      <c r="F797" s="5"/>
      <c r="G797" s="5" t="s">
        <v>37</v>
      </c>
      <c r="H797" s="5" t="s">
        <v>23</v>
      </c>
      <c r="I797" s="6">
        <v>138000</v>
      </c>
      <c r="J797" s="6">
        <f>IF(D797="Thu",I797,0)</f>
        <v>0</v>
      </c>
      <c r="K797" s="6">
        <f>IF(D797="Chi",I797,0)</f>
        <v>138000</v>
      </c>
      <c r="L797" s="6" t="e">
        <f>L796+J797-K797</f>
        <v>#VALUE!</v>
      </c>
      <c r="M797" s="6">
        <f ca="1">IFERROR(__xludf.DUMMYFUNCTION("SUM(FILTER(J:J, H:H=""Tiền mặt"")) - SUM(FILTER(K:K, H:H=""Tiền mặt""))
"),959000)</f>
        <v>959000</v>
      </c>
      <c r="N797" s="6">
        <f ca="1">IFERROR(__xludf.DUMMYFUNCTION("SUM(FILTER(J:J, H:H=""Chuyển khoản"")) - SUM(FILTER(K:K, H:H=""Chuyển khoản""))
"),4468984)</f>
        <v>4468984</v>
      </c>
      <c r="O797" s="5"/>
      <c r="P797" s="5"/>
      <c r="Q797" s="5"/>
      <c r="R797" s="5"/>
      <c r="S797" s="5"/>
    </row>
    <row r="798" spans="1:19" ht="15.75" customHeight="1" x14ac:dyDescent="0.2">
      <c r="A798" s="3">
        <v>46105</v>
      </c>
      <c r="B798" s="4" t="str">
        <f>IF(A798="","","PC-"&amp;TEXT(A798,"mm/yyyy")&amp;"-"&amp;TEXT(COUNTIFS($A$2:A798,"&gt;="&amp;EOMONTH(A798,-1)+1,$A$2:A798,"&lt;="&amp;EOMONTH(A798,0)),"000"))</f>
        <v>PC-03/2026-073</v>
      </c>
      <c r="C798" s="5" t="s">
        <v>766</v>
      </c>
      <c r="D798" s="5" t="s">
        <v>29</v>
      </c>
      <c r="E798" s="5" t="s">
        <v>51</v>
      </c>
      <c r="F798" s="5"/>
      <c r="G798" s="5" t="s">
        <v>52</v>
      </c>
      <c r="H798" s="5" t="s">
        <v>27</v>
      </c>
      <c r="I798" s="6">
        <v>146578</v>
      </c>
      <c r="J798" s="6">
        <f>IF(D798="Thu",I798,0)</f>
        <v>0</v>
      </c>
      <c r="K798" s="6">
        <f>IF(D798="Chi",I798,0)</f>
        <v>146578</v>
      </c>
      <c r="L798" s="6" t="e">
        <f>L797+J798-K798</f>
        <v>#VALUE!</v>
      </c>
      <c r="M798" s="6">
        <f ca="1">IFERROR(__xludf.DUMMYFUNCTION("SUM(FILTER(J:J, H:H=""Tiền mặt"")) - SUM(FILTER(K:K, H:H=""Tiền mặt""))
"),959000)</f>
        <v>959000</v>
      </c>
      <c r="N798" s="6">
        <f ca="1">IFERROR(__xludf.DUMMYFUNCTION("SUM(FILTER(J:J, H:H=""Chuyển khoản"")) - SUM(FILTER(K:K, H:H=""Chuyển khoản""))
"),4468984)</f>
        <v>4468984</v>
      </c>
      <c r="O798" s="5"/>
      <c r="P798" s="5"/>
      <c r="Q798" s="5"/>
      <c r="R798" s="5"/>
      <c r="S798" s="5"/>
    </row>
    <row r="799" spans="1:19" ht="15.75" customHeight="1" x14ac:dyDescent="0.2">
      <c r="A799" s="3">
        <v>46105</v>
      </c>
      <c r="B799" s="4" t="str">
        <f>IF(A799="","","PC-"&amp;TEXT(A799,"mm/yyyy")&amp;"-"&amp;TEXT(COUNTIFS($A$2:A799,"&gt;="&amp;EOMONTH(A799,-1)+1,$A$2:A799,"&lt;="&amp;EOMONTH(A799,0)),"000"))</f>
        <v>PC-03/2026-074</v>
      </c>
      <c r="C799" s="5" t="s">
        <v>767</v>
      </c>
      <c r="D799" s="5" t="s">
        <v>29</v>
      </c>
      <c r="E799" s="5" t="s">
        <v>51</v>
      </c>
      <c r="F799" s="5"/>
      <c r="G799" s="5" t="s">
        <v>52</v>
      </c>
      <c r="H799" s="5" t="s">
        <v>27</v>
      </c>
      <c r="I799" s="6">
        <v>133868</v>
      </c>
      <c r="J799" s="6">
        <f>IF(D799="Thu",I799,0)</f>
        <v>0</v>
      </c>
      <c r="K799" s="6">
        <f>IF(D799="Chi",I799,0)</f>
        <v>133868</v>
      </c>
      <c r="L799" s="6" t="e">
        <f>L798+J799-K799</f>
        <v>#VALUE!</v>
      </c>
      <c r="M799" s="6">
        <f ca="1">IFERROR(__xludf.DUMMYFUNCTION("SUM(FILTER(J:J, H:H=""Tiền mặt"")) - SUM(FILTER(K:K, H:H=""Tiền mặt""))
"),959000)</f>
        <v>959000</v>
      </c>
      <c r="N799" s="6">
        <f ca="1">IFERROR(__xludf.DUMMYFUNCTION("SUM(FILTER(J:J, H:H=""Chuyển khoản"")) - SUM(FILTER(K:K, H:H=""Chuyển khoản""))
"),4468984)</f>
        <v>4468984</v>
      </c>
      <c r="O799" s="5"/>
      <c r="P799" s="5"/>
      <c r="Q799" s="5"/>
      <c r="R799" s="5"/>
      <c r="S799" s="5"/>
    </row>
    <row r="800" spans="1:19" ht="15.75" customHeight="1" x14ac:dyDescent="0.2">
      <c r="A800" s="3">
        <v>46105</v>
      </c>
      <c r="B800" s="4" t="str">
        <f>IF(A800="","","PC-"&amp;TEXT(A800,"mm/yyyy")&amp;"-"&amp;TEXT(COUNTIFS($A$2:A800,"&gt;="&amp;EOMONTH(A800,-1)+1,$A$2:A800,"&lt;="&amp;EOMONTH(A800,0)),"000"))</f>
        <v>PC-03/2026-075</v>
      </c>
      <c r="C800" s="5" t="s">
        <v>768</v>
      </c>
      <c r="D800" s="5" t="s">
        <v>29</v>
      </c>
      <c r="E800" s="5" t="s">
        <v>41</v>
      </c>
      <c r="F800" s="5"/>
      <c r="G800" s="5" t="s">
        <v>192</v>
      </c>
      <c r="H800" s="5" t="s">
        <v>23</v>
      </c>
      <c r="I800" s="6">
        <v>100000</v>
      </c>
      <c r="J800" s="6">
        <f>IF(D800="Thu",I800,0)</f>
        <v>0</v>
      </c>
      <c r="K800" s="6">
        <f>IF(D800="Chi",I800,0)</f>
        <v>100000</v>
      </c>
      <c r="L800" s="6" t="e">
        <f>L799+J800-K800</f>
        <v>#VALUE!</v>
      </c>
      <c r="M800" s="6">
        <f ca="1">IFERROR(__xludf.DUMMYFUNCTION("SUM(FILTER(J:J, H:H=""Tiền mặt"")) - SUM(FILTER(K:K, H:H=""Tiền mặt""))
"),959000)</f>
        <v>959000</v>
      </c>
      <c r="N800" s="6">
        <f ca="1">IFERROR(__xludf.DUMMYFUNCTION("SUM(FILTER(J:J, H:H=""Chuyển khoản"")) - SUM(FILTER(K:K, H:H=""Chuyển khoản""))
"),4468984)</f>
        <v>4468984</v>
      </c>
      <c r="O800" s="5"/>
      <c r="P800" s="5"/>
      <c r="Q800" s="5"/>
      <c r="R800" s="5"/>
      <c r="S800" s="5"/>
    </row>
    <row r="801" spans="1:19" ht="15.75" customHeight="1" x14ac:dyDescent="0.2">
      <c r="A801" s="3">
        <v>46105</v>
      </c>
      <c r="B801" s="4" t="str">
        <f>IF(A801="","","PC-"&amp;TEXT(A801,"mm/yyyy")&amp;"-"&amp;TEXT(COUNTIFS($A$2:A801,"&gt;="&amp;EOMONTH(A801,-1)+1,$A$2:A801,"&lt;="&amp;EOMONTH(A801,0)),"000"))</f>
        <v>PC-03/2026-076</v>
      </c>
      <c r="C801" s="5" t="s">
        <v>769</v>
      </c>
      <c r="D801" s="5" t="s">
        <v>29</v>
      </c>
      <c r="E801" s="5" t="s">
        <v>64</v>
      </c>
      <c r="F801" s="5"/>
      <c r="G801" s="5" t="s">
        <v>22</v>
      </c>
      <c r="H801" s="5" t="s">
        <v>23</v>
      </c>
      <c r="I801" s="6">
        <v>1000000</v>
      </c>
      <c r="J801" s="6">
        <f>IF(D801="Thu",I801,0)</f>
        <v>0</v>
      </c>
      <c r="K801" s="6">
        <f>IF(D801="Chi",I801,0)</f>
        <v>1000000</v>
      </c>
      <c r="L801" s="6" t="e">
        <f>L800+J801-K801</f>
        <v>#VALUE!</v>
      </c>
      <c r="M801" s="6">
        <f ca="1">IFERROR(__xludf.DUMMYFUNCTION("SUM(FILTER(J:J, H:H=""Tiền mặt"")) - SUM(FILTER(K:K, H:H=""Tiền mặt""))
"),959000)</f>
        <v>959000</v>
      </c>
      <c r="N801" s="6">
        <f ca="1">IFERROR(__xludf.DUMMYFUNCTION("SUM(FILTER(J:J, H:H=""Chuyển khoản"")) - SUM(FILTER(K:K, H:H=""Chuyển khoản""))
"),4468984)</f>
        <v>4468984</v>
      </c>
      <c r="O801" s="5"/>
      <c r="P801" s="5"/>
      <c r="Q801" s="5"/>
      <c r="R801" s="5"/>
      <c r="S801" s="5"/>
    </row>
    <row r="802" spans="1:19" ht="15.75" customHeight="1" x14ac:dyDescent="0.2">
      <c r="A802" s="3">
        <v>46105</v>
      </c>
      <c r="B802" s="4" t="str">
        <f>IF(A802="","","PC-"&amp;TEXT(A802,"mm/yyyy")&amp;"-"&amp;TEXT(COUNTIFS($A$2:A802,"&gt;="&amp;EOMONTH(A802,-1)+1,$A$2:A802,"&lt;="&amp;EOMONTH(A802,0)),"000"))</f>
        <v>PC-03/2026-077</v>
      </c>
      <c r="C802" s="7" t="s">
        <v>770</v>
      </c>
      <c r="D802" s="5" t="s">
        <v>29</v>
      </c>
      <c r="E802" s="5" t="s">
        <v>44</v>
      </c>
      <c r="F802" s="5"/>
      <c r="G802" s="5" t="s">
        <v>22</v>
      </c>
      <c r="H802" s="5" t="s">
        <v>23</v>
      </c>
      <c r="I802" s="6">
        <v>0</v>
      </c>
      <c r="J802" s="6">
        <f>IF(D802="Thu",I802,0)</f>
        <v>0</v>
      </c>
      <c r="K802" s="6">
        <f>IF(D802="Chi",I802,0)</f>
        <v>0</v>
      </c>
      <c r="L802" s="6" t="e">
        <f>L801+J802-K802</f>
        <v>#VALUE!</v>
      </c>
      <c r="M802" s="6">
        <f ca="1">IFERROR(__xludf.DUMMYFUNCTION("SUM(FILTER(J:J, H:H=""Tiền mặt"")) - SUM(FILTER(K:K, H:H=""Tiền mặt""))
"),959000)</f>
        <v>959000</v>
      </c>
      <c r="N802" s="6">
        <f ca="1">IFERROR(__xludf.DUMMYFUNCTION("SUM(FILTER(J:J, H:H=""Chuyển khoản"")) - SUM(FILTER(K:K, H:H=""Chuyển khoản""))
"),4468984)</f>
        <v>4468984</v>
      </c>
      <c r="O802" s="5"/>
      <c r="P802" s="5"/>
      <c r="Q802" s="5"/>
      <c r="R802" s="5"/>
      <c r="S802" s="5"/>
    </row>
    <row r="803" spans="1:19" ht="15.75" customHeight="1" x14ac:dyDescent="0.2">
      <c r="A803" s="3">
        <v>46105</v>
      </c>
      <c r="B803" s="4" t="str">
        <f>IF(A803="","","PC-"&amp;TEXT(A803,"mm/yyyy")&amp;"-"&amp;TEXT(COUNTIFS($A$2:A803,"&gt;="&amp;EOMONTH(A803,-1)+1,$A$2:A803,"&lt;="&amp;EOMONTH(A803,0)),"000"))</f>
        <v>PC-03/2026-078</v>
      </c>
      <c r="C803" s="5" t="s">
        <v>771</v>
      </c>
      <c r="D803" s="5" t="s">
        <v>29</v>
      </c>
      <c r="E803" s="5" t="s">
        <v>44</v>
      </c>
      <c r="F803" s="5"/>
      <c r="G803" s="5" t="s">
        <v>22</v>
      </c>
      <c r="H803" s="5" t="s">
        <v>23</v>
      </c>
      <c r="I803" s="6">
        <v>0</v>
      </c>
      <c r="J803" s="6">
        <f>IF(D803="Thu",I803,0)</f>
        <v>0</v>
      </c>
      <c r="K803" s="6">
        <f>IF(D803="Chi",I803,0)</f>
        <v>0</v>
      </c>
      <c r="L803" s="6" t="e">
        <f>L802+J803-K803</f>
        <v>#VALUE!</v>
      </c>
      <c r="M803" s="6">
        <f ca="1">IFERROR(__xludf.DUMMYFUNCTION("SUM(FILTER(J:J, H:H=""Tiền mặt"")) - SUM(FILTER(K:K, H:H=""Tiền mặt""))
"),959000)</f>
        <v>959000</v>
      </c>
      <c r="N803" s="6">
        <f ca="1">IFERROR(__xludf.DUMMYFUNCTION("SUM(FILTER(J:J, H:H=""Chuyển khoản"")) - SUM(FILTER(K:K, H:H=""Chuyển khoản""))
"),4468984)</f>
        <v>4468984</v>
      </c>
      <c r="O803" s="5"/>
      <c r="P803" s="5"/>
      <c r="Q803" s="5"/>
      <c r="R803" s="5"/>
      <c r="S803" s="5"/>
    </row>
    <row r="804" spans="1:19" ht="15.75" customHeight="1" x14ac:dyDescent="0.2">
      <c r="A804" s="3">
        <v>46105</v>
      </c>
      <c r="B804" s="4" t="str">
        <f>IF(A804="","","PC-"&amp;TEXT(A804,"mm/yyyy")&amp;"-"&amp;TEXT(COUNTIFS($A$2:A804,"&gt;="&amp;EOMONTH(A804,-1)+1,$A$2:A804,"&lt;="&amp;EOMONTH(A804,0)),"000"))</f>
        <v>PC-03/2026-079</v>
      </c>
      <c r="C804" s="5" t="s">
        <v>772</v>
      </c>
      <c r="D804" s="5" t="s">
        <v>29</v>
      </c>
      <c r="E804" s="5" t="s">
        <v>47</v>
      </c>
      <c r="F804" s="5"/>
      <c r="G804" s="5" t="s">
        <v>48</v>
      </c>
      <c r="H804" s="5" t="s">
        <v>23</v>
      </c>
      <c r="I804" s="6">
        <v>100000</v>
      </c>
      <c r="J804" s="6">
        <f>IF(D804="Thu",I804,0)</f>
        <v>0</v>
      </c>
      <c r="K804" s="6">
        <f>IF(D804="Chi",I804,0)</f>
        <v>100000</v>
      </c>
      <c r="L804" s="6" t="e">
        <f>L803+J804-K804</f>
        <v>#VALUE!</v>
      </c>
      <c r="M804" s="6">
        <f ca="1">IFERROR(__xludf.DUMMYFUNCTION("SUM(FILTER(J:J, H:H=""Tiền mặt"")) - SUM(FILTER(K:K, H:H=""Tiền mặt""))
"),959000)</f>
        <v>959000</v>
      </c>
      <c r="N804" s="6">
        <f ca="1">IFERROR(__xludf.DUMMYFUNCTION("SUM(FILTER(J:J, H:H=""Chuyển khoản"")) - SUM(FILTER(K:K, H:H=""Chuyển khoản""))
"),4468984)</f>
        <v>4468984</v>
      </c>
      <c r="O804" s="5"/>
      <c r="P804" s="5"/>
      <c r="Q804" s="5"/>
      <c r="R804" s="5"/>
      <c r="S804" s="5"/>
    </row>
    <row r="805" spans="1:19" ht="15.75" customHeight="1" x14ac:dyDescent="0.2">
      <c r="A805" s="3">
        <v>46104</v>
      </c>
      <c r="B805" s="4" t="str">
        <f>IF(A805="","","PC-"&amp;TEXT(A805,"mm/yyyy")&amp;"-"&amp;TEXT(COUNTIFS($A$2:A805,"&gt;="&amp;EOMONTH(A805,-1)+1,$A$2:A805,"&lt;="&amp;EOMONTH(A805,0)),"000"))</f>
        <v>PC-03/2026-080</v>
      </c>
      <c r="C805" s="5" t="s">
        <v>755</v>
      </c>
      <c r="D805" s="5" t="s">
        <v>29</v>
      </c>
      <c r="E805" s="5" t="s">
        <v>44</v>
      </c>
      <c r="F805" s="5"/>
      <c r="G805" s="5" t="s">
        <v>681</v>
      </c>
      <c r="H805" s="5" t="s">
        <v>23</v>
      </c>
      <c r="I805" s="6">
        <v>1500000</v>
      </c>
      <c r="J805" s="6">
        <f>IF(D805="Thu",I805,0)</f>
        <v>0</v>
      </c>
      <c r="K805" s="6">
        <f>IF(D805="Chi",I805,0)</f>
        <v>1500000</v>
      </c>
      <c r="L805" s="6" t="e">
        <f>L804+J805-K805</f>
        <v>#VALUE!</v>
      </c>
      <c r="M805" s="6">
        <f ca="1">IFERROR(__xludf.DUMMYFUNCTION("SUM(FILTER(J:J, H:H=""Tiền mặt"")) - SUM(FILTER(K:K, H:H=""Tiền mặt""))
"),959000)</f>
        <v>959000</v>
      </c>
      <c r="N805" s="6">
        <f ca="1">IFERROR(__xludf.DUMMYFUNCTION("SUM(FILTER(J:J, H:H=""Chuyển khoản"")) - SUM(FILTER(K:K, H:H=""Chuyển khoản""))
"),4468984)</f>
        <v>4468984</v>
      </c>
      <c r="O805" s="5"/>
      <c r="P805" s="5"/>
      <c r="Q805" s="5"/>
      <c r="R805" s="5"/>
      <c r="S805" s="5"/>
    </row>
    <row r="806" spans="1:19" ht="15.75" customHeight="1" x14ac:dyDescent="0.2">
      <c r="A806" s="3">
        <v>46104</v>
      </c>
      <c r="B806" s="4" t="str">
        <f>IF(A806="","","PC-"&amp;TEXT(A806,"mm/yyyy")&amp;"-"&amp;TEXT(COUNTIFS($A$2:A806,"&gt;="&amp;EOMONTH(A806,-1)+1,$A$2:A806,"&lt;="&amp;EOMONTH(A806,0)),"000"))</f>
        <v>PC-03/2026-081</v>
      </c>
      <c r="C806" s="5" t="s">
        <v>756</v>
      </c>
      <c r="D806" s="5" t="s">
        <v>29</v>
      </c>
      <c r="E806" s="5" t="s">
        <v>47</v>
      </c>
      <c r="F806" s="5"/>
      <c r="G806" s="5" t="s">
        <v>48</v>
      </c>
      <c r="H806" s="5" t="s">
        <v>23</v>
      </c>
      <c r="I806" s="6">
        <v>50000</v>
      </c>
      <c r="J806" s="6">
        <f>IF(D806="Thu",I806,0)</f>
        <v>0</v>
      </c>
      <c r="K806" s="6">
        <f>IF(D806="Chi",I806,0)</f>
        <v>50000</v>
      </c>
      <c r="L806" s="6" t="e">
        <f>L805+J806-K806</f>
        <v>#VALUE!</v>
      </c>
      <c r="M806" s="6">
        <f ca="1">IFERROR(__xludf.DUMMYFUNCTION("SUM(FILTER(J:J, H:H=""Tiền mặt"")) - SUM(FILTER(K:K, H:H=""Tiền mặt""))
"),959000)</f>
        <v>959000</v>
      </c>
      <c r="N806" s="6">
        <f ca="1">IFERROR(__xludf.DUMMYFUNCTION("SUM(FILTER(J:J, H:H=""Chuyển khoản"")) - SUM(FILTER(K:K, H:H=""Chuyển khoản""))
"),4468984)</f>
        <v>4468984</v>
      </c>
      <c r="O806" s="5"/>
      <c r="P806" s="5"/>
      <c r="Q806" s="5"/>
      <c r="R806" s="5"/>
      <c r="S806" s="5"/>
    </row>
    <row r="807" spans="1:19" ht="15.75" customHeight="1" x14ac:dyDescent="0.2">
      <c r="A807" s="3">
        <v>46104</v>
      </c>
      <c r="B807" s="4" t="str">
        <f>IF(A807="","","PC-"&amp;TEXT(A807,"mm/yyyy")&amp;"-"&amp;TEXT(COUNTIFS($A$2:A807,"&gt;="&amp;EOMONTH(A807,-1)+1,$A$2:A807,"&lt;="&amp;EOMONTH(A807,0)),"000"))</f>
        <v>PC-03/2026-082</v>
      </c>
      <c r="C807" s="7" t="s">
        <v>68</v>
      </c>
      <c r="D807" s="5" t="s">
        <v>20</v>
      </c>
      <c r="E807" s="5" t="s">
        <v>68</v>
      </c>
      <c r="F807" s="5"/>
      <c r="G807" s="7" t="s">
        <v>757</v>
      </c>
      <c r="H807" s="5" t="s">
        <v>23</v>
      </c>
      <c r="I807" s="6">
        <v>200000</v>
      </c>
      <c r="J807" s="6">
        <f>IF(D807="Thu",I807,0)</f>
        <v>200000</v>
      </c>
      <c r="K807" s="6">
        <f>IF(D807="Chi",I807,0)</f>
        <v>0</v>
      </c>
      <c r="L807" s="6" t="e">
        <f>L806+J807-K807</f>
        <v>#VALUE!</v>
      </c>
      <c r="M807" s="6">
        <f ca="1">IFERROR(__xludf.DUMMYFUNCTION("SUM(FILTER(J:J, H:H=""Tiền mặt"")) - SUM(FILTER(K:K, H:H=""Tiền mặt""))
"),959000)</f>
        <v>959000</v>
      </c>
      <c r="N807" s="6">
        <f ca="1">IFERROR(__xludf.DUMMYFUNCTION("SUM(FILTER(J:J, H:H=""Chuyển khoản"")) - SUM(FILTER(K:K, H:H=""Chuyển khoản""))
"),4468984)</f>
        <v>4468984</v>
      </c>
      <c r="O807" s="5"/>
      <c r="P807" s="5"/>
      <c r="Q807" s="5"/>
      <c r="R807" s="5"/>
      <c r="S807" s="5"/>
    </row>
    <row r="808" spans="1:19" ht="15.75" customHeight="1" x14ac:dyDescent="0.2">
      <c r="A808" s="3">
        <v>46104</v>
      </c>
      <c r="B808" s="4" t="str">
        <f>IF(A808="","","PC-"&amp;TEXT(A808,"mm/yyyy")&amp;"-"&amp;TEXT(COUNTIFS($A$2:A808,"&gt;="&amp;EOMONTH(A808,-1)+1,$A$2:A808,"&lt;="&amp;EOMONTH(A808,0)),"000"))</f>
        <v>PC-03/2026-083</v>
      </c>
      <c r="C808" s="5" t="s">
        <v>614</v>
      </c>
      <c r="D808" s="5" t="s">
        <v>29</v>
      </c>
      <c r="E808" s="5" t="s">
        <v>33</v>
      </c>
      <c r="F808" s="5"/>
      <c r="G808" s="5" t="s">
        <v>350</v>
      </c>
      <c r="H808" s="5" t="s">
        <v>23</v>
      </c>
      <c r="I808" s="6">
        <v>250000</v>
      </c>
      <c r="J808" s="6">
        <f>IF(D808="Thu",I808,0)</f>
        <v>0</v>
      </c>
      <c r="K808" s="6">
        <f>IF(D808="Chi",I808,0)</f>
        <v>250000</v>
      </c>
      <c r="L808" s="6" t="e">
        <f>L807+J808-K808</f>
        <v>#VALUE!</v>
      </c>
      <c r="M808" s="6">
        <f ca="1">IFERROR(__xludf.DUMMYFUNCTION("SUM(FILTER(J:J, H:H=""Tiền mặt"")) - SUM(FILTER(K:K, H:H=""Tiền mặt""))
"),959000)</f>
        <v>959000</v>
      </c>
      <c r="N808" s="6">
        <f ca="1">IFERROR(__xludf.DUMMYFUNCTION("SUM(FILTER(J:J, H:H=""Chuyển khoản"")) - SUM(FILTER(K:K, H:H=""Chuyển khoản""))
"),4468984)</f>
        <v>4468984</v>
      </c>
      <c r="O808" s="5"/>
      <c r="P808" s="5"/>
      <c r="Q808" s="5"/>
      <c r="R808" s="5"/>
      <c r="S808" s="5"/>
    </row>
    <row r="809" spans="1:19" ht="15.75" customHeight="1" x14ac:dyDescent="0.2">
      <c r="A809" s="3">
        <v>46104</v>
      </c>
      <c r="B809" s="4" t="str">
        <f>IF(A809="","","PC-"&amp;TEXT(A809,"mm/yyyy")&amp;"-"&amp;TEXT(COUNTIFS($A$2:A809,"&gt;="&amp;EOMONTH(A809,-1)+1,$A$2:A809,"&lt;="&amp;EOMONTH(A809,0)),"000"))</f>
        <v>PC-03/2026-084</v>
      </c>
      <c r="C809" s="5" t="s">
        <v>758</v>
      </c>
      <c r="D809" s="5" t="s">
        <v>29</v>
      </c>
      <c r="E809" s="5" t="s">
        <v>47</v>
      </c>
      <c r="F809" s="5"/>
      <c r="G809" s="5" t="s">
        <v>48</v>
      </c>
      <c r="H809" s="5" t="s">
        <v>23</v>
      </c>
      <c r="I809" s="6">
        <v>50000</v>
      </c>
      <c r="J809" s="6">
        <f>IF(D809="Thu",I809,0)</f>
        <v>0</v>
      </c>
      <c r="K809" s="6">
        <f>IF(D809="Chi",I809,0)</f>
        <v>50000</v>
      </c>
      <c r="L809" s="6" t="e">
        <f>L808+J809-K809</f>
        <v>#VALUE!</v>
      </c>
      <c r="M809" s="6">
        <f ca="1">IFERROR(__xludf.DUMMYFUNCTION("SUM(FILTER(J:J, H:H=""Tiền mặt"")) - SUM(FILTER(K:K, H:H=""Tiền mặt""))
"),959000)</f>
        <v>959000</v>
      </c>
      <c r="N809" s="6">
        <f ca="1">IFERROR(__xludf.DUMMYFUNCTION("SUM(FILTER(J:J, H:H=""Chuyển khoản"")) - SUM(FILTER(K:K, H:H=""Chuyển khoản""))
"),4468984)</f>
        <v>4468984</v>
      </c>
      <c r="O809" s="5"/>
      <c r="P809" s="5"/>
      <c r="Q809" s="5"/>
      <c r="R809" s="5"/>
      <c r="S809" s="5"/>
    </row>
    <row r="810" spans="1:19" ht="15.75" customHeight="1" x14ac:dyDescent="0.2">
      <c r="A810" s="3">
        <v>46104</v>
      </c>
      <c r="B810" s="4" t="str">
        <f>IF(A810="","","PC-"&amp;TEXT(A810,"mm/yyyy")&amp;"-"&amp;TEXT(COUNTIFS($A$2:A810,"&gt;="&amp;EOMONTH(A810,-1)+1,$A$2:A810,"&lt;="&amp;EOMONTH(A810,0)),"000"))</f>
        <v>PC-03/2026-085</v>
      </c>
      <c r="C810" s="5" t="s">
        <v>759</v>
      </c>
      <c r="D810" s="5" t="s">
        <v>29</v>
      </c>
      <c r="E810" s="5" t="s">
        <v>36</v>
      </c>
      <c r="F810" s="5"/>
      <c r="G810" s="5" t="s">
        <v>273</v>
      </c>
      <c r="H810" s="5" t="s">
        <v>23</v>
      </c>
      <c r="I810" s="6">
        <v>52000</v>
      </c>
      <c r="J810" s="6">
        <f>IF(D810="Thu",I810,0)</f>
        <v>0</v>
      </c>
      <c r="K810" s="6">
        <f>IF(D810="Chi",I810,0)</f>
        <v>52000</v>
      </c>
      <c r="L810" s="6" t="e">
        <f>L809+J810-K810</f>
        <v>#VALUE!</v>
      </c>
      <c r="M810" s="6">
        <f ca="1">IFERROR(__xludf.DUMMYFUNCTION("SUM(FILTER(J:J, H:H=""Tiền mặt"")) - SUM(FILTER(K:K, H:H=""Tiền mặt""))
"),959000)</f>
        <v>959000</v>
      </c>
      <c r="N810" s="6">
        <f ca="1">IFERROR(__xludf.DUMMYFUNCTION("SUM(FILTER(J:J, H:H=""Chuyển khoản"")) - SUM(FILTER(K:K, H:H=""Chuyển khoản""))
"),4468984)</f>
        <v>4468984</v>
      </c>
      <c r="O810" s="5"/>
      <c r="P810" s="5"/>
      <c r="Q810" s="5"/>
      <c r="R810" s="5"/>
      <c r="S810" s="5"/>
    </row>
    <row r="811" spans="1:19" ht="15.75" customHeight="1" x14ac:dyDescent="0.2">
      <c r="A811" s="3">
        <v>46104</v>
      </c>
      <c r="B811" s="4" t="str">
        <f>IF(A811="","","PC-"&amp;TEXT(A811,"mm/yyyy")&amp;"-"&amp;TEXT(COUNTIFS($A$2:A811,"&gt;="&amp;EOMONTH(A811,-1)+1,$A$2:A811,"&lt;="&amp;EOMONTH(A811,0)),"000"))</f>
        <v>PC-03/2026-086</v>
      </c>
      <c r="C811" s="5" t="s">
        <v>760</v>
      </c>
      <c r="D811" s="5" t="s">
        <v>29</v>
      </c>
      <c r="E811" s="5" t="s">
        <v>674</v>
      </c>
      <c r="F811" s="5"/>
      <c r="G811" s="5" t="s">
        <v>571</v>
      </c>
      <c r="H811" s="5" t="s">
        <v>23</v>
      </c>
      <c r="I811" s="6">
        <v>40000</v>
      </c>
      <c r="J811" s="6">
        <f>IF(D811="Thu",I811,0)</f>
        <v>0</v>
      </c>
      <c r="K811" s="6">
        <f>IF(D811="Chi",I811,0)</f>
        <v>40000</v>
      </c>
      <c r="L811" s="6" t="e">
        <f>L810+J811-K811</f>
        <v>#VALUE!</v>
      </c>
      <c r="M811" s="6">
        <f ca="1">IFERROR(__xludf.DUMMYFUNCTION("SUM(FILTER(J:J, H:H=""Tiền mặt"")) - SUM(FILTER(K:K, H:H=""Tiền mặt""))
"),959000)</f>
        <v>959000</v>
      </c>
      <c r="N811" s="6">
        <f ca="1">IFERROR(__xludf.DUMMYFUNCTION("SUM(FILTER(J:J, H:H=""Chuyển khoản"")) - SUM(FILTER(K:K, H:H=""Chuyển khoản""))
"),4468984)</f>
        <v>4468984</v>
      </c>
      <c r="O811" s="5"/>
      <c r="P811" s="5"/>
      <c r="Q811" s="5"/>
      <c r="R811" s="5"/>
      <c r="S811" s="5"/>
    </row>
    <row r="812" spans="1:19" ht="15.75" customHeight="1" x14ac:dyDescent="0.2">
      <c r="A812" s="3">
        <v>46104</v>
      </c>
      <c r="B812" s="4" t="str">
        <f>IF(A812="","","PC-"&amp;TEXT(A812,"mm/yyyy")&amp;"-"&amp;TEXT(COUNTIFS($A$2:A812,"&gt;="&amp;EOMONTH(A812,-1)+1,$A$2:A812,"&lt;="&amp;EOMONTH(A812,0)),"000"))</f>
        <v>PC-03/2026-087</v>
      </c>
      <c r="C812" s="5" t="s">
        <v>761</v>
      </c>
      <c r="D812" s="5" t="s">
        <v>29</v>
      </c>
      <c r="E812" s="5" t="s">
        <v>71</v>
      </c>
      <c r="F812" s="5"/>
      <c r="G812" s="5" t="s">
        <v>316</v>
      </c>
      <c r="H812" s="5" t="s">
        <v>27</v>
      </c>
      <c r="I812" s="6">
        <v>57000</v>
      </c>
      <c r="J812" s="6">
        <f>IF(D812="Thu",I812,0)</f>
        <v>0</v>
      </c>
      <c r="K812" s="6">
        <f>IF(D812="Chi",I812,0)</f>
        <v>57000</v>
      </c>
      <c r="L812" s="6" t="e">
        <f>L811+J812-K812</f>
        <v>#VALUE!</v>
      </c>
      <c r="M812" s="6">
        <f ca="1">IFERROR(__xludf.DUMMYFUNCTION("SUM(FILTER(J:J, H:H=""Tiền mặt"")) - SUM(FILTER(K:K, H:H=""Tiền mặt""))
"),959000)</f>
        <v>959000</v>
      </c>
      <c r="N812" s="6">
        <f ca="1">IFERROR(__xludf.DUMMYFUNCTION("SUM(FILTER(J:J, H:H=""Chuyển khoản"")) - SUM(FILTER(K:K, H:H=""Chuyển khoản""))
"),4468984)</f>
        <v>4468984</v>
      </c>
      <c r="O812" s="5"/>
      <c r="P812" s="5"/>
      <c r="Q812" s="5"/>
      <c r="R812" s="5"/>
      <c r="S812" s="5"/>
    </row>
    <row r="813" spans="1:19" ht="15.75" customHeight="1" x14ac:dyDescent="0.2">
      <c r="A813" s="3">
        <v>46104</v>
      </c>
      <c r="B813" s="4" t="str">
        <f>IF(A813="","","PC-"&amp;TEXT(A813,"mm/yyyy")&amp;"-"&amp;TEXT(COUNTIFS($A$2:A813,"&gt;="&amp;EOMONTH(A813,-1)+1,$A$2:A813,"&lt;="&amp;EOMONTH(A813,0)),"000"))</f>
        <v>PC-03/2026-088</v>
      </c>
      <c r="C813" s="5" t="s">
        <v>762</v>
      </c>
      <c r="D813" s="5" t="s">
        <v>20</v>
      </c>
      <c r="E813" s="5" t="s">
        <v>21</v>
      </c>
      <c r="F813" s="5"/>
      <c r="G813" s="5" t="s">
        <v>22</v>
      </c>
      <c r="H813" s="5" t="s">
        <v>27</v>
      </c>
      <c r="I813" s="6">
        <v>10000000</v>
      </c>
      <c r="J813" s="6">
        <f>IF(D813="Thu",I813,0)</f>
        <v>10000000</v>
      </c>
      <c r="K813" s="6">
        <f>IF(D813="Chi",I813,0)</f>
        <v>0</v>
      </c>
      <c r="L813" s="6" t="e">
        <f>L812+J813-K813</f>
        <v>#VALUE!</v>
      </c>
      <c r="M813" s="6">
        <f ca="1">IFERROR(__xludf.DUMMYFUNCTION("SUM(FILTER(J:J, H:H=""Tiền mặt"")) - SUM(FILTER(K:K, H:H=""Tiền mặt""))
"),959000)</f>
        <v>959000</v>
      </c>
      <c r="N813" s="6">
        <f ca="1">IFERROR(__xludf.DUMMYFUNCTION("SUM(FILTER(J:J, H:H=""Chuyển khoản"")) - SUM(FILTER(K:K, H:H=""Chuyển khoản""))
"),4468984)</f>
        <v>4468984</v>
      </c>
      <c r="O813" s="5"/>
      <c r="P813" s="5"/>
      <c r="Q813" s="5"/>
      <c r="R813" s="5"/>
      <c r="S813" s="5"/>
    </row>
    <row r="814" spans="1:19" ht="15.75" customHeight="1" x14ac:dyDescent="0.2">
      <c r="A814" s="3">
        <v>46104</v>
      </c>
      <c r="B814" s="4" t="str">
        <f>IF(A814="","","PC-"&amp;TEXT(A814,"mm/yyyy")&amp;"-"&amp;TEXT(COUNTIFS($A$2:A814,"&gt;="&amp;EOMONTH(A814,-1)+1,$A$2:A814,"&lt;="&amp;EOMONTH(A814,0)),"000"))</f>
        <v>PC-03/2026-089</v>
      </c>
      <c r="C814" s="5" t="s">
        <v>763</v>
      </c>
      <c r="D814" s="5" t="s">
        <v>29</v>
      </c>
      <c r="E814" s="5" t="s">
        <v>71</v>
      </c>
      <c r="F814" s="5"/>
      <c r="G814" s="5" t="s">
        <v>72</v>
      </c>
      <c r="H814" s="5" t="s">
        <v>27</v>
      </c>
      <c r="I814" s="6">
        <v>36000</v>
      </c>
      <c r="J814" s="6">
        <f>IF(D814="Thu",I814,0)</f>
        <v>0</v>
      </c>
      <c r="K814" s="6">
        <f>IF(D814="Chi",I814,0)</f>
        <v>36000</v>
      </c>
      <c r="L814" s="6" t="e">
        <f>L813+J814-K814</f>
        <v>#VALUE!</v>
      </c>
      <c r="M814" s="6">
        <f ca="1">IFERROR(__xludf.DUMMYFUNCTION("SUM(FILTER(J:J, H:H=""Tiền mặt"")) - SUM(FILTER(K:K, H:H=""Tiền mặt""))
"),959000)</f>
        <v>959000</v>
      </c>
      <c r="N814" s="6">
        <f ca="1">IFERROR(__xludf.DUMMYFUNCTION("SUM(FILTER(J:J, H:H=""Chuyển khoản"")) - SUM(FILTER(K:K, H:H=""Chuyển khoản""))
"),4468984)</f>
        <v>4468984</v>
      </c>
      <c r="O814" s="5"/>
      <c r="P814" s="5"/>
      <c r="Q814" s="5"/>
      <c r="R814" s="5"/>
      <c r="S814" s="5"/>
    </row>
    <row r="815" spans="1:19" ht="15.75" customHeight="1" x14ac:dyDescent="0.2">
      <c r="A815" s="3">
        <v>46104</v>
      </c>
      <c r="B815" s="4" t="str">
        <f>IF(A815="","","PC-"&amp;TEXT(A815,"mm/yyyy")&amp;"-"&amp;TEXT(COUNTIFS($A$2:A815,"&gt;="&amp;EOMONTH(A815,-1)+1,$A$2:A815,"&lt;="&amp;EOMONTH(A815,0)),"000"))</f>
        <v>PC-03/2026-090</v>
      </c>
      <c r="C815" s="5" t="s">
        <v>764</v>
      </c>
      <c r="D815" s="5" t="s">
        <v>29</v>
      </c>
      <c r="E815" s="5" t="s">
        <v>41</v>
      </c>
      <c r="F815" s="5"/>
      <c r="G815" s="5" t="s">
        <v>192</v>
      </c>
      <c r="H815" s="5" t="s">
        <v>23</v>
      </c>
      <c r="I815" s="6">
        <v>100000</v>
      </c>
      <c r="J815" s="6">
        <f>IF(D815="Thu",I815,0)</f>
        <v>0</v>
      </c>
      <c r="K815" s="6">
        <f>IF(D815="Chi",I815,0)</f>
        <v>100000</v>
      </c>
      <c r="L815" s="6" t="e">
        <f>L814+J815-K815</f>
        <v>#VALUE!</v>
      </c>
      <c r="M815" s="6">
        <f ca="1">IFERROR(__xludf.DUMMYFUNCTION("SUM(FILTER(J:J, H:H=""Tiền mặt"")) - SUM(FILTER(K:K, H:H=""Tiền mặt""))
"),959000)</f>
        <v>959000</v>
      </c>
      <c r="N815" s="6">
        <f ca="1">IFERROR(__xludf.DUMMYFUNCTION("SUM(FILTER(J:J, H:H=""Chuyển khoản"")) - SUM(FILTER(K:K, H:H=""Chuyển khoản""))
"),4468984)</f>
        <v>4468984</v>
      </c>
      <c r="O815" s="5"/>
      <c r="P815" s="5"/>
      <c r="Q815" s="5"/>
      <c r="R815" s="5"/>
      <c r="S815" s="5"/>
    </row>
    <row r="816" spans="1:19" ht="15.75" customHeight="1" x14ac:dyDescent="0.2">
      <c r="A816" s="3">
        <v>46102</v>
      </c>
      <c r="B816" s="4" t="str">
        <f>IF(A816="","","PC-"&amp;TEXT(A816,"mm/yyyy")&amp;"-"&amp;TEXT(COUNTIFS($A$2:A816,"&gt;="&amp;EOMONTH(A816,-1)+1,$A$2:A816,"&lt;="&amp;EOMONTH(A816,0)),"000"))</f>
        <v>PC-03/2026-091</v>
      </c>
      <c r="C816" s="5" t="s">
        <v>752</v>
      </c>
      <c r="D816" s="5" t="s">
        <v>29</v>
      </c>
      <c r="E816" s="5" t="s">
        <v>71</v>
      </c>
      <c r="F816" s="5"/>
      <c r="G816" s="5" t="s">
        <v>753</v>
      </c>
      <c r="H816" s="5" t="s">
        <v>27</v>
      </c>
      <c r="I816" s="6">
        <v>65000</v>
      </c>
      <c r="J816" s="6">
        <f>IF(D816="Thu",I816,0)</f>
        <v>0</v>
      </c>
      <c r="K816" s="6">
        <f>IF(D816="Chi",I816,0)</f>
        <v>65000</v>
      </c>
      <c r="L816" s="6" t="e">
        <f>L815+J816-K816</f>
        <v>#VALUE!</v>
      </c>
      <c r="M816" s="6">
        <f ca="1">IFERROR(__xludf.DUMMYFUNCTION("SUM(FILTER(J:J, H:H=""Tiền mặt"")) - SUM(FILTER(K:K, H:H=""Tiền mặt""))
"),959000)</f>
        <v>959000</v>
      </c>
      <c r="N816" s="6">
        <f ca="1">IFERROR(__xludf.DUMMYFUNCTION("SUM(FILTER(J:J, H:H=""Chuyển khoản"")) - SUM(FILTER(K:K, H:H=""Chuyển khoản""))
"),4468984)</f>
        <v>4468984</v>
      </c>
      <c r="O816" s="5"/>
      <c r="P816" s="5"/>
      <c r="Q816" s="5"/>
      <c r="R816" s="5"/>
      <c r="S816" s="5"/>
    </row>
    <row r="817" spans="1:19" ht="15.75" customHeight="1" x14ac:dyDescent="0.2">
      <c r="A817" s="3">
        <v>46102</v>
      </c>
      <c r="B817" s="4" t="str">
        <f>IF(A817="","","PC-"&amp;TEXT(A817,"mm/yyyy")&amp;"-"&amp;TEXT(COUNTIFS($A$2:A817,"&gt;="&amp;EOMONTH(A817,-1)+1,$A$2:A817,"&lt;="&amp;EOMONTH(A817,0)),"000"))</f>
        <v>PC-03/2026-092</v>
      </c>
      <c r="C817" s="5" t="s">
        <v>754</v>
      </c>
      <c r="D817" s="5" t="s">
        <v>29</v>
      </c>
      <c r="E817" s="5" t="s">
        <v>41</v>
      </c>
      <c r="F817" s="5"/>
      <c r="G817" s="5" t="s">
        <v>42</v>
      </c>
      <c r="H817" s="5" t="s">
        <v>23</v>
      </c>
      <c r="I817" s="6">
        <v>100000</v>
      </c>
      <c r="J817" s="6">
        <f>IF(D817="Thu",I817,0)</f>
        <v>0</v>
      </c>
      <c r="K817" s="6">
        <f>IF(D817="Chi",I817,0)</f>
        <v>100000</v>
      </c>
      <c r="L817" s="6" t="e">
        <f>L816+J817-K817</f>
        <v>#VALUE!</v>
      </c>
      <c r="M817" s="6">
        <f ca="1">IFERROR(__xludf.DUMMYFUNCTION("SUM(FILTER(J:J, H:H=""Tiền mặt"")) - SUM(FILTER(K:K, H:H=""Tiền mặt""))
"),959000)</f>
        <v>959000</v>
      </c>
      <c r="N817" s="6">
        <f ca="1">IFERROR(__xludf.DUMMYFUNCTION("SUM(FILTER(J:J, H:H=""Chuyển khoản"")) - SUM(FILTER(K:K, H:H=""Chuyển khoản""))
"),4468984)</f>
        <v>4468984</v>
      </c>
      <c r="O817" s="5"/>
      <c r="P817" s="5"/>
      <c r="Q817" s="5"/>
      <c r="R817" s="5"/>
      <c r="S817" s="5"/>
    </row>
    <row r="818" spans="1:19" ht="15.75" customHeight="1" x14ac:dyDescent="0.2">
      <c r="A818" s="3">
        <v>46102</v>
      </c>
      <c r="B818" s="4" t="str">
        <f>IF(A818="","","PC-"&amp;TEXT(A818,"mm/yyyy")&amp;"-"&amp;TEXT(COUNTIFS($A$2:A818,"&gt;="&amp;EOMONTH(A818,-1)+1,$A$2:A818,"&lt;="&amp;EOMONTH(A818,0)),"000"))</f>
        <v>PC-03/2026-093</v>
      </c>
      <c r="C818" s="5" t="s">
        <v>168</v>
      </c>
      <c r="D818" s="5" t="s">
        <v>29</v>
      </c>
      <c r="E818" s="5" t="s">
        <v>153</v>
      </c>
      <c r="F818" s="5"/>
      <c r="G818" s="5" t="s">
        <v>72</v>
      </c>
      <c r="H818" s="5" t="s">
        <v>27</v>
      </c>
      <c r="I818" s="6">
        <v>348000</v>
      </c>
      <c r="J818" s="6">
        <f>IF(D818="Thu",I818,0)</f>
        <v>0</v>
      </c>
      <c r="K818" s="6">
        <f>IF(D818="Chi",I818,0)</f>
        <v>348000</v>
      </c>
      <c r="L818" s="6" t="e">
        <f>L817+J818-K818</f>
        <v>#VALUE!</v>
      </c>
      <c r="M818" s="6">
        <f ca="1">IFERROR(__xludf.DUMMYFUNCTION("SUM(FILTER(J:J, H:H=""Tiền mặt"")) - SUM(FILTER(K:K, H:H=""Tiền mặt""))
"),959000)</f>
        <v>959000</v>
      </c>
      <c r="N818" s="6">
        <f ca="1">IFERROR(__xludf.DUMMYFUNCTION("SUM(FILTER(J:J, H:H=""Chuyển khoản"")) - SUM(FILTER(K:K, H:H=""Chuyển khoản""))
"),4468984)</f>
        <v>4468984</v>
      </c>
      <c r="O818" s="5"/>
      <c r="P818" s="5"/>
      <c r="Q818" s="5"/>
      <c r="R818" s="5"/>
      <c r="S818" s="5"/>
    </row>
    <row r="819" spans="1:19" ht="15.75" customHeight="1" x14ac:dyDescent="0.2">
      <c r="A819" s="3">
        <v>46101</v>
      </c>
      <c r="B819" s="4" t="str">
        <f>IF(A819="","","PC-"&amp;TEXT(A819,"mm/yyyy")&amp;"-"&amp;TEXT(COUNTIFS($A$2:A819,"&gt;="&amp;EOMONTH(A819,-1)+1,$A$2:A819,"&lt;="&amp;EOMONTH(A819,0)),"000"))</f>
        <v>PC-03/2026-094</v>
      </c>
      <c r="C819" s="5" t="s">
        <v>743</v>
      </c>
      <c r="D819" s="5" t="s">
        <v>29</v>
      </c>
      <c r="E819" s="5" t="s">
        <v>44</v>
      </c>
      <c r="F819" s="5"/>
      <c r="G819" s="5" t="s">
        <v>744</v>
      </c>
      <c r="H819" s="5" t="s">
        <v>23</v>
      </c>
      <c r="I819" s="6">
        <v>1500000</v>
      </c>
      <c r="J819" s="6">
        <f>IF(D819="Thu",I819,0)</f>
        <v>0</v>
      </c>
      <c r="K819" s="6">
        <f>IF(D819="Chi",I819,0)</f>
        <v>1500000</v>
      </c>
      <c r="L819" s="6" t="e">
        <f>L818+J819-K819</f>
        <v>#VALUE!</v>
      </c>
      <c r="M819" s="6">
        <f ca="1">IFERROR(__xludf.DUMMYFUNCTION("SUM(FILTER(J:J, H:H=""Tiền mặt"")) - SUM(FILTER(K:K, H:H=""Tiền mặt""))
"),959000)</f>
        <v>959000</v>
      </c>
      <c r="N819" s="6">
        <f ca="1">IFERROR(__xludf.DUMMYFUNCTION("SUM(FILTER(J:J, H:H=""Chuyển khoản"")) - SUM(FILTER(K:K, H:H=""Chuyển khoản""))
"),4468984)</f>
        <v>4468984</v>
      </c>
      <c r="O819" s="5"/>
      <c r="P819" s="5"/>
      <c r="Q819" s="5"/>
      <c r="R819" s="5"/>
      <c r="S819" s="5"/>
    </row>
    <row r="820" spans="1:19" ht="15.75" customHeight="1" x14ac:dyDescent="0.2">
      <c r="A820" s="3">
        <v>46101</v>
      </c>
      <c r="B820" s="4" t="str">
        <f>IF(A820="","","PC-"&amp;TEXT(A820,"mm/yyyy")&amp;"-"&amp;TEXT(COUNTIFS($A$2:A820,"&gt;="&amp;EOMONTH(A820,-1)+1,$A$2:A820,"&lt;="&amp;EOMONTH(A820,0)),"000"))</f>
        <v>PC-03/2026-095</v>
      </c>
      <c r="C820" s="5" t="s">
        <v>745</v>
      </c>
      <c r="D820" s="5" t="s">
        <v>29</v>
      </c>
      <c r="E820" s="5" t="s">
        <v>47</v>
      </c>
      <c r="F820" s="5"/>
      <c r="G820" s="5" t="s">
        <v>48</v>
      </c>
      <c r="H820" s="5" t="s">
        <v>23</v>
      </c>
      <c r="I820" s="6">
        <v>50000</v>
      </c>
      <c r="J820" s="6">
        <f>IF(D820="Thu",I820,0)</f>
        <v>0</v>
      </c>
      <c r="K820" s="6">
        <f>IF(D820="Chi",I820,0)</f>
        <v>50000</v>
      </c>
      <c r="L820" s="6" t="e">
        <f>L819+J820-K820</f>
        <v>#VALUE!</v>
      </c>
      <c r="M820" s="6">
        <f ca="1">IFERROR(__xludf.DUMMYFUNCTION("SUM(FILTER(J:J, H:H=""Tiền mặt"")) - SUM(FILTER(K:K, H:H=""Tiền mặt""))
"),959000)</f>
        <v>959000</v>
      </c>
      <c r="N820" s="6">
        <f ca="1">IFERROR(__xludf.DUMMYFUNCTION("SUM(FILTER(J:J, H:H=""Chuyển khoản"")) - SUM(FILTER(K:K, H:H=""Chuyển khoản""))
"),4468984)</f>
        <v>4468984</v>
      </c>
      <c r="O820" s="5"/>
      <c r="P820" s="5"/>
      <c r="Q820" s="5"/>
      <c r="R820" s="5"/>
      <c r="S820" s="5"/>
    </row>
    <row r="821" spans="1:19" ht="15.75" customHeight="1" x14ac:dyDescent="0.2">
      <c r="A821" s="3">
        <v>46101</v>
      </c>
      <c r="B821" s="4" t="str">
        <f>IF(A821="","","PC-"&amp;TEXT(A821,"mm/yyyy")&amp;"-"&amp;TEXT(COUNTIFS($A$2:A821,"&gt;="&amp;EOMONTH(A821,-1)+1,$A$2:A821,"&lt;="&amp;EOMONTH(A821,0)),"000"))</f>
        <v>PC-03/2026-096</v>
      </c>
      <c r="C821" s="5" t="s">
        <v>746</v>
      </c>
      <c r="D821" s="5" t="s">
        <v>29</v>
      </c>
      <c r="E821" s="5" t="s">
        <v>51</v>
      </c>
      <c r="F821" s="5"/>
      <c r="G821" s="5" t="s">
        <v>52</v>
      </c>
      <c r="H821" s="5" t="s">
        <v>27</v>
      </c>
      <c r="I821" s="6">
        <v>142643</v>
      </c>
      <c r="J821" s="6">
        <f>IF(D821="Thu",I821,0)</f>
        <v>0</v>
      </c>
      <c r="K821" s="6">
        <f>IF(D821="Chi",I821,0)</f>
        <v>142643</v>
      </c>
      <c r="L821" s="6" t="e">
        <f>L820+J821-K821</f>
        <v>#VALUE!</v>
      </c>
      <c r="M821" s="6">
        <f ca="1">IFERROR(__xludf.DUMMYFUNCTION("SUM(FILTER(J:J, H:H=""Tiền mặt"")) - SUM(FILTER(K:K, H:H=""Tiền mặt""))
"),959000)</f>
        <v>959000</v>
      </c>
      <c r="N821" s="6">
        <f ca="1">IFERROR(__xludf.DUMMYFUNCTION("SUM(FILTER(J:J, H:H=""Chuyển khoản"")) - SUM(FILTER(K:K, H:H=""Chuyển khoản""))
"),4468984)</f>
        <v>4468984</v>
      </c>
      <c r="O821" s="5"/>
      <c r="P821" s="5"/>
      <c r="Q821" s="5"/>
      <c r="R821" s="5"/>
      <c r="S821" s="5"/>
    </row>
    <row r="822" spans="1:19" ht="15.75" customHeight="1" x14ac:dyDescent="0.2">
      <c r="A822" s="3">
        <v>46101</v>
      </c>
      <c r="B822" s="4" t="str">
        <f>IF(A822="","","PC-"&amp;TEXT(A822,"mm/yyyy")&amp;"-"&amp;TEXT(COUNTIFS($A$2:A822,"&gt;="&amp;EOMONTH(A822,-1)+1,$A$2:A822,"&lt;="&amp;EOMONTH(A822,0)),"000"))</f>
        <v>PC-03/2026-097</v>
      </c>
      <c r="C822" s="5" t="s">
        <v>747</v>
      </c>
      <c r="D822" s="5" t="s">
        <v>29</v>
      </c>
      <c r="E822" s="5" t="s">
        <v>47</v>
      </c>
      <c r="F822" s="5"/>
      <c r="G822" s="5" t="s">
        <v>48</v>
      </c>
      <c r="H822" s="5" t="s">
        <v>23</v>
      </c>
      <c r="I822" s="6">
        <v>50000</v>
      </c>
      <c r="J822" s="6">
        <f>IF(D822="Thu",I822,0)</f>
        <v>0</v>
      </c>
      <c r="K822" s="6">
        <f>IF(D822="Chi",I822,0)</f>
        <v>50000</v>
      </c>
      <c r="L822" s="6" t="e">
        <f>L821+J822-K822</f>
        <v>#VALUE!</v>
      </c>
      <c r="M822" s="6">
        <f ca="1">IFERROR(__xludf.DUMMYFUNCTION("SUM(FILTER(J:J, H:H=""Tiền mặt"")) - SUM(FILTER(K:K, H:H=""Tiền mặt""))
"),959000)</f>
        <v>959000</v>
      </c>
      <c r="N822" s="6">
        <f ca="1">IFERROR(__xludf.DUMMYFUNCTION("SUM(FILTER(J:J, H:H=""Chuyển khoản"")) - SUM(FILTER(K:K, H:H=""Chuyển khoản""))
"),4468984)</f>
        <v>4468984</v>
      </c>
      <c r="O822" s="5"/>
      <c r="P822" s="5"/>
      <c r="Q822" s="5"/>
      <c r="R822" s="5"/>
      <c r="S822" s="5"/>
    </row>
    <row r="823" spans="1:19" ht="15.75" customHeight="1" x14ac:dyDescent="0.2">
      <c r="A823" s="3">
        <v>46101</v>
      </c>
      <c r="B823" s="4" t="str">
        <f>IF(A823="","","PC-"&amp;TEXT(A823,"mm/yyyy")&amp;"-"&amp;TEXT(COUNTIFS($A$2:A823,"&gt;="&amp;EOMONTH(A823,-1)+1,$A$2:A823,"&lt;="&amp;EOMONTH(A823,0)),"000"))</f>
        <v>PC-03/2026-098</v>
      </c>
      <c r="C823" s="5" t="s">
        <v>748</v>
      </c>
      <c r="D823" s="5" t="s">
        <v>29</v>
      </c>
      <c r="E823" s="5" t="s">
        <v>41</v>
      </c>
      <c r="F823" s="5"/>
      <c r="G823" s="5" t="s">
        <v>42</v>
      </c>
      <c r="H823" s="5" t="s">
        <v>23</v>
      </c>
      <c r="I823" s="6">
        <v>100000</v>
      </c>
      <c r="J823" s="6">
        <f>IF(D823="Thu",I823,0)</f>
        <v>0</v>
      </c>
      <c r="K823" s="6">
        <f>IF(D823="Chi",I823,0)</f>
        <v>100000</v>
      </c>
      <c r="L823" s="6" t="e">
        <f>L822+J823-K823</f>
        <v>#VALUE!</v>
      </c>
      <c r="M823" s="6">
        <f ca="1">IFERROR(__xludf.DUMMYFUNCTION("SUM(FILTER(J:J, H:H=""Tiền mặt"")) - SUM(FILTER(K:K, H:H=""Tiền mặt""))
"),959000)</f>
        <v>959000</v>
      </c>
      <c r="N823" s="6">
        <f ca="1">IFERROR(__xludf.DUMMYFUNCTION("SUM(FILTER(J:J, H:H=""Chuyển khoản"")) - SUM(FILTER(K:K, H:H=""Chuyển khoản""))
"),4468984)</f>
        <v>4468984</v>
      </c>
      <c r="O823" s="5"/>
      <c r="P823" s="5"/>
      <c r="Q823" s="5"/>
      <c r="R823" s="5"/>
      <c r="S823" s="5"/>
    </row>
    <row r="824" spans="1:19" ht="15.75" customHeight="1" x14ac:dyDescent="0.2">
      <c r="A824" s="3">
        <v>46101</v>
      </c>
      <c r="B824" s="4" t="str">
        <f>IF(A824="","","PC-"&amp;TEXT(A824,"mm/yyyy")&amp;"-"&amp;TEXT(COUNTIFS($A$2:A824,"&gt;="&amp;EOMONTH(A824,-1)+1,$A$2:A824,"&lt;="&amp;EOMONTH(A824,0)),"000"))</f>
        <v>PC-03/2026-099</v>
      </c>
      <c r="C824" s="5" t="s">
        <v>749</v>
      </c>
      <c r="D824" s="5" t="s">
        <v>29</v>
      </c>
      <c r="E824" s="5" t="s">
        <v>78</v>
      </c>
      <c r="F824" s="5"/>
      <c r="G824" s="5" t="s">
        <v>72</v>
      </c>
      <c r="H824" s="5" t="s">
        <v>27</v>
      </c>
      <c r="I824" s="6">
        <v>269000</v>
      </c>
      <c r="J824" s="6">
        <f>IF(D824="Thu",I824,0)</f>
        <v>0</v>
      </c>
      <c r="K824" s="6">
        <f>IF(D824="Chi",I824,0)</f>
        <v>269000</v>
      </c>
      <c r="L824" s="6" t="e">
        <f>L823+J824-K824</f>
        <v>#VALUE!</v>
      </c>
      <c r="M824" s="6">
        <f ca="1">IFERROR(__xludf.DUMMYFUNCTION("SUM(FILTER(J:J, H:H=""Tiền mặt"")) - SUM(FILTER(K:K, H:H=""Tiền mặt""))
"),959000)</f>
        <v>959000</v>
      </c>
      <c r="N824" s="6">
        <f ca="1">IFERROR(__xludf.DUMMYFUNCTION("SUM(FILTER(J:J, H:H=""Chuyển khoản"")) - SUM(FILTER(K:K, H:H=""Chuyển khoản""))
"),4468984)</f>
        <v>4468984</v>
      </c>
      <c r="O824" s="5"/>
      <c r="P824" s="5"/>
      <c r="Q824" s="5"/>
      <c r="R824" s="5"/>
      <c r="S824" s="5"/>
    </row>
    <row r="825" spans="1:19" ht="15.75" customHeight="1" x14ac:dyDescent="0.2">
      <c r="A825" s="3">
        <v>46101</v>
      </c>
      <c r="B825" s="4" t="str">
        <f>IF(A825="","","PC-"&amp;TEXT(A825,"mm/yyyy")&amp;"-"&amp;TEXT(COUNTIFS($A$2:A825,"&gt;="&amp;EOMONTH(A825,-1)+1,$A$2:A825,"&lt;="&amp;EOMONTH(A825,0)),"000"))</f>
        <v>PC-03/2026-100</v>
      </c>
      <c r="C825" s="5" t="s">
        <v>554</v>
      </c>
      <c r="D825" s="5" t="s">
        <v>29</v>
      </c>
      <c r="E825" s="5" t="s">
        <v>153</v>
      </c>
      <c r="F825" s="5"/>
      <c r="G825" s="5" t="s">
        <v>154</v>
      </c>
      <c r="H825" s="5" t="s">
        <v>27</v>
      </c>
      <c r="I825" s="6">
        <v>1330000</v>
      </c>
      <c r="J825" s="6">
        <f>IF(D825="Thu",I825,0)</f>
        <v>0</v>
      </c>
      <c r="K825" s="6">
        <f>IF(D825="Chi",I825,0)</f>
        <v>1330000</v>
      </c>
      <c r="L825" s="6" t="e">
        <f>L824+J825-K825</f>
        <v>#VALUE!</v>
      </c>
      <c r="M825" s="6">
        <f ca="1">IFERROR(__xludf.DUMMYFUNCTION("SUM(FILTER(J:J, H:H=""Tiền mặt"")) - SUM(FILTER(K:K, H:H=""Tiền mặt""))
"),959000)</f>
        <v>959000</v>
      </c>
      <c r="N825" s="6">
        <f ca="1">IFERROR(__xludf.DUMMYFUNCTION("SUM(FILTER(J:J, H:H=""Chuyển khoản"")) - SUM(FILTER(K:K, H:H=""Chuyển khoản""))
"),4468984)</f>
        <v>4468984</v>
      </c>
      <c r="O825" s="5"/>
      <c r="P825" s="5"/>
      <c r="Q825" s="5"/>
      <c r="R825" s="5"/>
      <c r="S825" s="5"/>
    </row>
    <row r="826" spans="1:19" ht="15.75" customHeight="1" x14ac:dyDescent="0.2">
      <c r="A826" s="3">
        <v>46101</v>
      </c>
      <c r="B826" s="4" t="str">
        <f>IF(A826="","","PC-"&amp;TEXT(A826,"mm/yyyy")&amp;"-"&amp;TEXT(COUNTIFS($A$2:A826,"&gt;="&amp;EOMONTH(A826,-1)+1,$A$2:A826,"&lt;="&amp;EOMONTH(A826,0)),"000"))</f>
        <v>PC-03/2026-101</v>
      </c>
      <c r="C826" s="5" t="s">
        <v>750</v>
      </c>
      <c r="D826" s="5" t="s">
        <v>29</v>
      </c>
      <c r="E826" s="5" t="s">
        <v>41</v>
      </c>
      <c r="F826" s="5"/>
      <c r="G826" s="5" t="s">
        <v>42</v>
      </c>
      <c r="H826" s="5" t="s">
        <v>23</v>
      </c>
      <c r="I826" s="6">
        <v>100000</v>
      </c>
      <c r="J826" s="6">
        <f>IF(D826="Thu",I826,0)</f>
        <v>0</v>
      </c>
      <c r="K826" s="6">
        <f>IF(D826="Chi",I826,0)</f>
        <v>100000</v>
      </c>
      <c r="L826" s="6" t="e">
        <f>L825+J826-K826</f>
        <v>#VALUE!</v>
      </c>
      <c r="M826" s="6">
        <f ca="1">IFERROR(__xludf.DUMMYFUNCTION("SUM(FILTER(J:J, H:H=""Tiền mặt"")) - SUM(FILTER(K:K, H:H=""Tiền mặt""))
"),959000)</f>
        <v>959000</v>
      </c>
      <c r="N826" s="6">
        <f ca="1">IFERROR(__xludf.DUMMYFUNCTION("SUM(FILTER(J:J, H:H=""Chuyển khoản"")) - SUM(FILTER(K:K, H:H=""Chuyển khoản""))
"),4468984)</f>
        <v>4468984</v>
      </c>
      <c r="O826" s="5"/>
      <c r="P826" s="5"/>
      <c r="Q826" s="5"/>
      <c r="R826" s="5"/>
      <c r="S826" s="5"/>
    </row>
    <row r="827" spans="1:19" ht="15.75" customHeight="1" x14ac:dyDescent="0.2">
      <c r="A827" s="3">
        <v>46101</v>
      </c>
      <c r="B827" s="4" t="str">
        <f>IF(A827="","","PC-"&amp;TEXT(A827,"mm/yyyy")&amp;"-"&amp;TEXT(COUNTIFS($A$2:A827,"&gt;="&amp;EOMONTH(A827,-1)+1,$A$2:A827,"&lt;="&amp;EOMONTH(A827,0)),"000"))</f>
        <v>PC-03/2026-102</v>
      </c>
      <c r="C827" s="5" t="s">
        <v>751</v>
      </c>
      <c r="D827" s="5" t="s">
        <v>29</v>
      </c>
      <c r="E827" s="5" t="s">
        <v>88</v>
      </c>
      <c r="F827" s="5"/>
      <c r="G827" s="5" t="s">
        <v>338</v>
      </c>
      <c r="H827" s="5" t="s">
        <v>23</v>
      </c>
      <c r="I827" s="6">
        <v>2000000</v>
      </c>
      <c r="J827" s="6">
        <f>IF(D827="Thu",I827,0)</f>
        <v>0</v>
      </c>
      <c r="K827" s="6">
        <f>IF(D827="Chi",I827,0)</f>
        <v>2000000</v>
      </c>
      <c r="L827" s="6" t="e">
        <f>L826+J827-K827</f>
        <v>#VALUE!</v>
      </c>
      <c r="M827" s="6">
        <f ca="1">IFERROR(__xludf.DUMMYFUNCTION("SUM(FILTER(J:J, H:H=""Tiền mặt"")) - SUM(FILTER(K:K, H:H=""Tiền mặt""))
"),959000)</f>
        <v>959000</v>
      </c>
      <c r="N827" s="6">
        <f ca="1">IFERROR(__xludf.DUMMYFUNCTION("SUM(FILTER(J:J, H:H=""Chuyển khoản"")) - SUM(FILTER(K:K, H:H=""Chuyển khoản""))
"),4468984)</f>
        <v>4468984</v>
      </c>
      <c r="O827" s="5"/>
      <c r="P827" s="5"/>
      <c r="Q827" s="5"/>
      <c r="R827" s="5"/>
      <c r="S827" s="5"/>
    </row>
    <row r="828" spans="1:19" ht="15.75" customHeight="1" x14ac:dyDescent="0.2">
      <c r="A828" s="3">
        <v>46100</v>
      </c>
      <c r="B828" s="4" t="str">
        <f>IF(A828="","","PC-"&amp;TEXT(A828,"mm/yyyy")&amp;"-"&amp;TEXT(COUNTIFS($A$2:A828,"&gt;="&amp;EOMONTH(A828,-1)+1,$A$2:A828,"&lt;="&amp;EOMONTH(A828,0)),"000"))</f>
        <v>PC-03/2026-103</v>
      </c>
      <c r="C828" s="5" t="s">
        <v>729</v>
      </c>
      <c r="D828" s="5" t="s">
        <v>20</v>
      </c>
      <c r="E828" s="5" t="s">
        <v>21</v>
      </c>
      <c r="F828" s="5"/>
      <c r="G828" s="5" t="s">
        <v>22</v>
      </c>
      <c r="H828" s="5" t="s">
        <v>23</v>
      </c>
      <c r="I828" s="6">
        <v>2000000</v>
      </c>
      <c r="J828" s="6">
        <f>IF(D828="Thu",I828,0)</f>
        <v>2000000</v>
      </c>
      <c r="K828" s="6">
        <f>IF(D828="Chi",I828,0)</f>
        <v>0</v>
      </c>
      <c r="L828" s="6" t="e">
        <f>L827+J828-K828</f>
        <v>#VALUE!</v>
      </c>
      <c r="M828" s="6">
        <f ca="1">IFERROR(__xludf.DUMMYFUNCTION("SUM(FILTER(J:J, H:H=""Tiền mặt"")) - SUM(FILTER(K:K, H:H=""Tiền mặt""))
"),959000)</f>
        <v>959000</v>
      </c>
      <c r="N828" s="6">
        <f ca="1">IFERROR(__xludf.DUMMYFUNCTION("SUM(FILTER(J:J, H:H=""Chuyển khoản"")) - SUM(FILTER(K:K, H:H=""Chuyển khoản""))
"),4468984)</f>
        <v>4468984</v>
      </c>
      <c r="O828" s="5"/>
      <c r="P828" s="5"/>
      <c r="Q828" s="5"/>
      <c r="R828" s="5"/>
      <c r="S828" s="5"/>
    </row>
    <row r="829" spans="1:19" ht="15.75" customHeight="1" x14ac:dyDescent="0.2">
      <c r="A829" s="3">
        <v>46100</v>
      </c>
      <c r="B829" s="4" t="str">
        <f>IF(A829="","","PC-"&amp;TEXT(A829,"mm/yyyy")&amp;"-"&amp;TEXT(COUNTIFS($A$2:A829,"&gt;="&amp;EOMONTH(A829,-1)+1,$A$2:A829,"&lt;="&amp;EOMONTH(A829,0)),"000"))</f>
        <v>PC-03/2026-104</v>
      </c>
      <c r="C829" s="5" t="s">
        <v>730</v>
      </c>
      <c r="D829" s="5" t="s">
        <v>29</v>
      </c>
      <c r="E829" s="5" t="s">
        <v>41</v>
      </c>
      <c r="F829" s="5"/>
      <c r="G829" s="5" t="s">
        <v>82</v>
      </c>
      <c r="H829" s="5" t="s">
        <v>23</v>
      </c>
      <c r="I829" s="6">
        <v>200000</v>
      </c>
      <c r="J829" s="6">
        <f>IF(D829="Thu",I829,0)</f>
        <v>0</v>
      </c>
      <c r="K829" s="6">
        <f>IF(D829="Chi",I829,0)</f>
        <v>200000</v>
      </c>
      <c r="L829" s="6" t="e">
        <f>L828+J829-K829</f>
        <v>#VALUE!</v>
      </c>
      <c r="M829" s="6">
        <f ca="1">IFERROR(__xludf.DUMMYFUNCTION("SUM(FILTER(J:J, H:H=""Tiền mặt"")) - SUM(FILTER(K:K, H:H=""Tiền mặt""))
"),959000)</f>
        <v>959000</v>
      </c>
      <c r="N829" s="6">
        <f ca="1">IFERROR(__xludf.DUMMYFUNCTION("SUM(FILTER(J:J, H:H=""Chuyển khoản"")) - SUM(FILTER(K:K, H:H=""Chuyển khoản""))
"),4468984)</f>
        <v>4468984</v>
      </c>
      <c r="O829" s="5"/>
      <c r="P829" s="5"/>
      <c r="Q829" s="5"/>
      <c r="R829" s="5"/>
      <c r="S829" s="5"/>
    </row>
    <row r="830" spans="1:19" ht="15.75" customHeight="1" x14ac:dyDescent="0.2">
      <c r="A830" s="3">
        <v>46100</v>
      </c>
      <c r="B830" s="4" t="str">
        <f>IF(A830="","","PC-"&amp;TEXT(A830,"mm/yyyy")&amp;"-"&amp;TEXT(COUNTIFS($A$2:A830,"&gt;="&amp;EOMONTH(A830,-1)+1,$A$2:A830,"&lt;="&amp;EOMONTH(A830,0)),"000"))</f>
        <v>PC-03/2026-105</v>
      </c>
      <c r="C830" s="5" t="s">
        <v>731</v>
      </c>
      <c r="D830" s="5" t="s">
        <v>29</v>
      </c>
      <c r="E830" s="5" t="s">
        <v>41</v>
      </c>
      <c r="F830" s="5"/>
      <c r="G830" s="5" t="s">
        <v>482</v>
      </c>
      <c r="H830" s="5" t="s">
        <v>23</v>
      </c>
      <c r="I830" s="6">
        <v>300000</v>
      </c>
      <c r="J830" s="6">
        <f>IF(D830="Thu",I830,0)</f>
        <v>0</v>
      </c>
      <c r="K830" s="6">
        <f>IF(D830="Chi",I830,0)</f>
        <v>300000</v>
      </c>
      <c r="L830" s="6" t="e">
        <f>L829+J830-K830</f>
        <v>#VALUE!</v>
      </c>
      <c r="M830" s="6">
        <f ca="1">IFERROR(__xludf.DUMMYFUNCTION("SUM(FILTER(J:J, H:H=""Tiền mặt"")) - SUM(FILTER(K:K, H:H=""Tiền mặt""))
"),959000)</f>
        <v>959000</v>
      </c>
      <c r="N830" s="6">
        <f ca="1">IFERROR(__xludf.DUMMYFUNCTION("SUM(FILTER(J:J, H:H=""Chuyển khoản"")) - SUM(FILTER(K:K, H:H=""Chuyển khoản""))
"),4468984)</f>
        <v>4468984</v>
      </c>
      <c r="O830" s="5"/>
      <c r="P830" s="5"/>
      <c r="Q830" s="5"/>
      <c r="R830" s="5"/>
      <c r="S830" s="5"/>
    </row>
    <row r="831" spans="1:19" ht="15.75" customHeight="1" x14ac:dyDescent="0.2">
      <c r="A831" s="3">
        <v>46100</v>
      </c>
      <c r="B831" s="4" t="str">
        <f>IF(A831="","","PC-"&amp;TEXT(A831,"mm/yyyy")&amp;"-"&amp;TEXT(COUNTIFS($A$2:A831,"&gt;="&amp;EOMONTH(A831,-1)+1,$A$2:A831,"&lt;="&amp;EOMONTH(A831,0)),"000"))</f>
        <v>PC-03/2026-106</v>
      </c>
      <c r="C831" s="5" t="s">
        <v>732</v>
      </c>
      <c r="D831" s="5" t="s">
        <v>29</v>
      </c>
      <c r="E831" s="5" t="s">
        <v>36</v>
      </c>
      <c r="F831" s="5"/>
      <c r="G831" s="5" t="s">
        <v>37</v>
      </c>
      <c r="H831" s="5" t="s">
        <v>23</v>
      </c>
      <c r="I831" s="6">
        <v>70000</v>
      </c>
      <c r="J831" s="6">
        <f>IF(D831="Thu",I831,0)</f>
        <v>0</v>
      </c>
      <c r="K831" s="6">
        <f>IF(D831="Chi",I831,0)</f>
        <v>70000</v>
      </c>
      <c r="L831" s="6" t="e">
        <f>L830+J831-K831</f>
        <v>#VALUE!</v>
      </c>
      <c r="M831" s="6">
        <f ca="1">IFERROR(__xludf.DUMMYFUNCTION("SUM(FILTER(J:J, H:H=""Tiền mặt"")) - SUM(FILTER(K:K, H:H=""Tiền mặt""))
"),959000)</f>
        <v>959000</v>
      </c>
      <c r="N831" s="6">
        <f ca="1">IFERROR(__xludf.DUMMYFUNCTION("SUM(FILTER(J:J, H:H=""Chuyển khoản"")) - SUM(FILTER(K:K, H:H=""Chuyển khoản""))
"),4468984)</f>
        <v>4468984</v>
      </c>
      <c r="O831" s="5"/>
      <c r="P831" s="5"/>
      <c r="Q831" s="5"/>
      <c r="R831" s="5"/>
      <c r="S831" s="5"/>
    </row>
    <row r="832" spans="1:19" ht="15.75" customHeight="1" x14ac:dyDescent="0.2">
      <c r="A832" s="3">
        <v>46100</v>
      </c>
      <c r="B832" s="4" t="str">
        <f>IF(A832="","","PC-"&amp;TEXT(A832,"mm/yyyy")&amp;"-"&amp;TEXT(COUNTIFS($A$2:A832,"&gt;="&amp;EOMONTH(A832,-1)+1,$A$2:A832,"&lt;="&amp;EOMONTH(A832,0)),"000"))</f>
        <v>PC-03/2026-107</v>
      </c>
      <c r="C832" s="5" t="s">
        <v>603</v>
      </c>
      <c r="D832" s="5" t="s">
        <v>29</v>
      </c>
      <c r="E832" s="5" t="s">
        <v>36</v>
      </c>
      <c r="F832" s="5"/>
      <c r="G832" s="5" t="s">
        <v>37</v>
      </c>
      <c r="H832" s="5" t="s">
        <v>23</v>
      </c>
      <c r="I832" s="6">
        <v>60000</v>
      </c>
      <c r="J832" s="6">
        <f>IF(D832="Thu",I832,0)</f>
        <v>0</v>
      </c>
      <c r="K832" s="6">
        <f>IF(D832="Chi",I832,0)</f>
        <v>60000</v>
      </c>
      <c r="L832" s="6" t="e">
        <f>L831+J832-K832</f>
        <v>#VALUE!</v>
      </c>
      <c r="M832" s="6">
        <f ca="1">IFERROR(__xludf.DUMMYFUNCTION("SUM(FILTER(J:J, H:H=""Tiền mặt"")) - SUM(FILTER(K:K, H:H=""Tiền mặt""))
"),959000)</f>
        <v>959000</v>
      </c>
      <c r="N832" s="6">
        <f ca="1">IFERROR(__xludf.DUMMYFUNCTION("SUM(FILTER(J:J, H:H=""Chuyển khoản"")) - SUM(FILTER(K:K, H:H=""Chuyển khoản""))
"),4468984)</f>
        <v>4468984</v>
      </c>
      <c r="O832" s="5"/>
      <c r="P832" s="5"/>
      <c r="Q832" s="5"/>
      <c r="R832" s="5"/>
      <c r="S832" s="5"/>
    </row>
    <row r="833" spans="1:19" ht="15.75" customHeight="1" x14ac:dyDescent="0.2">
      <c r="A833" s="3">
        <v>46100</v>
      </c>
      <c r="B833" s="4" t="str">
        <f>IF(A833="","","PC-"&amp;TEXT(A833,"mm/yyyy")&amp;"-"&amp;TEXT(COUNTIFS($A$2:A833,"&gt;="&amp;EOMONTH(A833,-1)+1,$A$2:A833,"&lt;="&amp;EOMONTH(A833,0)),"000"))</f>
        <v>PC-03/2026-108</v>
      </c>
      <c r="C833" s="5" t="s">
        <v>733</v>
      </c>
      <c r="D833" s="5" t="s">
        <v>29</v>
      </c>
      <c r="E833" s="5" t="s">
        <v>61</v>
      </c>
      <c r="F833" s="5"/>
      <c r="G833" s="5" t="s">
        <v>52</v>
      </c>
      <c r="H833" s="5" t="s">
        <v>27</v>
      </c>
      <c r="I833" s="6">
        <v>200000</v>
      </c>
      <c r="J833" s="6">
        <f>IF(D833="Thu",I833,0)</f>
        <v>0</v>
      </c>
      <c r="K833" s="6">
        <f>IF(D833="Chi",I833,0)</f>
        <v>200000</v>
      </c>
      <c r="L833" s="6" t="e">
        <f>L832+J833-K833</f>
        <v>#VALUE!</v>
      </c>
      <c r="M833" s="6">
        <f ca="1">IFERROR(__xludf.DUMMYFUNCTION("SUM(FILTER(J:J, H:H=""Tiền mặt"")) - SUM(FILTER(K:K, H:H=""Tiền mặt""))
"),959000)</f>
        <v>959000</v>
      </c>
      <c r="N833" s="6">
        <f ca="1">IFERROR(__xludf.DUMMYFUNCTION("SUM(FILTER(J:J, H:H=""Chuyển khoản"")) - SUM(FILTER(K:K, H:H=""Chuyển khoản""))
"),4468984)</f>
        <v>4468984</v>
      </c>
      <c r="O833" s="5"/>
      <c r="P833" s="5"/>
      <c r="Q833" s="5"/>
      <c r="R833" s="5"/>
      <c r="S833" s="5"/>
    </row>
    <row r="834" spans="1:19" ht="15.75" customHeight="1" x14ac:dyDescent="0.2">
      <c r="A834" s="3">
        <v>46100</v>
      </c>
      <c r="B834" s="4" t="str">
        <f>IF(A834="","","PC-"&amp;TEXT(A834,"mm/yyyy")&amp;"-"&amp;TEXT(COUNTIFS($A$2:A834,"&gt;="&amp;EOMONTH(A834,-1)+1,$A$2:A834,"&lt;="&amp;EOMONTH(A834,0)),"000"))</f>
        <v>PC-03/2026-109</v>
      </c>
      <c r="C834" s="5" t="s">
        <v>734</v>
      </c>
      <c r="D834" s="5" t="s">
        <v>29</v>
      </c>
      <c r="E834" s="5" t="s">
        <v>41</v>
      </c>
      <c r="F834" s="5"/>
      <c r="G834" s="5" t="s">
        <v>42</v>
      </c>
      <c r="H834" s="5" t="s">
        <v>23</v>
      </c>
      <c r="I834" s="6">
        <v>100000</v>
      </c>
      <c r="J834" s="6">
        <f>IF(D834="Thu",I834,0)</f>
        <v>0</v>
      </c>
      <c r="K834" s="6">
        <f>IF(D834="Chi",I834,0)</f>
        <v>100000</v>
      </c>
      <c r="L834" s="6" t="e">
        <f>L833+J834-K834</f>
        <v>#VALUE!</v>
      </c>
      <c r="M834" s="6">
        <f ca="1">IFERROR(__xludf.DUMMYFUNCTION("SUM(FILTER(J:J, H:H=""Tiền mặt"")) - SUM(FILTER(K:K, H:H=""Tiền mặt""))
"),959000)</f>
        <v>959000</v>
      </c>
      <c r="N834" s="6">
        <f ca="1">IFERROR(__xludf.DUMMYFUNCTION("SUM(FILTER(J:J, H:H=""Chuyển khoản"")) - SUM(FILTER(K:K, H:H=""Chuyển khoản""))
"),4468984)</f>
        <v>4468984</v>
      </c>
      <c r="O834" s="5"/>
      <c r="P834" s="5"/>
      <c r="Q834" s="5"/>
      <c r="R834" s="5"/>
      <c r="S834" s="5"/>
    </row>
    <row r="835" spans="1:19" ht="15.75" customHeight="1" x14ac:dyDescent="0.2">
      <c r="A835" s="3">
        <v>46100</v>
      </c>
      <c r="B835" s="4" t="str">
        <f>IF(A835="","","PC-"&amp;TEXT(A835,"mm/yyyy")&amp;"-"&amp;TEXT(COUNTIFS($A$2:A835,"&gt;="&amp;EOMONTH(A835,-1)+1,$A$2:A835,"&lt;="&amp;EOMONTH(A835,0)),"000"))</f>
        <v>PC-03/2026-110</v>
      </c>
      <c r="C835" s="5" t="s">
        <v>735</v>
      </c>
      <c r="D835" s="5" t="s">
        <v>29</v>
      </c>
      <c r="E835" s="5" t="s">
        <v>346</v>
      </c>
      <c r="F835" s="5"/>
      <c r="G835" s="5" t="s">
        <v>347</v>
      </c>
      <c r="H835" s="5" t="s">
        <v>27</v>
      </c>
      <c r="I835" s="6">
        <v>1000000</v>
      </c>
      <c r="J835" s="6">
        <f>IF(D835="Thu",I835,0)</f>
        <v>0</v>
      </c>
      <c r="K835" s="6">
        <f>IF(D835="Chi",I835,0)</f>
        <v>1000000</v>
      </c>
      <c r="L835" s="6" t="e">
        <f>L834+J835-K835</f>
        <v>#VALUE!</v>
      </c>
      <c r="M835" s="6">
        <f ca="1">IFERROR(__xludf.DUMMYFUNCTION("SUM(FILTER(J:J, H:H=""Tiền mặt"")) - SUM(FILTER(K:K, H:H=""Tiền mặt""))
"),959000)</f>
        <v>959000</v>
      </c>
      <c r="N835" s="6">
        <f ca="1">IFERROR(__xludf.DUMMYFUNCTION("SUM(FILTER(J:J, H:H=""Chuyển khoản"")) - SUM(FILTER(K:K, H:H=""Chuyển khoản""))
"),4468984)</f>
        <v>4468984</v>
      </c>
      <c r="O835" s="5"/>
      <c r="P835" s="5"/>
      <c r="Q835" s="5"/>
      <c r="R835" s="5"/>
      <c r="S835" s="5"/>
    </row>
    <row r="836" spans="1:19" ht="15.75" customHeight="1" x14ac:dyDescent="0.2">
      <c r="A836" s="3">
        <v>46100</v>
      </c>
      <c r="B836" s="4" t="str">
        <f>IF(A836="","","PC-"&amp;TEXT(A836,"mm/yyyy")&amp;"-"&amp;TEXT(COUNTIFS($A$2:A836,"&gt;="&amp;EOMONTH(A836,-1)+1,$A$2:A836,"&lt;="&amp;EOMONTH(A836,0)),"000"))</f>
        <v>PC-03/2026-111</v>
      </c>
      <c r="C836" s="5" t="s">
        <v>736</v>
      </c>
      <c r="D836" s="5" t="s">
        <v>29</v>
      </c>
      <c r="E836" s="5" t="s">
        <v>71</v>
      </c>
      <c r="F836" s="5"/>
      <c r="G836" s="5" t="s">
        <v>737</v>
      </c>
      <c r="H836" s="5" t="s">
        <v>23</v>
      </c>
      <c r="I836" s="6">
        <v>20000</v>
      </c>
      <c r="J836" s="6">
        <f>IF(D836="Thu",I836,0)</f>
        <v>0</v>
      </c>
      <c r="K836" s="6">
        <f>IF(D836="Chi",I836,0)</f>
        <v>20000</v>
      </c>
      <c r="L836" s="6" t="e">
        <f>L835+J836-K836</f>
        <v>#VALUE!</v>
      </c>
      <c r="M836" s="6">
        <f ca="1">IFERROR(__xludf.DUMMYFUNCTION("SUM(FILTER(J:J, H:H=""Tiền mặt"")) - SUM(FILTER(K:K, H:H=""Tiền mặt""))
"),959000)</f>
        <v>959000</v>
      </c>
      <c r="N836" s="6">
        <f ca="1">IFERROR(__xludf.DUMMYFUNCTION("SUM(FILTER(J:J, H:H=""Chuyển khoản"")) - SUM(FILTER(K:K, H:H=""Chuyển khoản""))
"),4468984)</f>
        <v>4468984</v>
      </c>
      <c r="O836" s="5"/>
      <c r="P836" s="5"/>
      <c r="Q836" s="5"/>
      <c r="R836" s="5"/>
      <c r="S836" s="5"/>
    </row>
    <row r="837" spans="1:19" ht="15.75" customHeight="1" x14ac:dyDescent="0.2">
      <c r="A837" s="3">
        <v>46100</v>
      </c>
      <c r="B837" s="4" t="str">
        <f>IF(A837="","","PC-"&amp;TEXT(A837,"mm/yyyy")&amp;"-"&amp;TEXT(COUNTIFS($A$2:A837,"&gt;="&amp;EOMONTH(A837,-1)+1,$A$2:A837,"&lt;="&amp;EOMONTH(A837,0)),"000"))</f>
        <v>PC-03/2026-112</v>
      </c>
      <c r="C837" s="5" t="s">
        <v>738</v>
      </c>
      <c r="D837" s="5" t="s">
        <v>29</v>
      </c>
      <c r="E837" s="5" t="s">
        <v>88</v>
      </c>
      <c r="F837" s="5"/>
      <c r="G837" s="5" t="s">
        <v>89</v>
      </c>
      <c r="H837" s="5" t="s">
        <v>23</v>
      </c>
      <c r="I837" s="6">
        <v>75000</v>
      </c>
      <c r="J837" s="6">
        <f>IF(D837="Thu",I837,0)</f>
        <v>0</v>
      </c>
      <c r="K837" s="6">
        <f>IF(D837="Chi",I837,0)</f>
        <v>75000</v>
      </c>
      <c r="L837" s="6" t="e">
        <f>L836+J837-K837</f>
        <v>#VALUE!</v>
      </c>
      <c r="M837" s="6">
        <f ca="1">IFERROR(__xludf.DUMMYFUNCTION("SUM(FILTER(J:J, H:H=""Tiền mặt"")) - SUM(FILTER(K:K, H:H=""Tiền mặt""))
"),959000)</f>
        <v>959000</v>
      </c>
      <c r="N837" s="6">
        <f ca="1">IFERROR(__xludf.DUMMYFUNCTION("SUM(FILTER(J:J, H:H=""Chuyển khoản"")) - SUM(FILTER(K:K, H:H=""Chuyển khoản""))
"),4468984)</f>
        <v>4468984</v>
      </c>
      <c r="O837" s="5"/>
      <c r="P837" s="5"/>
      <c r="Q837" s="5"/>
      <c r="R837" s="5"/>
      <c r="S837" s="5"/>
    </row>
    <row r="838" spans="1:19" ht="15.75" customHeight="1" x14ac:dyDescent="0.2">
      <c r="A838" s="3">
        <v>46100</v>
      </c>
      <c r="B838" s="4" t="str">
        <f>IF(A838="","","PC-"&amp;TEXT(A838,"mm/yyyy")&amp;"-"&amp;TEXT(COUNTIFS($A$2:A838,"&gt;="&amp;EOMONTH(A838,-1)+1,$A$2:A838,"&lt;="&amp;EOMONTH(A838,0)),"000"))</f>
        <v>PC-03/2026-113</v>
      </c>
      <c r="C838" s="5" t="s">
        <v>739</v>
      </c>
      <c r="D838" s="5" t="s">
        <v>29</v>
      </c>
      <c r="E838" s="5" t="s">
        <v>36</v>
      </c>
      <c r="F838" s="5"/>
      <c r="G838" s="5" t="s">
        <v>72</v>
      </c>
      <c r="H838" s="5" t="s">
        <v>27</v>
      </c>
      <c r="I838" s="6">
        <v>159000</v>
      </c>
      <c r="J838" s="6">
        <f>IF(D838="Thu",I838,0)</f>
        <v>0</v>
      </c>
      <c r="K838" s="6">
        <f>IF(D838="Chi",I838,0)</f>
        <v>159000</v>
      </c>
      <c r="L838" s="6" t="e">
        <f>L837+J838-K838</f>
        <v>#VALUE!</v>
      </c>
      <c r="M838" s="6">
        <f ca="1">IFERROR(__xludf.DUMMYFUNCTION("SUM(FILTER(J:J, H:H=""Tiền mặt"")) - SUM(FILTER(K:K, H:H=""Tiền mặt""))
"),959000)</f>
        <v>959000</v>
      </c>
      <c r="N838" s="6">
        <f ca="1">IFERROR(__xludf.DUMMYFUNCTION("SUM(FILTER(J:J, H:H=""Chuyển khoản"")) - SUM(FILTER(K:K, H:H=""Chuyển khoản""))
"),4468984)</f>
        <v>4468984</v>
      </c>
      <c r="O838" s="5"/>
      <c r="P838" s="5"/>
      <c r="Q838" s="5"/>
      <c r="R838" s="5"/>
      <c r="S838" s="5"/>
    </row>
    <row r="839" spans="1:19" ht="15.75" customHeight="1" x14ac:dyDescent="0.2">
      <c r="A839" s="3">
        <v>46100</v>
      </c>
      <c r="B839" s="4" t="str">
        <f>IF(A839="","","PC-"&amp;TEXT(A839,"mm/yyyy")&amp;"-"&amp;TEXT(COUNTIFS($A$2:A839,"&gt;="&amp;EOMONTH(A839,-1)+1,$A$2:A839,"&lt;="&amp;EOMONTH(A839,0)),"000"))</f>
        <v>PC-03/2026-114</v>
      </c>
      <c r="C839" s="5" t="s">
        <v>740</v>
      </c>
      <c r="D839" s="5" t="s">
        <v>29</v>
      </c>
      <c r="E839" s="5" t="s">
        <v>346</v>
      </c>
      <c r="F839" s="5"/>
      <c r="G839" s="5" t="s">
        <v>347</v>
      </c>
      <c r="H839" s="5" t="s">
        <v>27</v>
      </c>
      <c r="I839" s="6">
        <v>1000000</v>
      </c>
      <c r="J839" s="6">
        <f>IF(D839="Thu",I839,0)</f>
        <v>0</v>
      </c>
      <c r="K839" s="6">
        <f>IF(D839="Chi",I839,0)</f>
        <v>1000000</v>
      </c>
      <c r="L839" s="6" t="e">
        <f>L838+J839-K839</f>
        <v>#VALUE!</v>
      </c>
      <c r="M839" s="6">
        <f ca="1">IFERROR(__xludf.DUMMYFUNCTION("SUM(FILTER(J:J, H:H=""Tiền mặt"")) - SUM(FILTER(K:K, H:H=""Tiền mặt""))
"),959000)</f>
        <v>959000</v>
      </c>
      <c r="N839" s="6">
        <f ca="1">IFERROR(__xludf.DUMMYFUNCTION("SUM(FILTER(J:J, H:H=""Chuyển khoản"")) - SUM(FILTER(K:K, H:H=""Chuyển khoản""))
"),4468984)</f>
        <v>4468984</v>
      </c>
      <c r="O839" s="5"/>
      <c r="P839" s="5"/>
      <c r="Q839" s="5"/>
      <c r="R839" s="5"/>
      <c r="S839" s="5"/>
    </row>
    <row r="840" spans="1:19" ht="15.75" customHeight="1" x14ac:dyDescent="0.2">
      <c r="A840" s="3">
        <v>46100</v>
      </c>
      <c r="B840" s="4" t="str">
        <f>IF(A840="","","PC-"&amp;TEXT(A840,"mm/yyyy")&amp;"-"&amp;TEXT(COUNTIFS($A$2:A840,"&gt;="&amp;EOMONTH(A840,-1)+1,$A$2:A840,"&lt;="&amp;EOMONTH(A840,0)),"000"))</f>
        <v>PC-03/2026-115</v>
      </c>
      <c r="C840" s="5" t="s">
        <v>741</v>
      </c>
      <c r="D840" s="5" t="s">
        <v>29</v>
      </c>
      <c r="E840" s="5" t="s">
        <v>41</v>
      </c>
      <c r="F840" s="5"/>
      <c r="G840" s="5" t="s">
        <v>42</v>
      </c>
      <c r="H840" s="5" t="s">
        <v>23</v>
      </c>
      <c r="I840" s="6">
        <v>100000</v>
      </c>
      <c r="J840" s="6">
        <f>IF(D840="Thu",I840,0)</f>
        <v>0</v>
      </c>
      <c r="K840" s="6">
        <f>IF(D840="Chi",I840,0)</f>
        <v>100000</v>
      </c>
      <c r="L840" s="6" t="e">
        <f>L839+J840-K840</f>
        <v>#VALUE!</v>
      </c>
      <c r="M840" s="6">
        <f ca="1">IFERROR(__xludf.DUMMYFUNCTION("SUM(FILTER(J:J, H:H=""Tiền mặt"")) - SUM(FILTER(K:K, H:H=""Tiền mặt""))
"),959000)</f>
        <v>959000</v>
      </c>
      <c r="N840" s="6">
        <f ca="1">IFERROR(__xludf.DUMMYFUNCTION("SUM(FILTER(J:J, H:H=""Chuyển khoản"")) - SUM(FILTER(K:K, H:H=""Chuyển khoản""))
"),4468984)</f>
        <v>4468984</v>
      </c>
      <c r="O840" s="5"/>
      <c r="P840" s="5"/>
      <c r="Q840" s="5"/>
      <c r="R840" s="5"/>
      <c r="S840" s="5"/>
    </row>
    <row r="841" spans="1:19" ht="15.75" customHeight="1" x14ac:dyDescent="0.2">
      <c r="A841" s="3">
        <v>46100</v>
      </c>
      <c r="B841" s="4" t="str">
        <f>IF(A841="","","PC-"&amp;TEXT(A841,"mm/yyyy")&amp;"-"&amp;TEXT(COUNTIFS($A$2:A841,"&gt;="&amp;EOMONTH(A841,-1)+1,$A$2:A841,"&lt;="&amp;EOMONTH(A841,0)),"000"))</f>
        <v>PC-03/2026-116</v>
      </c>
      <c r="C841" s="7" t="s">
        <v>742</v>
      </c>
      <c r="D841" s="5" t="s">
        <v>29</v>
      </c>
      <c r="E841" s="5" t="s">
        <v>64</v>
      </c>
      <c r="F841" s="5"/>
      <c r="G841" s="5" t="s">
        <v>86</v>
      </c>
      <c r="H841" s="5" t="s">
        <v>27</v>
      </c>
      <c r="I841" s="6">
        <v>500000</v>
      </c>
      <c r="J841" s="6">
        <f>IF(D841="Thu",I841,0)</f>
        <v>0</v>
      </c>
      <c r="K841" s="6">
        <f>IF(D841="Chi",I841,0)</f>
        <v>500000</v>
      </c>
      <c r="L841" s="6" t="e">
        <f>L840+J841-K841</f>
        <v>#VALUE!</v>
      </c>
      <c r="M841" s="6">
        <f ca="1">IFERROR(__xludf.DUMMYFUNCTION("SUM(FILTER(J:J, H:H=""Tiền mặt"")) - SUM(FILTER(K:K, H:H=""Tiền mặt""))
"),959000)</f>
        <v>959000</v>
      </c>
      <c r="N841" s="6">
        <f ca="1">IFERROR(__xludf.DUMMYFUNCTION("SUM(FILTER(J:J, H:H=""Chuyển khoản"")) - SUM(FILTER(K:K, H:H=""Chuyển khoản""))
"),4468984)</f>
        <v>4468984</v>
      </c>
      <c r="O841" s="5"/>
      <c r="P841" s="5"/>
      <c r="Q841" s="5"/>
      <c r="R841" s="5"/>
      <c r="S841" s="5"/>
    </row>
    <row r="842" spans="1:19" ht="15.75" customHeight="1" x14ac:dyDescent="0.2">
      <c r="A842" s="3">
        <v>46099</v>
      </c>
      <c r="B842" s="4" t="str">
        <f>IF(A842="","","PC-"&amp;TEXT(A842,"mm/yyyy")&amp;"-"&amp;TEXT(COUNTIFS($A$2:A842,"&gt;="&amp;EOMONTH(A842,-1)+1,$A$2:A842,"&lt;="&amp;EOMONTH(A842,0)),"000"))</f>
        <v>PC-03/2026-117</v>
      </c>
      <c r="C842" s="5" t="s">
        <v>721</v>
      </c>
      <c r="D842" s="5" t="s">
        <v>29</v>
      </c>
      <c r="E842" s="5" t="s">
        <v>51</v>
      </c>
      <c r="F842" s="5"/>
      <c r="G842" s="5" t="s">
        <v>52</v>
      </c>
      <c r="H842" s="5" t="s">
        <v>27</v>
      </c>
      <c r="I842" s="6">
        <v>177609</v>
      </c>
      <c r="J842" s="6">
        <f>IF(D842="Thu",I842,0)</f>
        <v>0</v>
      </c>
      <c r="K842" s="6">
        <f>IF(D842="Chi",I842,0)</f>
        <v>177609</v>
      </c>
      <c r="L842" s="6" t="e">
        <f>L841+J842-K842</f>
        <v>#VALUE!</v>
      </c>
      <c r="M842" s="6">
        <f ca="1">IFERROR(__xludf.DUMMYFUNCTION("SUM(FILTER(J:J, H:H=""Tiền mặt"")) - SUM(FILTER(K:K, H:H=""Tiền mặt""))
"),959000)</f>
        <v>959000</v>
      </c>
      <c r="N842" s="6">
        <f ca="1">IFERROR(__xludf.DUMMYFUNCTION("SUM(FILTER(J:J, H:H=""Chuyển khoản"")) - SUM(FILTER(K:K, H:H=""Chuyển khoản""))
"),4468984)</f>
        <v>4468984</v>
      </c>
      <c r="O842" s="5"/>
      <c r="P842" s="5"/>
      <c r="Q842" s="5"/>
      <c r="R842" s="5"/>
      <c r="S842" s="5"/>
    </row>
    <row r="843" spans="1:19" ht="15.75" customHeight="1" x14ac:dyDescent="0.2">
      <c r="A843" s="3">
        <v>46099</v>
      </c>
      <c r="B843" s="4" t="str">
        <f>IF(A843="","","PC-"&amp;TEXT(A843,"mm/yyyy")&amp;"-"&amp;TEXT(COUNTIFS($A$2:A843,"&gt;="&amp;EOMONTH(A843,-1)+1,$A$2:A843,"&lt;="&amp;EOMONTH(A843,0)),"000"))</f>
        <v>PC-03/2026-118</v>
      </c>
      <c r="C843" s="5" t="s">
        <v>722</v>
      </c>
      <c r="D843" s="5" t="s">
        <v>29</v>
      </c>
      <c r="E843" s="5" t="s">
        <v>41</v>
      </c>
      <c r="F843" s="5"/>
      <c r="G843" s="5" t="s">
        <v>42</v>
      </c>
      <c r="H843" s="5" t="s">
        <v>23</v>
      </c>
      <c r="I843" s="6">
        <v>100000</v>
      </c>
      <c r="J843" s="6">
        <f>IF(D843="Thu",I843,0)</f>
        <v>0</v>
      </c>
      <c r="K843" s="6">
        <f>IF(D843="Chi",I843,0)</f>
        <v>100000</v>
      </c>
      <c r="L843" s="6" t="e">
        <f>L842+J843-K843</f>
        <v>#VALUE!</v>
      </c>
      <c r="M843" s="6">
        <f ca="1">IFERROR(__xludf.DUMMYFUNCTION("SUM(FILTER(J:J, H:H=""Tiền mặt"")) - SUM(FILTER(K:K, H:H=""Tiền mặt""))
"),959000)</f>
        <v>959000</v>
      </c>
      <c r="N843" s="6">
        <f ca="1">IFERROR(__xludf.DUMMYFUNCTION("SUM(FILTER(J:J, H:H=""Chuyển khoản"")) - SUM(FILTER(K:K, H:H=""Chuyển khoản""))
"),4468984)</f>
        <v>4468984</v>
      </c>
      <c r="O843" s="5"/>
      <c r="P843" s="5"/>
      <c r="Q843" s="5"/>
      <c r="R843" s="5"/>
      <c r="S843" s="5"/>
    </row>
    <row r="844" spans="1:19" ht="15.75" customHeight="1" x14ac:dyDescent="0.2">
      <c r="A844" s="3">
        <v>46099</v>
      </c>
      <c r="B844" s="4" t="str">
        <f>IF(A844="","","PC-"&amp;TEXT(A844,"mm/yyyy")&amp;"-"&amp;TEXT(COUNTIFS($A$2:A844,"&gt;="&amp;EOMONTH(A844,-1)+1,$A$2:A844,"&lt;="&amp;EOMONTH(A844,0)),"000"))</f>
        <v>PC-03/2026-119</v>
      </c>
      <c r="C844" s="5" t="s">
        <v>723</v>
      </c>
      <c r="D844" s="5" t="s">
        <v>29</v>
      </c>
      <c r="E844" s="5" t="s">
        <v>71</v>
      </c>
      <c r="F844" s="5"/>
      <c r="G844" s="5" t="s">
        <v>241</v>
      </c>
      <c r="H844" s="5" t="s">
        <v>27</v>
      </c>
      <c r="I844" s="6">
        <v>17000</v>
      </c>
      <c r="J844" s="6">
        <f>IF(D844="Thu",I844,0)</f>
        <v>0</v>
      </c>
      <c r="K844" s="6">
        <f>IF(D844="Chi",I844,0)</f>
        <v>17000</v>
      </c>
      <c r="L844" s="6" t="e">
        <f>L843+J844-K844</f>
        <v>#VALUE!</v>
      </c>
      <c r="M844" s="6">
        <f ca="1">IFERROR(__xludf.DUMMYFUNCTION("SUM(FILTER(J:J, H:H=""Tiền mặt"")) - SUM(FILTER(K:K, H:H=""Tiền mặt""))
"),959000)</f>
        <v>959000</v>
      </c>
      <c r="N844" s="6">
        <f ca="1">IFERROR(__xludf.DUMMYFUNCTION("SUM(FILTER(J:J, H:H=""Chuyển khoản"")) - SUM(FILTER(K:K, H:H=""Chuyển khoản""))
"),4468984)</f>
        <v>4468984</v>
      </c>
      <c r="O844" s="5"/>
      <c r="P844" s="5"/>
      <c r="Q844" s="5"/>
      <c r="R844" s="5"/>
      <c r="S844" s="5"/>
    </row>
    <row r="845" spans="1:19" ht="15.75" customHeight="1" x14ac:dyDescent="0.2">
      <c r="A845" s="3">
        <v>46099</v>
      </c>
      <c r="B845" s="4" t="str">
        <f>IF(A845="","","PC-"&amp;TEXT(A845,"mm/yyyy")&amp;"-"&amp;TEXT(COUNTIFS($A$2:A845,"&gt;="&amp;EOMONTH(A845,-1)+1,$A$2:A845,"&lt;="&amp;EOMONTH(A845,0)),"000"))</f>
        <v>PC-03/2026-120</v>
      </c>
      <c r="C845" s="5" t="s">
        <v>724</v>
      </c>
      <c r="D845" s="5" t="s">
        <v>29</v>
      </c>
      <c r="E845" s="5" t="s">
        <v>78</v>
      </c>
      <c r="F845" s="5"/>
      <c r="G845" s="5" t="s">
        <v>72</v>
      </c>
      <c r="H845" s="5" t="s">
        <v>27</v>
      </c>
      <c r="I845" s="6">
        <v>82000</v>
      </c>
      <c r="J845" s="6">
        <f>IF(D845="Thu",I845,0)</f>
        <v>0</v>
      </c>
      <c r="K845" s="6">
        <f>IF(D845="Chi",I845,0)</f>
        <v>82000</v>
      </c>
      <c r="L845" s="6" t="e">
        <f>L844+J845-K845</f>
        <v>#VALUE!</v>
      </c>
      <c r="M845" s="6">
        <f ca="1">IFERROR(__xludf.DUMMYFUNCTION("SUM(FILTER(J:J, H:H=""Tiền mặt"")) - SUM(FILTER(K:K, H:H=""Tiền mặt""))
"),959000)</f>
        <v>959000</v>
      </c>
      <c r="N845" s="6">
        <f ca="1">IFERROR(__xludf.DUMMYFUNCTION("SUM(FILTER(J:J, H:H=""Chuyển khoản"")) - SUM(FILTER(K:K, H:H=""Chuyển khoản""))
"),4468984)</f>
        <v>4468984</v>
      </c>
      <c r="O845" s="5"/>
      <c r="P845" s="5"/>
      <c r="Q845" s="5"/>
      <c r="R845" s="5"/>
      <c r="S845" s="5"/>
    </row>
    <row r="846" spans="1:19" ht="15.75" customHeight="1" x14ac:dyDescent="0.2">
      <c r="A846" s="3">
        <v>46099</v>
      </c>
      <c r="B846" s="4" t="str">
        <f>IF(A846="","","PC-"&amp;TEXT(A846,"mm/yyyy")&amp;"-"&amp;TEXT(COUNTIFS($A$2:A846,"&gt;="&amp;EOMONTH(A846,-1)+1,$A$2:A846,"&lt;="&amp;EOMONTH(A846,0)),"000"))</f>
        <v>PC-03/2026-121</v>
      </c>
      <c r="C846" s="5" t="s">
        <v>725</v>
      </c>
      <c r="D846" s="5" t="s">
        <v>29</v>
      </c>
      <c r="E846" s="5" t="s">
        <v>47</v>
      </c>
      <c r="F846" s="5"/>
      <c r="G846" s="5" t="s">
        <v>48</v>
      </c>
      <c r="H846" s="5" t="s">
        <v>23</v>
      </c>
      <c r="I846" s="6">
        <v>50000</v>
      </c>
      <c r="J846" s="6">
        <f>IF(D846="Thu",I846,0)</f>
        <v>0</v>
      </c>
      <c r="K846" s="6">
        <f>IF(D846="Chi",I846,0)</f>
        <v>50000</v>
      </c>
      <c r="L846" s="6" t="e">
        <f>L845+J846-K846</f>
        <v>#VALUE!</v>
      </c>
      <c r="M846" s="6">
        <f ca="1">IFERROR(__xludf.DUMMYFUNCTION("SUM(FILTER(J:J, H:H=""Tiền mặt"")) - SUM(FILTER(K:K, H:H=""Tiền mặt""))
"),959000)</f>
        <v>959000</v>
      </c>
      <c r="N846" s="6">
        <f ca="1">IFERROR(__xludf.DUMMYFUNCTION("SUM(FILTER(J:J, H:H=""Chuyển khoản"")) - SUM(FILTER(K:K, H:H=""Chuyển khoản""))
"),4468984)</f>
        <v>4468984</v>
      </c>
      <c r="O846" s="5"/>
      <c r="P846" s="5"/>
      <c r="Q846" s="5"/>
      <c r="R846" s="5"/>
      <c r="S846" s="5"/>
    </row>
    <row r="847" spans="1:19" ht="15.75" customHeight="1" x14ac:dyDescent="0.2">
      <c r="A847" s="3">
        <v>46099</v>
      </c>
      <c r="B847" s="4" t="str">
        <f>IF(A847="","","PC-"&amp;TEXT(A847,"mm/yyyy")&amp;"-"&amp;TEXT(COUNTIFS($A$2:A847,"&gt;="&amp;EOMONTH(A847,-1)+1,$A$2:A847,"&lt;="&amp;EOMONTH(A847,0)),"000"))</f>
        <v>PC-03/2026-122</v>
      </c>
      <c r="C847" s="5" t="s">
        <v>726</v>
      </c>
      <c r="D847" s="5" t="s">
        <v>20</v>
      </c>
      <c r="E847" s="5" t="s">
        <v>21</v>
      </c>
      <c r="F847" s="5"/>
      <c r="G847" s="5" t="s">
        <v>22</v>
      </c>
      <c r="H847" s="5" t="s">
        <v>23</v>
      </c>
      <c r="I847" s="6">
        <v>10000000</v>
      </c>
      <c r="J847" s="6">
        <f>IF(D847="Thu",I847,0)</f>
        <v>10000000</v>
      </c>
      <c r="K847" s="6">
        <f>IF(D847="Chi",I847,0)</f>
        <v>0</v>
      </c>
      <c r="L847" s="6" t="e">
        <f>L846+J847-K847</f>
        <v>#VALUE!</v>
      </c>
      <c r="M847" s="6">
        <f ca="1">IFERROR(__xludf.DUMMYFUNCTION("SUM(FILTER(J:J, H:H=""Tiền mặt"")) - SUM(FILTER(K:K, H:H=""Tiền mặt""))
"),959000)</f>
        <v>959000</v>
      </c>
      <c r="N847" s="6">
        <f ca="1">IFERROR(__xludf.DUMMYFUNCTION("SUM(FILTER(J:J, H:H=""Chuyển khoản"")) - SUM(FILTER(K:K, H:H=""Chuyển khoản""))
"),4468984)</f>
        <v>4468984</v>
      </c>
      <c r="O847" s="5"/>
      <c r="P847" s="5"/>
      <c r="Q847" s="5"/>
      <c r="R847" s="5"/>
      <c r="S847" s="5"/>
    </row>
    <row r="848" spans="1:19" ht="15.75" customHeight="1" x14ac:dyDescent="0.2">
      <c r="A848" s="3">
        <v>46099</v>
      </c>
      <c r="B848" s="4" t="str">
        <f>IF(A848="","","PC-"&amp;TEXT(A848,"mm/yyyy")&amp;"-"&amp;TEXT(COUNTIFS($A$2:A848,"&gt;="&amp;EOMONTH(A848,-1)+1,$A$2:A848,"&lt;="&amp;EOMONTH(A848,0)),"000"))</f>
        <v>PC-03/2026-123</v>
      </c>
      <c r="C848" s="5" t="s">
        <v>727</v>
      </c>
      <c r="D848" s="5" t="s">
        <v>29</v>
      </c>
      <c r="E848" s="5" t="s">
        <v>41</v>
      </c>
      <c r="F848" s="5"/>
      <c r="G848" s="5" t="s">
        <v>217</v>
      </c>
      <c r="H848" s="5" t="s">
        <v>27</v>
      </c>
      <c r="I848" s="6">
        <v>300000</v>
      </c>
      <c r="J848" s="6">
        <f>IF(D848="Thu",I848,0)</f>
        <v>0</v>
      </c>
      <c r="K848" s="6">
        <f>IF(D848="Chi",I848,0)</f>
        <v>300000</v>
      </c>
      <c r="L848" s="6" t="e">
        <f>L847+J848-K848</f>
        <v>#VALUE!</v>
      </c>
      <c r="M848" s="6">
        <f ca="1">IFERROR(__xludf.DUMMYFUNCTION("SUM(FILTER(J:J, H:H=""Tiền mặt"")) - SUM(FILTER(K:K, H:H=""Tiền mặt""))
"),959000)</f>
        <v>959000</v>
      </c>
      <c r="N848" s="6">
        <f ca="1">IFERROR(__xludf.DUMMYFUNCTION("SUM(FILTER(J:J, H:H=""Chuyển khoản"")) - SUM(FILTER(K:K, H:H=""Chuyển khoản""))
"),4468984)</f>
        <v>4468984</v>
      </c>
      <c r="O848" s="5"/>
      <c r="P848" s="5"/>
      <c r="Q848" s="5"/>
      <c r="R848" s="5"/>
      <c r="S848" s="5"/>
    </row>
    <row r="849" spans="1:19" ht="15.75" customHeight="1" x14ac:dyDescent="0.2">
      <c r="A849" s="3">
        <v>46099</v>
      </c>
      <c r="B849" s="4" t="str">
        <f>IF(A849="","","PC-"&amp;TEXT(A849,"mm/yyyy")&amp;"-"&amp;TEXT(COUNTIFS($A$2:A849,"&gt;="&amp;EOMONTH(A849,-1)+1,$A$2:A849,"&lt;="&amp;EOMONTH(A849,0)),"000"))</f>
        <v>PC-03/2026-124</v>
      </c>
      <c r="C849" s="5" t="s">
        <v>728</v>
      </c>
      <c r="D849" s="5" t="s">
        <v>29</v>
      </c>
      <c r="E849" s="5" t="s">
        <v>41</v>
      </c>
      <c r="F849" s="5"/>
      <c r="G849" s="5" t="s">
        <v>42</v>
      </c>
      <c r="H849" s="5" t="s">
        <v>23</v>
      </c>
      <c r="I849" s="6">
        <v>100000</v>
      </c>
      <c r="J849" s="6">
        <f>IF(D849="Thu",I849,0)</f>
        <v>0</v>
      </c>
      <c r="K849" s="6">
        <f>IF(D849="Chi",I849,0)</f>
        <v>100000</v>
      </c>
      <c r="L849" s="6" t="e">
        <f>L848+J849-K849</f>
        <v>#VALUE!</v>
      </c>
      <c r="M849" s="6">
        <f ca="1">IFERROR(__xludf.DUMMYFUNCTION("SUM(FILTER(J:J, H:H=""Tiền mặt"")) - SUM(FILTER(K:K, H:H=""Tiền mặt""))
"),959000)</f>
        <v>959000</v>
      </c>
      <c r="N849" s="6">
        <f ca="1">IFERROR(__xludf.DUMMYFUNCTION("SUM(FILTER(J:J, H:H=""Chuyển khoản"")) - SUM(FILTER(K:K, H:H=""Chuyển khoản""))
"),4468984)</f>
        <v>4468984</v>
      </c>
      <c r="O849" s="5"/>
      <c r="P849" s="5"/>
      <c r="Q849" s="5"/>
      <c r="R849" s="5"/>
      <c r="S849" s="5"/>
    </row>
    <row r="850" spans="1:19" ht="15.75" customHeight="1" x14ac:dyDescent="0.2">
      <c r="A850" s="3">
        <v>46098</v>
      </c>
      <c r="B850" s="4" t="str">
        <f>IF(A850="","","PC-"&amp;TEXT(A850,"mm/yyyy")&amp;"-"&amp;TEXT(COUNTIFS($A$2:A850,"&gt;="&amp;EOMONTH(A850,-1)+1,$A$2:A850,"&lt;="&amp;EOMONTH(A850,0)),"000"))</f>
        <v>PC-03/2026-125</v>
      </c>
      <c r="C850" s="5" t="s">
        <v>706</v>
      </c>
      <c r="D850" s="5" t="s">
        <v>29</v>
      </c>
      <c r="E850" s="5" t="s">
        <v>41</v>
      </c>
      <c r="F850" s="5"/>
      <c r="G850" s="5" t="s">
        <v>82</v>
      </c>
      <c r="H850" s="5" t="s">
        <v>23</v>
      </c>
      <c r="I850" s="6">
        <v>100000</v>
      </c>
      <c r="J850" s="6">
        <f>IF(D850="Thu",I850,0)</f>
        <v>0</v>
      </c>
      <c r="K850" s="6">
        <f>IF(D850="Chi",I850,0)</f>
        <v>100000</v>
      </c>
      <c r="L850" s="6" t="e">
        <f>L849+J850-K850</f>
        <v>#VALUE!</v>
      </c>
      <c r="M850" s="6">
        <f ca="1">IFERROR(__xludf.DUMMYFUNCTION("SUM(FILTER(J:J, H:H=""Tiền mặt"")) - SUM(FILTER(K:K, H:H=""Tiền mặt""))
"),959000)</f>
        <v>959000</v>
      </c>
      <c r="N850" s="6">
        <f ca="1">IFERROR(__xludf.DUMMYFUNCTION("SUM(FILTER(J:J, H:H=""Chuyển khoản"")) - SUM(FILTER(K:K, H:H=""Chuyển khoản""))
"),4468984)</f>
        <v>4468984</v>
      </c>
      <c r="O850" s="5"/>
      <c r="P850" s="5"/>
      <c r="Q850" s="5"/>
      <c r="R850" s="5"/>
      <c r="S850" s="5"/>
    </row>
    <row r="851" spans="1:19" ht="15.75" customHeight="1" x14ac:dyDescent="0.2">
      <c r="A851" s="3">
        <v>46098</v>
      </c>
      <c r="B851" s="4" t="str">
        <f>IF(A851="","","PC-"&amp;TEXT(A851,"mm/yyyy")&amp;"-"&amp;TEXT(COUNTIFS($A$2:A851,"&gt;="&amp;EOMONTH(A851,-1)+1,$A$2:A851,"&lt;="&amp;EOMONTH(A851,0)),"000"))</f>
        <v>PC-03/2026-126</v>
      </c>
      <c r="C851" s="5" t="s">
        <v>707</v>
      </c>
      <c r="D851" s="5" t="s">
        <v>29</v>
      </c>
      <c r="E851" s="5" t="s">
        <v>41</v>
      </c>
      <c r="F851" s="5"/>
      <c r="G851" s="5" t="s">
        <v>42</v>
      </c>
      <c r="H851" s="5" t="s">
        <v>23</v>
      </c>
      <c r="I851" s="6">
        <v>100000</v>
      </c>
      <c r="J851" s="6">
        <f>IF(D851="Thu",I851,0)</f>
        <v>0</v>
      </c>
      <c r="K851" s="6">
        <f>IF(D851="Chi",I851,0)</f>
        <v>100000</v>
      </c>
      <c r="L851" s="6" t="e">
        <f>L850+J851-K851</f>
        <v>#VALUE!</v>
      </c>
      <c r="M851" s="6">
        <f ca="1">IFERROR(__xludf.DUMMYFUNCTION("SUM(FILTER(J:J, H:H=""Tiền mặt"")) - SUM(FILTER(K:K, H:H=""Tiền mặt""))
"),959000)</f>
        <v>959000</v>
      </c>
      <c r="N851" s="6">
        <f ca="1">IFERROR(__xludf.DUMMYFUNCTION("SUM(FILTER(J:J, H:H=""Chuyển khoản"")) - SUM(FILTER(K:K, H:H=""Chuyển khoản""))
"),4468984)</f>
        <v>4468984</v>
      </c>
      <c r="O851" s="5"/>
      <c r="P851" s="5"/>
      <c r="Q851" s="5"/>
      <c r="R851" s="5"/>
      <c r="S851" s="5"/>
    </row>
    <row r="852" spans="1:19" ht="15.75" customHeight="1" x14ac:dyDescent="0.2">
      <c r="A852" s="3">
        <v>46098</v>
      </c>
      <c r="B852" s="4" t="str">
        <f>IF(A852="","","PC-"&amp;TEXT(A852,"mm/yyyy")&amp;"-"&amp;TEXT(COUNTIFS($A$2:A852,"&gt;="&amp;EOMONTH(A852,-1)+1,$A$2:A852,"&lt;="&amp;EOMONTH(A852,0)),"000"))</f>
        <v>PC-03/2026-127</v>
      </c>
      <c r="C852" s="5" t="s">
        <v>417</v>
      </c>
      <c r="D852" s="5" t="s">
        <v>29</v>
      </c>
      <c r="E852" s="5" t="s">
        <v>36</v>
      </c>
      <c r="F852" s="5"/>
      <c r="G852" s="5" t="s">
        <v>37</v>
      </c>
      <c r="H852" s="5" t="s">
        <v>23</v>
      </c>
      <c r="I852" s="6">
        <v>88000</v>
      </c>
      <c r="J852" s="6">
        <f>IF(D852="Thu",I852,0)</f>
        <v>0</v>
      </c>
      <c r="K852" s="6">
        <f>IF(D852="Chi",I852,0)</f>
        <v>88000</v>
      </c>
      <c r="L852" s="6" t="e">
        <f>L851+J852-K852</f>
        <v>#VALUE!</v>
      </c>
      <c r="M852" s="6">
        <f ca="1">IFERROR(__xludf.DUMMYFUNCTION("SUM(FILTER(J:J, H:H=""Tiền mặt"")) - SUM(FILTER(K:K, H:H=""Tiền mặt""))
"),959000)</f>
        <v>959000</v>
      </c>
      <c r="N852" s="6">
        <f ca="1">IFERROR(__xludf.DUMMYFUNCTION("SUM(FILTER(J:J, H:H=""Chuyển khoản"")) - SUM(FILTER(K:K, H:H=""Chuyển khoản""))
"),4468984)</f>
        <v>4468984</v>
      </c>
      <c r="O852" s="5"/>
      <c r="P852" s="5"/>
      <c r="Q852" s="5"/>
      <c r="R852" s="5"/>
      <c r="S852" s="5"/>
    </row>
    <row r="853" spans="1:19" ht="15.75" customHeight="1" x14ac:dyDescent="0.2">
      <c r="A853" s="3">
        <v>46098</v>
      </c>
      <c r="B853" s="4" t="str">
        <f>IF(A853="","","PC-"&amp;TEXT(A853,"mm/yyyy")&amp;"-"&amp;TEXT(COUNTIFS($A$2:A853,"&gt;="&amp;EOMONTH(A853,-1)+1,$A$2:A853,"&lt;="&amp;EOMONTH(A853,0)),"000"))</f>
        <v>PC-03/2026-128</v>
      </c>
      <c r="C853" s="5" t="s">
        <v>708</v>
      </c>
      <c r="D853" s="5" t="s">
        <v>29</v>
      </c>
      <c r="E853" s="5" t="s">
        <v>429</v>
      </c>
      <c r="F853" s="5"/>
      <c r="G853" s="5" t="s">
        <v>571</v>
      </c>
      <c r="H853" s="5" t="s">
        <v>23</v>
      </c>
      <c r="I853" s="6">
        <v>28000</v>
      </c>
      <c r="J853" s="6">
        <f>IF(D853="Thu",I853,0)</f>
        <v>0</v>
      </c>
      <c r="K853" s="6">
        <f>IF(D853="Chi",I853,0)</f>
        <v>28000</v>
      </c>
      <c r="L853" s="6" t="e">
        <f>L852+J853-K853</f>
        <v>#VALUE!</v>
      </c>
      <c r="M853" s="6">
        <f ca="1">IFERROR(__xludf.DUMMYFUNCTION("SUM(FILTER(J:J, H:H=""Tiền mặt"")) - SUM(FILTER(K:K, H:H=""Tiền mặt""))
"),959000)</f>
        <v>959000</v>
      </c>
      <c r="N853" s="6">
        <f ca="1">IFERROR(__xludf.DUMMYFUNCTION("SUM(FILTER(J:J, H:H=""Chuyển khoản"")) - SUM(FILTER(K:K, H:H=""Chuyển khoản""))
"),4468984)</f>
        <v>4468984</v>
      </c>
      <c r="O853" s="5"/>
      <c r="P853" s="5"/>
      <c r="Q853" s="5"/>
      <c r="R853" s="5"/>
      <c r="S853" s="5"/>
    </row>
    <row r="854" spans="1:19" ht="15.75" customHeight="1" x14ac:dyDescent="0.2">
      <c r="A854" s="3">
        <v>46098</v>
      </c>
      <c r="B854" s="4" t="str">
        <f>IF(A854="","","PC-"&amp;TEXT(A854,"mm/yyyy")&amp;"-"&amp;TEXT(COUNTIFS($A$2:A854,"&gt;="&amp;EOMONTH(A854,-1)+1,$A$2:A854,"&lt;="&amp;EOMONTH(A854,0)),"000"))</f>
        <v>PC-03/2026-129</v>
      </c>
      <c r="C854" s="7" t="s">
        <v>709</v>
      </c>
      <c r="D854" s="5" t="s">
        <v>29</v>
      </c>
      <c r="E854" s="5" t="s">
        <v>88</v>
      </c>
      <c r="F854" s="5"/>
      <c r="G854" s="5" t="s">
        <v>113</v>
      </c>
      <c r="H854" s="5" t="s">
        <v>23</v>
      </c>
      <c r="I854" s="6">
        <v>2000000</v>
      </c>
      <c r="J854" s="6">
        <f>IF(D854="Thu",I854,0)</f>
        <v>0</v>
      </c>
      <c r="K854" s="6">
        <f>IF(D854="Chi",I854,0)</f>
        <v>2000000</v>
      </c>
      <c r="L854" s="6" t="e">
        <f>L853+J854-K854</f>
        <v>#VALUE!</v>
      </c>
      <c r="M854" s="6">
        <f ca="1">IFERROR(__xludf.DUMMYFUNCTION("SUM(FILTER(J:J, H:H=""Tiền mặt"")) - SUM(FILTER(K:K, H:H=""Tiền mặt""))
"),959000)</f>
        <v>959000</v>
      </c>
      <c r="N854" s="6">
        <f ca="1">IFERROR(__xludf.DUMMYFUNCTION("SUM(FILTER(J:J, H:H=""Chuyển khoản"")) - SUM(FILTER(K:K, H:H=""Chuyển khoản""))
"),4468984)</f>
        <v>4468984</v>
      </c>
      <c r="O854" s="5"/>
      <c r="P854" s="5"/>
      <c r="Q854" s="5"/>
      <c r="R854" s="5"/>
      <c r="S854" s="5"/>
    </row>
    <row r="855" spans="1:19" ht="15.75" customHeight="1" x14ac:dyDescent="0.2">
      <c r="A855" s="3">
        <v>46098</v>
      </c>
      <c r="B855" s="4" t="str">
        <f>IF(A855="","","PC-"&amp;TEXT(A855,"mm/yyyy")&amp;"-"&amp;TEXT(COUNTIFS($A$2:A855,"&gt;="&amp;EOMONTH(A855,-1)+1,$A$2:A855,"&lt;="&amp;EOMONTH(A855,0)),"000"))</f>
        <v>PC-03/2026-130</v>
      </c>
      <c r="C855" s="5" t="s">
        <v>710</v>
      </c>
      <c r="D855" s="5" t="s">
        <v>29</v>
      </c>
      <c r="E855" s="5" t="s">
        <v>41</v>
      </c>
      <c r="F855" s="5"/>
      <c r="G855" s="5" t="s">
        <v>82</v>
      </c>
      <c r="H855" s="5" t="s">
        <v>23</v>
      </c>
      <c r="I855" s="6">
        <v>100000</v>
      </c>
      <c r="J855" s="6">
        <f>IF(D855="Thu",I855,0)</f>
        <v>0</v>
      </c>
      <c r="K855" s="6">
        <f>IF(D855="Chi",I855,0)</f>
        <v>100000</v>
      </c>
      <c r="L855" s="6" t="e">
        <f>L854+J855-K855</f>
        <v>#VALUE!</v>
      </c>
      <c r="M855" s="6">
        <f ca="1">IFERROR(__xludf.DUMMYFUNCTION("SUM(FILTER(J:J, H:H=""Tiền mặt"")) - SUM(FILTER(K:K, H:H=""Tiền mặt""))
"),959000)</f>
        <v>959000</v>
      </c>
      <c r="N855" s="6">
        <f ca="1">IFERROR(__xludf.DUMMYFUNCTION("SUM(FILTER(J:J, H:H=""Chuyển khoản"")) - SUM(FILTER(K:K, H:H=""Chuyển khoản""))
"),4468984)</f>
        <v>4468984</v>
      </c>
      <c r="O855" s="5"/>
      <c r="P855" s="5"/>
      <c r="Q855" s="5"/>
      <c r="R855" s="5"/>
      <c r="S855" s="5"/>
    </row>
    <row r="856" spans="1:19" ht="15.75" customHeight="1" x14ac:dyDescent="0.2">
      <c r="A856" s="3">
        <v>46098</v>
      </c>
      <c r="B856" s="4" t="str">
        <f>IF(A856="","","PC-"&amp;TEXT(A856,"mm/yyyy")&amp;"-"&amp;TEXT(COUNTIFS($A$2:A856,"&gt;="&amp;EOMONTH(A856,-1)+1,$A$2:A856,"&lt;="&amp;EOMONTH(A856,0)),"000"))</f>
        <v>PC-03/2026-131</v>
      </c>
      <c r="C856" s="7" t="s">
        <v>711</v>
      </c>
      <c r="D856" s="5" t="s">
        <v>29</v>
      </c>
      <c r="E856" s="5" t="s">
        <v>41</v>
      </c>
      <c r="F856" s="5"/>
      <c r="G856" s="5" t="s">
        <v>82</v>
      </c>
      <c r="H856" s="5" t="s">
        <v>23</v>
      </c>
      <c r="I856" s="6">
        <v>100000</v>
      </c>
      <c r="J856" s="6">
        <f>IF(D856="Thu",I856,0)</f>
        <v>0</v>
      </c>
      <c r="K856" s="6">
        <f>IF(D856="Chi",I856,0)</f>
        <v>100000</v>
      </c>
      <c r="L856" s="6" t="e">
        <f>L855+J856-K856</f>
        <v>#VALUE!</v>
      </c>
      <c r="M856" s="6">
        <f ca="1">IFERROR(__xludf.DUMMYFUNCTION("SUM(FILTER(J:J, H:H=""Tiền mặt"")) - SUM(FILTER(K:K, H:H=""Tiền mặt""))
"),959000)</f>
        <v>959000</v>
      </c>
      <c r="N856" s="6">
        <f ca="1">IFERROR(__xludf.DUMMYFUNCTION("SUM(FILTER(J:J, H:H=""Chuyển khoản"")) - SUM(FILTER(K:K, H:H=""Chuyển khoản""))
"),4468984)</f>
        <v>4468984</v>
      </c>
      <c r="O856" s="5"/>
      <c r="P856" s="5"/>
      <c r="Q856" s="5"/>
      <c r="R856" s="5"/>
      <c r="S856" s="5"/>
    </row>
    <row r="857" spans="1:19" ht="15.75" customHeight="1" x14ac:dyDescent="0.2">
      <c r="A857" s="3">
        <v>46098</v>
      </c>
      <c r="B857" s="4" t="str">
        <f>IF(A857="","","PC-"&amp;TEXT(A857,"mm/yyyy")&amp;"-"&amp;TEXT(COUNTIFS($A$2:A857,"&gt;="&amp;EOMONTH(A857,-1)+1,$A$2:A857,"&lt;="&amp;EOMONTH(A857,0)),"000"))</f>
        <v>PC-03/2026-132</v>
      </c>
      <c r="C857" s="5" t="s">
        <v>712</v>
      </c>
      <c r="D857" s="5" t="s">
        <v>29</v>
      </c>
      <c r="E857" s="5" t="s">
        <v>41</v>
      </c>
      <c r="F857" s="5"/>
      <c r="G857" s="5" t="s">
        <v>42</v>
      </c>
      <c r="H857" s="5" t="s">
        <v>23</v>
      </c>
      <c r="I857" s="6">
        <v>100000</v>
      </c>
      <c r="J857" s="6">
        <f>IF(D857="Thu",I857,0)</f>
        <v>0</v>
      </c>
      <c r="K857" s="6">
        <f>IF(D857="Chi",I857,0)</f>
        <v>100000</v>
      </c>
      <c r="L857" s="6" t="e">
        <f>L856+J857-K857</f>
        <v>#VALUE!</v>
      </c>
      <c r="M857" s="6">
        <f ca="1">IFERROR(__xludf.DUMMYFUNCTION("SUM(FILTER(J:J, H:H=""Tiền mặt"")) - SUM(FILTER(K:K, H:H=""Tiền mặt""))
"),959000)</f>
        <v>959000</v>
      </c>
      <c r="N857" s="6">
        <f ca="1">IFERROR(__xludf.DUMMYFUNCTION("SUM(FILTER(J:J, H:H=""Chuyển khoản"")) - SUM(FILTER(K:K, H:H=""Chuyển khoản""))
"),4468984)</f>
        <v>4468984</v>
      </c>
      <c r="O857" s="5"/>
      <c r="P857" s="5"/>
      <c r="Q857" s="5"/>
      <c r="R857" s="5"/>
      <c r="S857" s="5"/>
    </row>
    <row r="858" spans="1:19" ht="15.75" customHeight="1" x14ac:dyDescent="0.2">
      <c r="A858" s="3">
        <v>46098</v>
      </c>
      <c r="B858" s="4" t="str">
        <f>IF(A858="","","PC-"&amp;TEXT(A858,"mm/yyyy")&amp;"-"&amp;TEXT(COUNTIFS($A$2:A858,"&gt;="&amp;EOMONTH(A858,-1)+1,$A$2:A858,"&lt;="&amp;EOMONTH(A858,0)),"000"))</f>
        <v>PC-03/2026-133</v>
      </c>
      <c r="C858" s="5" t="s">
        <v>713</v>
      </c>
      <c r="D858" s="5" t="s">
        <v>29</v>
      </c>
      <c r="E858" s="5" t="s">
        <v>674</v>
      </c>
      <c r="F858" s="5"/>
      <c r="G858" s="5" t="s">
        <v>571</v>
      </c>
      <c r="H858" s="5" t="s">
        <v>23</v>
      </c>
      <c r="I858" s="6">
        <v>20000</v>
      </c>
      <c r="J858" s="6">
        <f>IF(D858="Thu",I858,0)</f>
        <v>0</v>
      </c>
      <c r="K858" s="6">
        <f>IF(D858="Chi",I858,0)</f>
        <v>20000</v>
      </c>
      <c r="L858" s="6" t="e">
        <f>L857+J858-K858</f>
        <v>#VALUE!</v>
      </c>
      <c r="M858" s="6">
        <f ca="1">IFERROR(__xludf.DUMMYFUNCTION("SUM(FILTER(J:J, H:H=""Tiền mặt"")) - SUM(FILTER(K:K, H:H=""Tiền mặt""))
"),959000)</f>
        <v>959000</v>
      </c>
      <c r="N858" s="6">
        <f ca="1">IFERROR(__xludf.DUMMYFUNCTION("SUM(FILTER(J:J, H:H=""Chuyển khoản"")) - SUM(FILTER(K:K, H:H=""Chuyển khoản""))
"),4468984)</f>
        <v>4468984</v>
      </c>
      <c r="O858" s="5"/>
      <c r="P858" s="5"/>
      <c r="Q858" s="5"/>
      <c r="R858" s="5"/>
      <c r="S858" s="5"/>
    </row>
    <row r="859" spans="1:19" ht="15.75" customHeight="1" x14ac:dyDescent="0.2">
      <c r="A859" s="3">
        <v>46098</v>
      </c>
      <c r="B859" s="4" t="str">
        <f>IF(A859="","","PC-"&amp;TEXT(A859,"mm/yyyy")&amp;"-"&amp;TEXT(COUNTIFS($A$2:A859,"&gt;="&amp;EOMONTH(A859,-1)+1,$A$2:A859,"&lt;="&amp;EOMONTH(A859,0)),"000"))</f>
        <v>PC-03/2026-134</v>
      </c>
      <c r="C859" s="5" t="s">
        <v>714</v>
      </c>
      <c r="D859" s="5" t="s">
        <v>29</v>
      </c>
      <c r="E859" s="5" t="s">
        <v>41</v>
      </c>
      <c r="F859" s="5"/>
      <c r="G859" s="5" t="s">
        <v>273</v>
      </c>
      <c r="H859" s="5" t="s">
        <v>23</v>
      </c>
      <c r="I859" s="6">
        <v>200000</v>
      </c>
      <c r="J859" s="6">
        <f>IF(D859="Thu",I859,0)</f>
        <v>0</v>
      </c>
      <c r="K859" s="6">
        <f>IF(D859="Chi",I859,0)</f>
        <v>200000</v>
      </c>
      <c r="L859" s="6" t="e">
        <f>L858+J859-K859</f>
        <v>#VALUE!</v>
      </c>
      <c r="M859" s="6">
        <f ca="1">IFERROR(__xludf.DUMMYFUNCTION("SUM(FILTER(J:J, H:H=""Tiền mặt"")) - SUM(FILTER(K:K, H:H=""Tiền mặt""))
"),959000)</f>
        <v>959000</v>
      </c>
      <c r="N859" s="6">
        <f ca="1">IFERROR(__xludf.DUMMYFUNCTION("SUM(FILTER(J:J, H:H=""Chuyển khoản"")) - SUM(FILTER(K:K, H:H=""Chuyển khoản""))
"),4468984)</f>
        <v>4468984</v>
      </c>
      <c r="O859" s="5"/>
      <c r="P859" s="5"/>
      <c r="Q859" s="5"/>
      <c r="R859" s="5"/>
      <c r="S859" s="5"/>
    </row>
    <row r="860" spans="1:19" ht="15.75" customHeight="1" x14ac:dyDescent="0.2">
      <c r="A860" s="3">
        <v>46098</v>
      </c>
      <c r="B860" s="4" t="str">
        <f>IF(A860="","","PC-"&amp;TEXT(A860,"mm/yyyy")&amp;"-"&amp;TEXT(COUNTIFS($A$2:A860,"&gt;="&amp;EOMONTH(A860,-1)+1,$A$2:A860,"&lt;="&amp;EOMONTH(A860,0)),"000"))</f>
        <v>PC-03/2026-135</v>
      </c>
      <c r="C860" s="5" t="s">
        <v>715</v>
      </c>
      <c r="D860" s="5" t="s">
        <v>29</v>
      </c>
      <c r="E860" s="5" t="s">
        <v>78</v>
      </c>
      <c r="F860" s="5"/>
      <c r="G860" s="5" t="s">
        <v>72</v>
      </c>
      <c r="H860" s="5" t="s">
        <v>27</v>
      </c>
      <c r="I860" s="6">
        <v>299000</v>
      </c>
      <c r="J860" s="6">
        <f>IF(D860="Thu",I860,0)</f>
        <v>0</v>
      </c>
      <c r="K860" s="6">
        <f>IF(D860="Chi",I860,0)</f>
        <v>299000</v>
      </c>
      <c r="L860" s="6" t="e">
        <f>L859+J860-K860</f>
        <v>#VALUE!</v>
      </c>
      <c r="M860" s="6">
        <f ca="1">IFERROR(__xludf.DUMMYFUNCTION("SUM(FILTER(J:J, H:H=""Tiền mặt"")) - SUM(FILTER(K:K, H:H=""Tiền mặt""))
"),959000)</f>
        <v>959000</v>
      </c>
      <c r="N860" s="6">
        <f ca="1">IFERROR(__xludf.DUMMYFUNCTION("SUM(FILTER(J:J, H:H=""Chuyển khoản"")) - SUM(FILTER(K:K, H:H=""Chuyển khoản""))
"),4468984)</f>
        <v>4468984</v>
      </c>
      <c r="O860" s="5"/>
      <c r="P860" s="5"/>
      <c r="Q860" s="5"/>
      <c r="R860" s="5"/>
      <c r="S860" s="5"/>
    </row>
    <row r="861" spans="1:19" ht="15.75" customHeight="1" x14ac:dyDescent="0.2">
      <c r="A861" s="3">
        <v>46098</v>
      </c>
      <c r="B861" s="4" t="str">
        <f>IF(A861="","","PC-"&amp;TEXT(A861,"mm/yyyy")&amp;"-"&amp;TEXT(COUNTIFS($A$2:A861,"&gt;="&amp;EOMONTH(A861,-1)+1,$A$2:A861,"&lt;="&amp;EOMONTH(A861,0)),"000"))</f>
        <v>PC-03/2026-136</v>
      </c>
      <c r="C861" s="7" t="s">
        <v>716</v>
      </c>
      <c r="D861" s="5" t="s">
        <v>29</v>
      </c>
      <c r="E861" s="5" t="s">
        <v>78</v>
      </c>
      <c r="F861" s="5"/>
      <c r="G861" s="5" t="s">
        <v>72</v>
      </c>
      <c r="H861" s="5" t="s">
        <v>27</v>
      </c>
      <c r="I861" s="6">
        <v>694000</v>
      </c>
      <c r="J861" s="6">
        <f>IF(D861="Thu",I861,0)</f>
        <v>0</v>
      </c>
      <c r="K861" s="6">
        <f>IF(D861="Chi",I861,0)</f>
        <v>694000</v>
      </c>
      <c r="L861" s="6" t="e">
        <f>L860+J861-K861</f>
        <v>#VALUE!</v>
      </c>
      <c r="M861" s="6">
        <f ca="1">IFERROR(__xludf.DUMMYFUNCTION("SUM(FILTER(J:J, H:H=""Tiền mặt"")) - SUM(FILTER(K:K, H:H=""Tiền mặt""))
"),959000)</f>
        <v>959000</v>
      </c>
      <c r="N861" s="6">
        <f ca="1">IFERROR(__xludf.DUMMYFUNCTION("SUM(FILTER(J:J, H:H=""Chuyển khoản"")) - SUM(FILTER(K:K, H:H=""Chuyển khoản""))
"),4468984)</f>
        <v>4468984</v>
      </c>
      <c r="O861" s="5"/>
      <c r="P861" s="5"/>
      <c r="Q861" s="5"/>
      <c r="R861" s="5"/>
      <c r="S861" s="5"/>
    </row>
    <row r="862" spans="1:19" ht="15.75" customHeight="1" x14ac:dyDescent="0.2">
      <c r="A862" s="3">
        <v>46098</v>
      </c>
      <c r="B862" s="4" t="str">
        <f>IF(A862="","","PC-"&amp;TEXT(A862,"mm/yyyy")&amp;"-"&amp;TEXT(COUNTIFS($A$2:A862,"&gt;="&amp;EOMONTH(A862,-1)+1,$A$2:A862,"&lt;="&amp;EOMONTH(A862,0)),"000"))</f>
        <v>PC-03/2026-137</v>
      </c>
      <c r="C862" s="5" t="s">
        <v>717</v>
      </c>
      <c r="D862" s="5" t="s">
        <v>29</v>
      </c>
      <c r="E862" s="5" t="s">
        <v>44</v>
      </c>
      <c r="F862" s="5"/>
      <c r="G862" s="5" t="s">
        <v>718</v>
      </c>
      <c r="H862" s="5" t="s">
        <v>23</v>
      </c>
      <c r="I862" s="6">
        <v>1500000</v>
      </c>
      <c r="J862" s="6">
        <f>IF(D862="Thu",I862,0)</f>
        <v>0</v>
      </c>
      <c r="K862" s="6">
        <f>IF(D862="Chi",I862,0)</f>
        <v>1500000</v>
      </c>
      <c r="L862" s="6" t="e">
        <f>L861+J862-K862</f>
        <v>#VALUE!</v>
      </c>
      <c r="M862" s="6">
        <f ca="1">IFERROR(__xludf.DUMMYFUNCTION("SUM(FILTER(J:J, H:H=""Tiền mặt"")) - SUM(FILTER(K:K, H:H=""Tiền mặt""))
"),959000)</f>
        <v>959000</v>
      </c>
      <c r="N862" s="6">
        <f ca="1">IFERROR(__xludf.DUMMYFUNCTION("SUM(FILTER(J:J, H:H=""Chuyển khoản"")) - SUM(FILTER(K:K, H:H=""Chuyển khoản""))
"),4468984)</f>
        <v>4468984</v>
      </c>
      <c r="O862" s="5"/>
      <c r="P862" s="5"/>
      <c r="Q862" s="5"/>
      <c r="R862" s="5"/>
      <c r="S862" s="5"/>
    </row>
    <row r="863" spans="1:19" ht="15.75" customHeight="1" x14ac:dyDescent="0.2">
      <c r="A863" s="3">
        <v>46098</v>
      </c>
      <c r="B863" s="4" t="str">
        <f>IF(A863="","","PC-"&amp;TEXT(A863,"mm/yyyy")&amp;"-"&amp;TEXT(COUNTIFS($A$2:A863,"&gt;="&amp;EOMONTH(A863,-1)+1,$A$2:A863,"&lt;="&amp;EOMONTH(A863,0)),"000"))</f>
        <v>PC-03/2026-138</v>
      </c>
      <c r="C863" s="5" t="s">
        <v>719</v>
      </c>
      <c r="D863" s="5" t="s">
        <v>29</v>
      </c>
      <c r="E863" s="5" t="s">
        <v>44</v>
      </c>
      <c r="F863" s="5"/>
      <c r="G863" s="5" t="s">
        <v>132</v>
      </c>
      <c r="H863" s="5" t="s">
        <v>23</v>
      </c>
      <c r="I863" s="6">
        <v>1500000</v>
      </c>
      <c r="J863" s="6">
        <f>IF(D863="Thu",I863,0)</f>
        <v>0</v>
      </c>
      <c r="K863" s="6">
        <f>IF(D863="Chi",I863,0)</f>
        <v>1500000</v>
      </c>
      <c r="L863" s="6" t="e">
        <f>L862+J863-K863</f>
        <v>#VALUE!</v>
      </c>
      <c r="M863" s="6">
        <f ca="1">IFERROR(__xludf.DUMMYFUNCTION("SUM(FILTER(J:J, H:H=""Tiền mặt"")) - SUM(FILTER(K:K, H:H=""Tiền mặt""))
"),959000)</f>
        <v>959000</v>
      </c>
      <c r="N863" s="6">
        <f ca="1">IFERROR(__xludf.DUMMYFUNCTION("SUM(FILTER(J:J, H:H=""Chuyển khoản"")) - SUM(FILTER(K:K, H:H=""Chuyển khoản""))
"),4468984)</f>
        <v>4468984</v>
      </c>
      <c r="O863" s="5"/>
      <c r="P863" s="5"/>
      <c r="Q863" s="5"/>
      <c r="R863" s="5"/>
      <c r="S863" s="5"/>
    </row>
    <row r="864" spans="1:19" ht="15.75" customHeight="1" x14ac:dyDescent="0.2">
      <c r="A864" s="3">
        <v>46098</v>
      </c>
      <c r="B864" s="4" t="str">
        <f>IF(A864="","","PC-"&amp;TEXT(A864,"mm/yyyy")&amp;"-"&amp;TEXT(COUNTIFS($A$2:A864,"&gt;="&amp;EOMONTH(A864,-1)+1,$A$2:A864,"&lt;="&amp;EOMONTH(A864,0)),"000"))</f>
        <v>PC-03/2026-139</v>
      </c>
      <c r="C864" s="5" t="s">
        <v>720</v>
      </c>
      <c r="D864" s="5" t="s">
        <v>20</v>
      </c>
      <c r="E864" s="5" t="s">
        <v>21</v>
      </c>
      <c r="F864" s="5"/>
      <c r="G864" s="5" t="s">
        <v>22</v>
      </c>
      <c r="H864" s="5" t="s">
        <v>23</v>
      </c>
      <c r="I864" s="6">
        <v>3000000</v>
      </c>
      <c r="J864" s="6">
        <f>IF(D864="Thu",I864,0)</f>
        <v>3000000</v>
      </c>
      <c r="K864" s="6">
        <f>IF(D864="Chi",I864,0)</f>
        <v>0</v>
      </c>
      <c r="L864" s="6" t="e">
        <f>L863+J864-K864</f>
        <v>#VALUE!</v>
      </c>
      <c r="M864" s="6">
        <f ca="1">IFERROR(__xludf.DUMMYFUNCTION("SUM(FILTER(J:J, H:H=""Tiền mặt"")) - SUM(FILTER(K:K, H:H=""Tiền mặt""))
"),959000)</f>
        <v>959000</v>
      </c>
      <c r="N864" s="6">
        <f ca="1">IFERROR(__xludf.DUMMYFUNCTION("SUM(FILTER(J:J, H:H=""Chuyển khoản"")) - SUM(FILTER(K:K, H:H=""Chuyển khoản""))
"),4468984)</f>
        <v>4468984</v>
      </c>
      <c r="O864" s="5"/>
      <c r="P864" s="5"/>
      <c r="Q864" s="5"/>
      <c r="R864" s="5"/>
      <c r="S864" s="5"/>
    </row>
    <row r="865" spans="1:19" ht="15.75" customHeight="1" x14ac:dyDescent="0.2">
      <c r="A865" s="3">
        <v>46097</v>
      </c>
      <c r="B865" s="4" t="str">
        <f>IF(A865="","","PC-"&amp;TEXT(A865,"mm/yyyy")&amp;"-"&amp;TEXT(COUNTIFS($A$2:A865,"&gt;="&amp;EOMONTH(A865,-1)+1,$A$2:A865,"&lt;="&amp;EOMONTH(A865,0)),"000"))</f>
        <v>PC-03/2026-140</v>
      </c>
      <c r="C865" s="5" t="s">
        <v>606</v>
      </c>
      <c r="D865" s="5" t="s">
        <v>29</v>
      </c>
      <c r="E865" s="5" t="s">
        <v>47</v>
      </c>
      <c r="F865" s="5"/>
      <c r="G865" s="5" t="s">
        <v>48</v>
      </c>
      <c r="H865" s="5" t="s">
        <v>23</v>
      </c>
      <c r="I865" s="6">
        <v>50000</v>
      </c>
      <c r="J865" s="6">
        <f>IF(D865="Thu",I865,0)</f>
        <v>0</v>
      </c>
      <c r="K865" s="6">
        <f>IF(D865="Chi",I865,0)</f>
        <v>50000</v>
      </c>
      <c r="L865" s="6" t="e">
        <f>L864+J865-K865</f>
        <v>#VALUE!</v>
      </c>
      <c r="M865" s="6">
        <f ca="1">IFERROR(__xludf.DUMMYFUNCTION("SUM(FILTER(J:J, H:H=""Tiền mặt"")) - SUM(FILTER(K:K, H:H=""Tiền mặt""))
"),959000)</f>
        <v>959000</v>
      </c>
      <c r="N865" s="6">
        <f ca="1">IFERROR(__xludf.DUMMYFUNCTION("SUM(FILTER(J:J, H:H=""Chuyển khoản"")) - SUM(FILTER(K:K, H:H=""Chuyển khoản""))
"),4468984)</f>
        <v>4468984</v>
      </c>
      <c r="O865" s="5"/>
      <c r="P865" s="5"/>
      <c r="Q865" s="5"/>
      <c r="R865" s="5"/>
      <c r="S865" s="5"/>
    </row>
    <row r="866" spans="1:19" ht="15.75" customHeight="1" x14ac:dyDescent="0.2">
      <c r="A866" s="3">
        <v>46097</v>
      </c>
      <c r="B866" s="4" t="str">
        <f>IF(A866="","","PC-"&amp;TEXT(A866,"mm/yyyy")&amp;"-"&amp;TEXT(COUNTIFS($A$2:A866,"&gt;="&amp;EOMONTH(A866,-1)+1,$A$2:A866,"&lt;="&amp;EOMONTH(A866,0)),"000"))</f>
        <v>PC-03/2026-141</v>
      </c>
      <c r="C866" s="5" t="s">
        <v>695</v>
      </c>
      <c r="D866" s="5" t="s">
        <v>29</v>
      </c>
      <c r="E866" s="5" t="s">
        <v>61</v>
      </c>
      <c r="F866" s="5"/>
      <c r="G866" s="5" t="s">
        <v>52</v>
      </c>
      <c r="H866" s="5" t="s">
        <v>27</v>
      </c>
      <c r="I866" s="6">
        <v>200000</v>
      </c>
      <c r="J866" s="6">
        <f>IF(D866="Thu",I866,0)</f>
        <v>0</v>
      </c>
      <c r="K866" s="6">
        <f>IF(D866="Chi",I866,0)</f>
        <v>200000</v>
      </c>
      <c r="L866" s="6" t="e">
        <f>L865+J866-K866</f>
        <v>#VALUE!</v>
      </c>
      <c r="M866" s="6">
        <f ca="1">IFERROR(__xludf.DUMMYFUNCTION("SUM(FILTER(J:J, H:H=""Tiền mặt"")) - SUM(FILTER(K:K, H:H=""Tiền mặt""))
"),959000)</f>
        <v>959000</v>
      </c>
      <c r="N866" s="6">
        <f ca="1">IFERROR(__xludf.DUMMYFUNCTION("SUM(FILTER(J:J, H:H=""Chuyển khoản"")) - SUM(FILTER(K:K, H:H=""Chuyển khoản""))
"),4468984)</f>
        <v>4468984</v>
      </c>
      <c r="O866" s="5"/>
      <c r="P866" s="5"/>
      <c r="Q866" s="5"/>
      <c r="R866" s="5"/>
      <c r="S866" s="5"/>
    </row>
    <row r="867" spans="1:19" ht="15.75" customHeight="1" x14ac:dyDescent="0.2">
      <c r="A867" s="3">
        <v>46097</v>
      </c>
      <c r="B867" s="4" t="str">
        <f>IF(A867="","","PC-"&amp;TEXT(A867,"mm/yyyy")&amp;"-"&amp;TEXT(COUNTIFS($A$2:A867,"&gt;="&amp;EOMONTH(A867,-1)+1,$A$2:A867,"&lt;="&amp;EOMONTH(A867,0)),"000"))</f>
        <v>PC-03/2026-142</v>
      </c>
      <c r="C867" s="5" t="s">
        <v>696</v>
      </c>
      <c r="D867" s="5" t="s">
        <v>29</v>
      </c>
      <c r="E867" s="5" t="s">
        <v>41</v>
      </c>
      <c r="F867" s="5"/>
      <c r="G867" s="5" t="s">
        <v>42</v>
      </c>
      <c r="H867" s="5" t="s">
        <v>23</v>
      </c>
      <c r="I867" s="6">
        <v>100000</v>
      </c>
      <c r="J867" s="6">
        <f>IF(D867="Thu",I867,0)</f>
        <v>0</v>
      </c>
      <c r="K867" s="6">
        <f>IF(D867="Chi",I867,0)</f>
        <v>100000</v>
      </c>
      <c r="L867" s="6" t="e">
        <f>L866+J867-K867</f>
        <v>#VALUE!</v>
      </c>
      <c r="M867" s="6">
        <f ca="1">IFERROR(__xludf.DUMMYFUNCTION("SUM(FILTER(J:J, H:H=""Tiền mặt"")) - SUM(FILTER(K:K, H:H=""Tiền mặt""))
"),959000)</f>
        <v>959000</v>
      </c>
      <c r="N867" s="6">
        <f ca="1">IFERROR(__xludf.DUMMYFUNCTION("SUM(FILTER(J:J, H:H=""Chuyển khoản"")) - SUM(FILTER(K:K, H:H=""Chuyển khoản""))
"),4468984)</f>
        <v>4468984</v>
      </c>
      <c r="O867" s="5"/>
      <c r="P867" s="5"/>
      <c r="Q867" s="5"/>
      <c r="R867" s="5"/>
      <c r="S867" s="5"/>
    </row>
    <row r="868" spans="1:19" ht="15.75" customHeight="1" x14ac:dyDescent="0.2">
      <c r="A868" s="3">
        <v>46097</v>
      </c>
      <c r="B868" s="4" t="str">
        <f>IF(A868="","","PC-"&amp;TEXT(A868,"mm/yyyy")&amp;"-"&amp;TEXT(COUNTIFS($A$2:A868,"&gt;="&amp;EOMONTH(A868,-1)+1,$A$2:A868,"&lt;="&amp;EOMONTH(A868,0)),"000"))</f>
        <v>PC-03/2026-143</v>
      </c>
      <c r="C868" s="5" t="s">
        <v>697</v>
      </c>
      <c r="D868" s="5" t="s">
        <v>29</v>
      </c>
      <c r="E868" s="5" t="s">
        <v>51</v>
      </c>
      <c r="F868" s="5"/>
      <c r="G868" s="5" t="s">
        <v>52</v>
      </c>
      <c r="H868" s="5" t="s">
        <v>27</v>
      </c>
      <c r="I868" s="6">
        <v>130873</v>
      </c>
      <c r="J868" s="6">
        <f>IF(D868="Thu",I868,0)</f>
        <v>0</v>
      </c>
      <c r="K868" s="6">
        <f>IF(D868="Chi",I868,0)</f>
        <v>130873</v>
      </c>
      <c r="L868" s="6" t="e">
        <f>L867+J868-K868</f>
        <v>#VALUE!</v>
      </c>
      <c r="M868" s="6">
        <f ca="1">IFERROR(__xludf.DUMMYFUNCTION("SUM(FILTER(J:J, H:H=""Tiền mặt"")) - SUM(FILTER(K:K, H:H=""Tiền mặt""))
"),959000)</f>
        <v>959000</v>
      </c>
      <c r="N868" s="6">
        <f ca="1">IFERROR(__xludf.DUMMYFUNCTION("SUM(FILTER(J:J, H:H=""Chuyển khoản"")) - SUM(FILTER(K:K, H:H=""Chuyển khoản""))
"),4468984)</f>
        <v>4468984</v>
      </c>
      <c r="O868" s="5"/>
      <c r="P868" s="5"/>
      <c r="Q868" s="5"/>
      <c r="R868" s="5"/>
      <c r="S868" s="5"/>
    </row>
    <row r="869" spans="1:19" ht="15.75" customHeight="1" x14ac:dyDescent="0.2">
      <c r="A869" s="3">
        <v>46097</v>
      </c>
      <c r="B869" s="4" t="str">
        <f>IF(A869="","","PC-"&amp;TEXT(A869,"mm/yyyy")&amp;"-"&amp;TEXT(COUNTIFS($A$2:A869,"&gt;="&amp;EOMONTH(A869,-1)+1,$A$2:A869,"&lt;="&amp;EOMONTH(A869,0)),"000"))</f>
        <v>PC-03/2026-144</v>
      </c>
      <c r="C869" s="5" t="s">
        <v>552</v>
      </c>
      <c r="D869" s="5" t="s">
        <v>29</v>
      </c>
      <c r="E869" s="5" t="s">
        <v>41</v>
      </c>
      <c r="F869" s="5"/>
      <c r="G869" s="5" t="s">
        <v>82</v>
      </c>
      <c r="H869" s="5" t="s">
        <v>23</v>
      </c>
      <c r="I869" s="6">
        <v>200000</v>
      </c>
      <c r="J869" s="6">
        <f>IF(D869="Thu",I869,0)</f>
        <v>0</v>
      </c>
      <c r="K869" s="6">
        <f>IF(D869="Chi",I869,0)</f>
        <v>200000</v>
      </c>
      <c r="L869" s="6" t="e">
        <f>L868+J869-K869</f>
        <v>#VALUE!</v>
      </c>
      <c r="M869" s="6">
        <f ca="1">IFERROR(__xludf.DUMMYFUNCTION("SUM(FILTER(J:J, H:H=""Tiền mặt"")) - SUM(FILTER(K:K, H:H=""Tiền mặt""))
"),959000)</f>
        <v>959000</v>
      </c>
      <c r="N869" s="6">
        <f ca="1">IFERROR(__xludf.DUMMYFUNCTION("SUM(FILTER(J:J, H:H=""Chuyển khoản"")) - SUM(FILTER(K:K, H:H=""Chuyển khoản""))
"),4468984)</f>
        <v>4468984</v>
      </c>
      <c r="O869" s="5"/>
      <c r="P869" s="5"/>
      <c r="Q869" s="5"/>
      <c r="R869" s="5"/>
      <c r="S869" s="5"/>
    </row>
    <row r="870" spans="1:19" ht="15.75" customHeight="1" x14ac:dyDescent="0.2">
      <c r="A870" s="3">
        <v>46097</v>
      </c>
      <c r="B870" s="4" t="str">
        <f>IF(A870="","","PC-"&amp;TEXT(A870,"mm/yyyy")&amp;"-"&amp;TEXT(COUNTIFS($A$2:A870,"&gt;="&amp;EOMONTH(A870,-1)+1,$A$2:A870,"&lt;="&amp;EOMONTH(A870,0)),"000"))</f>
        <v>PC-03/2026-145</v>
      </c>
      <c r="C870" s="5" t="s">
        <v>698</v>
      </c>
      <c r="D870" s="5" t="s">
        <v>29</v>
      </c>
      <c r="E870" s="5" t="s">
        <v>51</v>
      </c>
      <c r="F870" s="5"/>
      <c r="G870" s="5" t="s">
        <v>52</v>
      </c>
      <c r="H870" s="5" t="s">
        <v>27</v>
      </c>
      <c r="I870" s="6">
        <v>86900</v>
      </c>
      <c r="J870" s="6">
        <f>IF(D870="Thu",I870,0)</f>
        <v>0</v>
      </c>
      <c r="K870" s="6">
        <f>IF(D870="Chi",I870,0)</f>
        <v>86900</v>
      </c>
      <c r="L870" s="6" t="e">
        <f>L869+J870-K870</f>
        <v>#VALUE!</v>
      </c>
      <c r="M870" s="6">
        <f ca="1">IFERROR(__xludf.DUMMYFUNCTION("SUM(FILTER(J:J, H:H=""Tiền mặt"")) - SUM(FILTER(K:K, H:H=""Tiền mặt""))
"),959000)</f>
        <v>959000</v>
      </c>
      <c r="N870" s="6">
        <f ca="1">IFERROR(__xludf.DUMMYFUNCTION("SUM(FILTER(J:J, H:H=""Chuyển khoản"")) - SUM(FILTER(K:K, H:H=""Chuyển khoản""))
"),4468984)</f>
        <v>4468984</v>
      </c>
      <c r="O870" s="5"/>
      <c r="P870" s="5"/>
      <c r="Q870" s="5"/>
      <c r="R870" s="5"/>
      <c r="S870" s="5"/>
    </row>
    <row r="871" spans="1:19" ht="15.75" customHeight="1" x14ac:dyDescent="0.2">
      <c r="A871" s="3">
        <v>46097</v>
      </c>
      <c r="B871" s="4" t="str">
        <f>IF(A871="","","PC-"&amp;TEXT(A871,"mm/yyyy")&amp;"-"&amp;TEXT(COUNTIFS($A$2:A871,"&gt;="&amp;EOMONTH(A871,-1)+1,$A$2:A871,"&lt;="&amp;EOMONTH(A871,0)),"000"))</f>
        <v>PC-03/2026-146</v>
      </c>
      <c r="C871" s="5" t="s">
        <v>699</v>
      </c>
      <c r="D871" s="5" t="s">
        <v>29</v>
      </c>
      <c r="E871" s="5" t="s">
        <v>41</v>
      </c>
      <c r="F871" s="5"/>
      <c r="G871" s="5" t="s">
        <v>42</v>
      </c>
      <c r="H871" s="5" t="s">
        <v>23</v>
      </c>
      <c r="I871" s="6">
        <v>100000</v>
      </c>
      <c r="J871" s="6">
        <f>IF(D871="Thu",I871,0)</f>
        <v>0</v>
      </c>
      <c r="K871" s="6">
        <f>IF(D871="Chi",I871,0)</f>
        <v>100000</v>
      </c>
      <c r="L871" s="6" t="e">
        <f>L870+J871-K871</f>
        <v>#VALUE!</v>
      </c>
      <c r="M871" s="6">
        <f ca="1">IFERROR(__xludf.DUMMYFUNCTION("SUM(FILTER(J:J, H:H=""Tiền mặt"")) - SUM(FILTER(K:K, H:H=""Tiền mặt""))
"),959000)</f>
        <v>959000</v>
      </c>
      <c r="N871" s="6">
        <f ca="1">IFERROR(__xludf.DUMMYFUNCTION("SUM(FILTER(J:J, H:H=""Chuyển khoản"")) - SUM(FILTER(K:K, H:H=""Chuyển khoản""))
"),4468984)</f>
        <v>4468984</v>
      </c>
      <c r="O871" s="5"/>
      <c r="P871" s="5"/>
      <c r="Q871" s="5"/>
      <c r="R871" s="5"/>
      <c r="S871" s="5"/>
    </row>
    <row r="872" spans="1:19" ht="15.75" customHeight="1" x14ac:dyDescent="0.2">
      <c r="A872" s="3">
        <v>46097</v>
      </c>
      <c r="B872" s="4" t="str">
        <f>IF(A872="","","PC-"&amp;TEXT(A872,"mm/yyyy")&amp;"-"&amp;TEXT(COUNTIFS($A$2:A872,"&gt;="&amp;EOMONTH(A872,-1)+1,$A$2:A872,"&lt;="&amp;EOMONTH(A872,0)),"000"))</f>
        <v>PC-03/2026-147</v>
      </c>
      <c r="C872" s="5" t="s">
        <v>700</v>
      </c>
      <c r="D872" s="5" t="s">
        <v>29</v>
      </c>
      <c r="E872" s="5" t="s">
        <v>41</v>
      </c>
      <c r="F872" s="5"/>
      <c r="G872" s="5" t="s">
        <v>82</v>
      </c>
      <c r="H872" s="5" t="s">
        <v>23</v>
      </c>
      <c r="I872" s="6">
        <v>100000</v>
      </c>
      <c r="J872" s="6">
        <f>IF(D872="Thu",I872,0)</f>
        <v>0</v>
      </c>
      <c r="K872" s="6">
        <f>IF(D872="Chi",I872,0)</f>
        <v>100000</v>
      </c>
      <c r="L872" s="6" t="e">
        <f>L871+J872-K872</f>
        <v>#VALUE!</v>
      </c>
      <c r="M872" s="6">
        <f ca="1">IFERROR(__xludf.DUMMYFUNCTION("SUM(FILTER(J:J, H:H=""Tiền mặt"")) - SUM(FILTER(K:K, H:H=""Tiền mặt""))
"),959000)</f>
        <v>959000</v>
      </c>
      <c r="N872" s="6">
        <f ca="1">IFERROR(__xludf.DUMMYFUNCTION("SUM(FILTER(J:J, H:H=""Chuyển khoản"")) - SUM(FILTER(K:K, H:H=""Chuyển khoản""))
"),4468984)</f>
        <v>4468984</v>
      </c>
      <c r="O872" s="5"/>
      <c r="P872" s="5"/>
      <c r="Q872" s="5"/>
      <c r="R872" s="5"/>
      <c r="S872" s="5"/>
    </row>
    <row r="873" spans="1:19" ht="15.75" customHeight="1" x14ac:dyDescent="0.2">
      <c r="A873" s="3">
        <v>46097</v>
      </c>
      <c r="B873" s="4" t="str">
        <f>IF(A873="","","PC-"&amp;TEXT(A873,"mm/yyyy")&amp;"-"&amp;TEXT(COUNTIFS($A$2:A873,"&gt;="&amp;EOMONTH(A873,-1)+1,$A$2:A873,"&lt;="&amp;EOMONTH(A873,0)),"000"))</f>
        <v>PC-03/2026-148</v>
      </c>
      <c r="C873" s="5" t="s">
        <v>701</v>
      </c>
      <c r="D873" s="5" t="s">
        <v>29</v>
      </c>
      <c r="E873" s="5" t="s">
        <v>71</v>
      </c>
      <c r="F873" s="5"/>
      <c r="G873" s="5" t="s">
        <v>702</v>
      </c>
      <c r="H873" s="5" t="s">
        <v>27</v>
      </c>
      <c r="I873" s="6">
        <v>41000</v>
      </c>
      <c r="J873" s="6">
        <f>IF(D873="Thu",I873,0)</f>
        <v>0</v>
      </c>
      <c r="K873" s="6">
        <f>IF(D873="Chi",I873,0)</f>
        <v>41000</v>
      </c>
      <c r="L873" s="6" t="e">
        <f>L872+J873-K873</f>
        <v>#VALUE!</v>
      </c>
      <c r="M873" s="6">
        <f ca="1">IFERROR(__xludf.DUMMYFUNCTION("SUM(FILTER(J:J, H:H=""Tiền mặt"")) - SUM(FILTER(K:K, H:H=""Tiền mặt""))
"),959000)</f>
        <v>959000</v>
      </c>
      <c r="N873" s="6">
        <f ca="1">IFERROR(__xludf.DUMMYFUNCTION("SUM(FILTER(J:J, H:H=""Chuyển khoản"")) - SUM(FILTER(K:K, H:H=""Chuyển khoản""))
"),4468984)</f>
        <v>4468984</v>
      </c>
      <c r="O873" s="5"/>
      <c r="P873" s="5"/>
      <c r="Q873" s="5"/>
      <c r="R873" s="5"/>
      <c r="S873" s="5"/>
    </row>
    <row r="874" spans="1:19" ht="15.75" customHeight="1" x14ac:dyDescent="0.2">
      <c r="A874" s="3">
        <v>46097</v>
      </c>
      <c r="B874" s="4" t="str">
        <f>IF(A874="","","PC-"&amp;TEXT(A874,"mm/yyyy")&amp;"-"&amp;TEXT(COUNTIFS($A$2:A874,"&gt;="&amp;EOMONTH(A874,-1)+1,$A$2:A874,"&lt;="&amp;EOMONTH(A874,0)),"000"))</f>
        <v>PC-03/2026-149</v>
      </c>
      <c r="C874" s="7" t="s">
        <v>703</v>
      </c>
      <c r="D874" s="5" t="s">
        <v>29</v>
      </c>
      <c r="E874" s="5" t="s">
        <v>88</v>
      </c>
      <c r="F874" s="5"/>
      <c r="G874" s="5" t="s">
        <v>482</v>
      </c>
      <c r="H874" s="5" t="s">
        <v>23</v>
      </c>
      <c r="I874" s="6">
        <v>300000</v>
      </c>
      <c r="J874" s="6">
        <f>IF(D874="Thu",I874,0)</f>
        <v>0</v>
      </c>
      <c r="K874" s="6">
        <f>IF(D874="Chi",I874,0)</f>
        <v>300000</v>
      </c>
      <c r="L874" s="6" t="e">
        <f>L873+J874-K874</f>
        <v>#VALUE!</v>
      </c>
      <c r="M874" s="6">
        <f ca="1">IFERROR(__xludf.DUMMYFUNCTION("SUM(FILTER(J:J, H:H=""Tiền mặt"")) - SUM(FILTER(K:K, H:H=""Tiền mặt""))
"),959000)</f>
        <v>959000</v>
      </c>
      <c r="N874" s="6">
        <f ca="1">IFERROR(__xludf.DUMMYFUNCTION("SUM(FILTER(J:J, H:H=""Chuyển khoản"")) - SUM(FILTER(K:K, H:H=""Chuyển khoản""))
"),4468984)</f>
        <v>4468984</v>
      </c>
      <c r="O874" s="5"/>
      <c r="P874" s="5"/>
      <c r="Q874" s="5"/>
      <c r="R874" s="5"/>
      <c r="S874" s="5"/>
    </row>
    <row r="875" spans="1:19" ht="15.75" customHeight="1" x14ac:dyDescent="0.2">
      <c r="A875" s="3">
        <v>46097</v>
      </c>
      <c r="B875" s="4" t="str">
        <f>IF(A875="","","PC-"&amp;TEXT(A875,"mm/yyyy")&amp;"-"&amp;TEXT(COUNTIFS($A$2:A875,"&gt;="&amp;EOMONTH(A875,-1)+1,$A$2:A875,"&lt;="&amp;EOMONTH(A875,0)),"000"))</f>
        <v>PC-03/2026-150</v>
      </c>
      <c r="C875" s="7" t="s">
        <v>704</v>
      </c>
      <c r="D875" s="5" t="s">
        <v>29</v>
      </c>
      <c r="E875" s="5" t="s">
        <v>88</v>
      </c>
      <c r="F875" s="5"/>
      <c r="G875" s="5" t="s">
        <v>89</v>
      </c>
      <c r="H875" s="5" t="s">
        <v>23</v>
      </c>
      <c r="I875" s="6">
        <v>53000</v>
      </c>
      <c r="J875" s="6">
        <f>IF(D875="Thu",I875,0)</f>
        <v>0</v>
      </c>
      <c r="K875" s="6">
        <f>IF(D875="Chi",I875,0)</f>
        <v>53000</v>
      </c>
      <c r="L875" s="6" t="e">
        <f>L874+J875-K875</f>
        <v>#VALUE!</v>
      </c>
      <c r="M875" s="6">
        <f ca="1">IFERROR(__xludf.DUMMYFUNCTION("SUM(FILTER(J:J, H:H=""Tiền mặt"")) - SUM(FILTER(K:K, H:H=""Tiền mặt""))
"),959000)</f>
        <v>959000</v>
      </c>
      <c r="N875" s="6">
        <f ca="1">IFERROR(__xludf.DUMMYFUNCTION("SUM(FILTER(J:J, H:H=""Chuyển khoản"")) - SUM(FILTER(K:K, H:H=""Chuyển khoản""))
"),4468984)</f>
        <v>4468984</v>
      </c>
      <c r="O875" s="5"/>
      <c r="P875" s="5"/>
      <c r="Q875" s="5"/>
      <c r="R875" s="5"/>
      <c r="S875" s="5"/>
    </row>
    <row r="876" spans="1:19" ht="15.75" customHeight="1" x14ac:dyDescent="0.2">
      <c r="A876" s="3">
        <v>46097</v>
      </c>
      <c r="B876" s="4" t="str">
        <f>IF(A876="","","PC-"&amp;TEXT(A876,"mm/yyyy")&amp;"-"&amp;TEXT(COUNTIFS($A$2:A876,"&gt;="&amp;EOMONTH(A876,-1)+1,$A$2:A876,"&lt;="&amp;EOMONTH(A876,0)),"000"))</f>
        <v>PC-03/2026-151</v>
      </c>
      <c r="C876" s="5" t="s">
        <v>705</v>
      </c>
      <c r="D876" s="5" t="s">
        <v>29</v>
      </c>
      <c r="E876" s="5" t="s">
        <v>47</v>
      </c>
      <c r="F876" s="5"/>
      <c r="G876" s="5" t="s">
        <v>48</v>
      </c>
      <c r="H876" s="5" t="s">
        <v>23</v>
      </c>
      <c r="I876" s="6">
        <v>50000</v>
      </c>
      <c r="J876" s="6">
        <f>IF(D876="Thu",I876,0)</f>
        <v>0</v>
      </c>
      <c r="K876" s="6">
        <f>IF(D876="Chi",I876,0)</f>
        <v>50000</v>
      </c>
      <c r="L876" s="6" t="e">
        <f>L875+J876-K876</f>
        <v>#VALUE!</v>
      </c>
      <c r="M876" s="6">
        <f ca="1">IFERROR(__xludf.DUMMYFUNCTION("SUM(FILTER(J:J, H:H=""Tiền mặt"")) - SUM(FILTER(K:K, H:H=""Tiền mặt""))
"),959000)</f>
        <v>959000</v>
      </c>
      <c r="N876" s="6">
        <f ca="1">IFERROR(__xludf.DUMMYFUNCTION("SUM(FILTER(J:J, H:H=""Chuyển khoản"")) - SUM(FILTER(K:K, H:H=""Chuyển khoản""))
"),4468984)</f>
        <v>4468984</v>
      </c>
      <c r="O876" s="5"/>
      <c r="P876" s="5"/>
      <c r="Q876" s="5"/>
      <c r="R876" s="5"/>
      <c r="S876" s="5"/>
    </row>
    <row r="877" spans="1:19" ht="15.75" customHeight="1" x14ac:dyDescent="0.2">
      <c r="A877" s="3">
        <v>46095</v>
      </c>
      <c r="B877" s="4" t="str">
        <f>IF(A877="","","PC-"&amp;TEXT(A877,"mm/yyyy")&amp;"-"&amp;TEXT(COUNTIFS($A$2:A877,"&gt;="&amp;EOMONTH(A877,-1)+1,$A$2:A877,"&lt;="&amp;EOMONTH(A877,0)),"000"))</f>
        <v>PC-03/2026-152</v>
      </c>
      <c r="C877" s="5" t="s">
        <v>694</v>
      </c>
      <c r="D877" s="5" t="s">
        <v>29</v>
      </c>
      <c r="E877" s="5" t="s">
        <v>64</v>
      </c>
      <c r="F877" s="5"/>
      <c r="G877" s="5" t="s">
        <v>217</v>
      </c>
      <c r="H877" s="5" t="s">
        <v>27</v>
      </c>
      <c r="I877" s="6">
        <v>110000</v>
      </c>
      <c r="J877" s="6">
        <f>IF(D877="Thu",I877,0)</f>
        <v>0</v>
      </c>
      <c r="K877" s="6">
        <f>IF(D877="Chi",I877,0)</f>
        <v>110000</v>
      </c>
      <c r="L877" s="6" t="e">
        <f>L876+J877-K877</f>
        <v>#VALUE!</v>
      </c>
      <c r="M877" s="6">
        <f ca="1">IFERROR(__xludf.DUMMYFUNCTION("SUM(FILTER(J:J, H:H=""Tiền mặt"")) - SUM(FILTER(K:K, H:H=""Tiền mặt""))
"),959000)</f>
        <v>959000</v>
      </c>
      <c r="N877" s="6">
        <f ca="1">IFERROR(__xludf.DUMMYFUNCTION("SUM(FILTER(J:J, H:H=""Chuyển khoản"")) - SUM(FILTER(K:K, H:H=""Chuyển khoản""))
"),4468984)</f>
        <v>4468984</v>
      </c>
      <c r="O877" s="5"/>
      <c r="P877" s="5"/>
      <c r="Q877" s="5"/>
      <c r="R877" s="5"/>
      <c r="S877" s="5"/>
    </row>
    <row r="878" spans="1:19" ht="15.75" customHeight="1" x14ac:dyDescent="0.2">
      <c r="A878" s="3">
        <v>46095</v>
      </c>
      <c r="B878" s="4" t="str">
        <f>IF(A878="","","PC-"&amp;TEXT(A878,"mm/yyyy")&amp;"-"&amp;TEXT(COUNTIFS($A$2:A878,"&gt;="&amp;EOMONTH(A878,-1)+1,$A$2:A878,"&lt;="&amp;EOMONTH(A878,0)),"000"))</f>
        <v>PC-03/2026-153</v>
      </c>
      <c r="C878" s="7" t="s">
        <v>168</v>
      </c>
      <c r="D878" s="5" t="s">
        <v>29</v>
      </c>
      <c r="E878" s="5" t="s">
        <v>153</v>
      </c>
      <c r="F878" s="5"/>
      <c r="G878" s="5" t="s">
        <v>72</v>
      </c>
      <c r="H878" s="5" t="s">
        <v>27</v>
      </c>
      <c r="I878" s="6">
        <v>277000</v>
      </c>
      <c r="J878" s="6">
        <f>IF(D878="Thu",I878,0)</f>
        <v>0</v>
      </c>
      <c r="K878" s="6">
        <f>IF(D878="Chi",I878,0)</f>
        <v>277000</v>
      </c>
      <c r="L878" s="6" t="e">
        <f>L877+J878-K878</f>
        <v>#VALUE!</v>
      </c>
      <c r="M878" s="6">
        <f ca="1">IFERROR(__xludf.DUMMYFUNCTION("SUM(FILTER(J:J, H:H=""Tiền mặt"")) - SUM(FILTER(K:K, H:H=""Tiền mặt""))
"),959000)</f>
        <v>959000</v>
      </c>
      <c r="N878" s="6">
        <f ca="1">IFERROR(__xludf.DUMMYFUNCTION("SUM(FILTER(J:J, H:H=""Chuyển khoản"")) - SUM(FILTER(K:K, H:H=""Chuyển khoản""))
"),4468984)</f>
        <v>4468984</v>
      </c>
      <c r="O878" s="5"/>
      <c r="P878" s="5"/>
      <c r="Q878" s="5"/>
      <c r="R878" s="5"/>
      <c r="S878" s="5"/>
    </row>
    <row r="879" spans="1:19" ht="15.75" customHeight="1" x14ac:dyDescent="0.2">
      <c r="A879" s="3">
        <v>46094</v>
      </c>
      <c r="B879" s="4" t="str">
        <f>IF(A879="","","PC-"&amp;TEXT(A879,"mm/yyyy")&amp;"-"&amp;TEXT(COUNTIFS($A$2:A879,"&gt;="&amp;EOMONTH(A879,-1)+1,$A$2:A879,"&lt;="&amp;EOMONTH(A879,0)),"000"))</f>
        <v>PC-03/2026-154</v>
      </c>
      <c r="C879" s="5" t="s">
        <v>688</v>
      </c>
      <c r="D879" s="5" t="s">
        <v>20</v>
      </c>
      <c r="E879" s="5" t="s">
        <v>21</v>
      </c>
      <c r="F879" s="5"/>
      <c r="G879" s="5" t="s">
        <v>22</v>
      </c>
      <c r="H879" s="5" t="s">
        <v>27</v>
      </c>
      <c r="I879" s="6">
        <v>10000000</v>
      </c>
      <c r="J879" s="6">
        <f>IF(D879="Thu",I879,0)</f>
        <v>10000000</v>
      </c>
      <c r="K879" s="6">
        <f>IF(D879="Chi",I879,0)</f>
        <v>0</v>
      </c>
      <c r="L879" s="6" t="e">
        <f>L878+J879-K879</f>
        <v>#VALUE!</v>
      </c>
      <c r="M879" s="6">
        <f ca="1">IFERROR(__xludf.DUMMYFUNCTION("SUM(FILTER(J:J, H:H=""Tiền mặt"")) - SUM(FILTER(K:K, H:H=""Tiền mặt""))
"),959000)</f>
        <v>959000</v>
      </c>
      <c r="N879" s="6">
        <f ca="1">IFERROR(__xludf.DUMMYFUNCTION("SUM(FILTER(J:J, H:H=""Chuyển khoản"")) - SUM(FILTER(K:K, H:H=""Chuyển khoản""))
"),4468984)</f>
        <v>4468984</v>
      </c>
      <c r="O879" s="5"/>
      <c r="P879" s="5"/>
      <c r="Q879" s="5"/>
      <c r="R879" s="5"/>
      <c r="S879" s="5"/>
    </row>
    <row r="880" spans="1:19" ht="15.75" customHeight="1" x14ac:dyDescent="0.2">
      <c r="A880" s="3">
        <v>46094</v>
      </c>
      <c r="B880" s="4" t="str">
        <f>IF(A880="","","PC-"&amp;TEXT(A880,"mm/yyyy")&amp;"-"&amp;TEXT(COUNTIFS($A$2:A880,"&gt;="&amp;EOMONTH(A880,-1)+1,$A$2:A880,"&lt;="&amp;EOMONTH(A880,0)),"000"))</f>
        <v>PC-03/2026-155</v>
      </c>
      <c r="C880" s="5" t="s">
        <v>689</v>
      </c>
      <c r="D880" s="5" t="s">
        <v>29</v>
      </c>
      <c r="E880" s="5" t="s">
        <v>44</v>
      </c>
      <c r="F880" s="5"/>
      <c r="G880" s="5" t="s">
        <v>681</v>
      </c>
      <c r="H880" s="5" t="s">
        <v>23</v>
      </c>
      <c r="I880" s="6">
        <v>2000000</v>
      </c>
      <c r="J880" s="6">
        <f>IF(D880="Thu",I880,0)</f>
        <v>0</v>
      </c>
      <c r="K880" s="6">
        <f>IF(D880="Chi",I880,0)</f>
        <v>2000000</v>
      </c>
      <c r="L880" s="6" t="e">
        <f>L879+J880-K880</f>
        <v>#VALUE!</v>
      </c>
      <c r="M880" s="6">
        <f ca="1">IFERROR(__xludf.DUMMYFUNCTION("SUM(FILTER(J:J, H:H=""Tiền mặt"")) - SUM(FILTER(K:K, H:H=""Tiền mặt""))
"),959000)</f>
        <v>959000</v>
      </c>
      <c r="N880" s="6">
        <f ca="1">IFERROR(__xludf.DUMMYFUNCTION("SUM(FILTER(J:J, H:H=""Chuyển khoản"")) - SUM(FILTER(K:K, H:H=""Chuyển khoản""))
"),4468984)</f>
        <v>4468984</v>
      </c>
      <c r="O880" s="5"/>
      <c r="P880" s="5"/>
      <c r="Q880" s="5"/>
      <c r="R880" s="5"/>
      <c r="S880" s="5"/>
    </row>
    <row r="881" spans="1:19" ht="15.75" customHeight="1" x14ac:dyDescent="0.2">
      <c r="A881" s="3">
        <v>46094</v>
      </c>
      <c r="B881" s="4" t="str">
        <f>IF(A881="","","PC-"&amp;TEXT(A881,"mm/yyyy")&amp;"-"&amp;TEXT(COUNTIFS($A$2:A881,"&gt;="&amp;EOMONTH(A881,-1)+1,$A$2:A881,"&lt;="&amp;EOMONTH(A881,0)),"000"))</f>
        <v>PC-03/2026-156</v>
      </c>
      <c r="C881" s="5" t="s">
        <v>690</v>
      </c>
      <c r="D881" s="5" t="s">
        <v>29</v>
      </c>
      <c r="E881" s="5" t="s">
        <v>47</v>
      </c>
      <c r="F881" s="5"/>
      <c r="G881" s="5" t="s">
        <v>48</v>
      </c>
      <c r="H881" s="5" t="s">
        <v>23</v>
      </c>
      <c r="I881" s="6">
        <v>50000</v>
      </c>
      <c r="J881" s="6">
        <f>IF(D881="Thu",I881,0)</f>
        <v>0</v>
      </c>
      <c r="K881" s="6">
        <f>IF(D881="Chi",I881,0)</f>
        <v>50000</v>
      </c>
      <c r="L881" s="6" t="e">
        <f>L880+J881-K881</f>
        <v>#VALUE!</v>
      </c>
      <c r="M881" s="6">
        <f ca="1">IFERROR(__xludf.DUMMYFUNCTION("SUM(FILTER(J:J, H:H=""Tiền mặt"")) - SUM(FILTER(K:K, H:H=""Tiền mặt""))
"),959000)</f>
        <v>959000</v>
      </c>
      <c r="N881" s="6">
        <f ca="1">IFERROR(__xludf.DUMMYFUNCTION("SUM(FILTER(J:J, H:H=""Chuyển khoản"")) - SUM(FILTER(K:K, H:H=""Chuyển khoản""))
"),4468984)</f>
        <v>4468984</v>
      </c>
      <c r="O881" s="5"/>
      <c r="P881" s="5"/>
      <c r="Q881" s="5"/>
      <c r="R881" s="5"/>
      <c r="S881" s="5"/>
    </row>
    <row r="882" spans="1:19" ht="15.75" customHeight="1" x14ac:dyDescent="0.2">
      <c r="A882" s="3">
        <v>46094</v>
      </c>
      <c r="B882" s="4" t="str">
        <f>IF(A882="","","PC-"&amp;TEXT(A882,"mm/yyyy")&amp;"-"&amp;TEXT(COUNTIFS($A$2:A882,"&gt;="&amp;EOMONTH(A882,-1)+1,$A$2:A882,"&lt;="&amp;EOMONTH(A882,0)),"000"))</f>
        <v>PC-03/2026-157</v>
      </c>
      <c r="C882" s="5" t="s">
        <v>691</v>
      </c>
      <c r="D882" s="5" t="s">
        <v>29</v>
      </c>
      <c r="E882" s="5" t="s">
        <v>41</v>
      </c>
      <c r="F882" s="5"/>
      <c r="G882" s="5" t="s">
        <v>82</v>
      </c>
      <c r="H882" s="5" t="s">
        <v>23</v>
      </c>
      <c r="I882" s="6">
        <v>200000</v>
      </c>
      <c r="J882" s="6">
        <f>IF(D882="Thu",I882,0)</f>
        <v>0</v>
      </c>
      <c r="K882" s="6">
        <f>IF(D882="Chi",I882,0)</f>
        <v>200000</v>
      </c>
      <c r="L882" s="6" t="e">
        <f>L881+J882-K882</f>
        <v>#VALUE!</v>
      </c>
      <c r="M882" s="6">
        <f ca="1">IFERROR(__xludf.DUMMYFUNCTION("SUM(FILTER(J:J, H:H=""Tiền mặt"")) - SUM(FILTER(K:K, H:H=""Tiền mặt""))
"),959000)</f>
        <v>959000</v>
      </c>
      <c r="N882" s="6">
        <f ca="1">IFERROR(__xludf.DUMMYFUNCTION("SUM(FILTER(J:J, H:H=""Chuyển khoản"")) - SUM(FILTER(K:K, H:H=""Chuyển khoản""))
"),4468984)</f>
        <v>4468984</v>
      </c>
      <c r="O882" s="5"/>
      <c r="P882" s="5"/>
      <c r="Q882" s="5"/>
      <c r="R882" s="5"/>
      <c r="S882" s="5"/>
    </row>
    <row r="883" spans="1:19" ht="15.75" customHeight="1" x14ac:dyDescent="0.2">
      <c r="A883" s="3">
        <v>46094</v>
      </c>
      <c r="B883" s="4" t="str">
        <f>IF(A883="","","PC-"&amp;TEXT(A883,"mm/yyyy")&amp;"-"&amp;TEXT(COUNTIFS($A$2:A883,"&gt;="&amp;EOMONTH(A883,-1)+1,$A$2:A883,"&lt;="&amp;EOMONTH(A883,0)),"000"))</f>
        <v>PC-03/2026-158</v>
      </c>
      <c r="C883" s="5" t="s">
        <v>692</v>
      </c>
      <c r="D883" s="5" t="s">
        <v>29</v>
      </c>
      <c r="E883" s="5" t="s">
        <v>41</v>
      </c>
      <c r="F883" s="5"/>
      <c r="G883" s="5" t="s">
        <v>82</v>
      </c>
      <c r="H883" s="5" t="s">
        <v>23</v>
      </c>
      <c r="I883" s="6">
        <v>100000</v>
      </c>
      <c r="J883" s="6">
        <f>IF(D883="Thu",I883,0)</f>
        <v>0</v>
      </c>
      <c r="K883" s="6">
        <f>IF(D883="Chi",I883,0)</f>
        <v>100000</v>
      </c>
      <c r="L883" s="6" t="e">
        <f>L882+J883-K883</f>
        <v>#VALUE!</v>
      </c>
      <c r="M883" s="6">
        <f ca="1">IFERROR(__xludf.DUMMYFUNCTION("SUM(FILTER(J:J, H:H=""Tiền mặt"")) - SUM(FILTER(K:K, H:H=""Tiền mặt""))
"),959000)</f>
        <v>959000</v>
      </c>
      <c r="N883" s="6">
        <f ca="1">IFERROR(__xludf.DUMMYFUNCTION("SUM(FILTER(J:J, H:H=""Chuyển khoản"")) - SUM(FILTER(K:K, H:H=""Chuyển khoản""))
"),4468984)</f>
        <v>4468984</v>
      </c>
      <c r="O883" s="5"/>
      <c r="P883" s="5"/>
      <c r="Q883" s="5"/>
      <c r="R883" s="5"/>
      <c r="S883" s="5"/>
    </row>
    <row r="884" spans="1:19" ht="15.75" customHeight="1" x14ac:dyDescent="0.2">
      <c r="A884" s="3">
        <v>46094</v>
      </c>
      <c r="B884" s="4" t="str">
        <f>IF(A884="","","PC-"&amp;TEXT(A884,"mm/yyyy")&amp;"-"&amp;TEXT(COUNTIFS($A$2:A884,"&gt;="&amp;EOMONTH(A884,-1)+1,$A$2:A884,"&lt;="&amp;EOMONTH(A884,0)),"000"))</f>
        <v>PC-03/2026-159</v>
      </c>
      <c r="C884" s="5" t="s">
        <v>693</v>
      </c>
      <c r="D884" s="5" t="s">
        <v>29</v>
      </c>
      <c r="E884" s="5" t="s">
        <v>71</v>
      </c>
      <c r="F884" s="5"/>
      <c r="G884" s="5" t="s">
        <v>219</v>
      </c>
      <c r="H884" s="5" t="s">
        <v>27</v>
      </c>
      <c r="I884" s="6">
        <v>66000</v>
      </c>
      <c r="J884" s="6">
        <f>IF(D884="Thu",I884,0)</f>
        <v>0</v>
      </c>
      <c r="K884" s="6">
        <f>IF(D884="Chi",I884,0)</f>
        <v>66000</v>
      </c>
      <c r="L884" s="6" t="e">
        <f>L883+J884-K884</f>
        <v>#VALUE!</v>
      </c>
      <c r="M884" s="6">
        <f ca="1">IFERROR(__xludf.DUMMYFUNCTION("SUM(FILTER(J:J, H:H=""Tiền mặt"")) - SUM(FILTER(K:K, H:H=""Tiền mặt""))
"),959000)</f>
        <v>959000</v>
      </c>
      <c r="N884" s="6">
        <f ca="1">IFERROR(__xludf.DUMMYFUNCTION("SUM(FILTER(J:J, H:H=""Chuyển khoản"")) - SUM(FILTER(K:K, H:H=""Chuyển khoản""))
"),4468984)</f>
        <v>4468984</v>
      </c>
      <c r="O884" s="5"/>
      <c r="P884" s="5"/>
      <c r="Q884" s="5"/>
      <c r="R884" s="5"/>
      <c r="S884" s="5"/>
    </row>
    <row r="885" spans="1:19" ht="15.75" customHeight="1" x14ac:dyDescent="0.2">
      <c r="A885" s="3">
        <v>46094</v>
      </c>
      <c r="B885" s="4" t="str">
        <f>IF(A885="","","PC-"&amp;TEXT(A885,"mm/yyyy")&amp;"-"&amp;TEXT(COUNTIFS($A$2:A885,"&gt;="&amp;EOMONTH(A885,-1)+1,$A$2:A885,"&lt;="&amp;EOMONTH(A885,0)),"000"))</f>
        <v>PC-03/2026-160</v>
      </c>
      <c r="C885" s="5" t="s">
        <v>554</v>
      </c>
      <c r="D885" s="5" t="s">
        <v>29</v>
      </c>
      <c r="E885" s="5" t="s">
        <v>153</v>
      </c>
      <c r="F885" s="5"/>
      <c r="G885" s="5" t="s">
        <v>154</v>
      </c>
      <c r="H885" s="5" t="s">
        <v>27</v>
      </c>
      <c r="I885" s="6">
        <v>1450000</v>
      </c>
      <c r="J885" s="6">
        <f>IF(D885="Thu",I885,0)</f>
        <v>0</v>
      </c>
      <c r="K885" s="6">
        <f>IF(D885="Chi",I885,0)</f>
        <v>1450000</v>
      </c>
      <c r="L885" s="6" t="e">
        <f>L884+J885-K885</f>
        <v>#VALUE!</v>
      </c>
      <c r="M885" s="6">
        <f ca="1">IFERROR(__xludf.DUMMYFUNCTION("SUM(FILTER(J:J, H:H=""Tiền mặt"")) - SUM(FILTER(K:K, H:H=""Tiền mặt""))
"),959000)</f>
        <v>959000</v>
      </c>
      <c r="N885" s="6">
        <f ca="1">IFERROR(__xludf.DUMMYFUNCTION("SUM(FILTER(J:J, H:H=""Chuyển khoản"")) - SUM(FILTER(K:K, H:H=""Chuyển khoản""))
"),4468984)</f>
        <v>4468984</v>
      </c>
      <c r="O885" s="5"/>
      <c r="P885" s="5"/>
      <c r="Q885" s="5"/>
      <c r="R885" s="5"/>
      <c r="S885" s="5"/>
    </row>
    <row r="886" spans="1:19" ht="15.75" customHeight="1" x14ac:dyDescent="0.2">
      <c r="A886" s="3">
        <v>46093</v>
      </c>
      <c r="B886" s="4" t="str">
        <f>IF(A886="","","PC-"&amp;TEXT(A886,"mm/yyyy")&amp;"-"&amp;TEXT(COUNTIFS($A$2:A886,"&gt;="&amp;EOMONTH(A886,-1)+1,$A$2:A886,"&lt;="&amp;EOMONTH(A886,0)),"000"))</f>
        <v>PC-03/2026-161</v>
      </c>
      <c r="C886" s="5" t="s">
        <v>680</v>
      </c>
      <c r="D886" s="5" t="s">
        <v>29</v>
      </c>
      <c r="E886" s="5" t="s">
        <v>44</v>
      </c>
      <c r="F886" s="5"/>
      <c r="G886" s="5" t="s">
        <v>681</v>
      </c>
      <c r="H886" s="5" t="s">
        <v>23</v>
      </c>
      <c r="I886" s="6">
        <v>1500000</v>
      </c>
      <c r="J886" s="6">
        <f>IF(D886="Thu",I886,0)</f>
        <v>0</v>
      </c>
      <c r="K886" s="6">
        <f>IF(D886="Chi",I886,0)</f>
        <v>1500000</v>
      </c>
      <c r="L886" s="6" t="e">
        <f>L885+J886-K886</f>
        <v>#VALUE!</v>
      </c>
      <c r="M886" s="6">
        <f ca="1">IFERROR(__xludf.DUMMYFUNCTION("SUM(FILTER(J:J, H:H=""Tiền mặt"")) - SUM(FILTER(K:K, H:H=""Tiền mặt""))
"),959000)</f>
        <v>959000</v>
      </c>
      <c r="N886" s="6">
        <f ca="1">IFERROR(__xludf.DUMMYFUNCTION("SUM(FILTER(J:J, H:H=""Chuyển khoản"")) - SUM(FILTER(K:K, H:H=""Chuyển khoản""))
"),4468984)</f>
        <v>4468984</v>
      </c>
      <c r="O886" s="5"/>
      <c r="P886" s="5"/>
      <c r="Q886" s="5"/>
      <c r="R886" s="5"/>
      <c r="S886" s="5"/>
    </row>
    <row r="887" spans="1:19" ht="15.75" customHeight="1" x14ac:dyDescent="0.2">
      <c r="A887" s="3">
        <v>46093</v>
      </c>
      <c r="B887" s="4" t="str">
        <f>IF(A887="","","PC-"&amp;TEXT(A887,"mm/yyyy")&amp;"-"&amp;TEXT(COUNTIFS($A$2:A887,"&gt;="&amp;EOMONTH(A887,-1)+1,$A$2:A887,"&lt;="&amp;EOMONTH(A887,0)),"000"))</f>
        <v>PC-03/2026-162</v>
      </c>
      <c r="C887" s="5" t="s">
        <v>682</v>
      </c>
      <c r="D887" s="5" t="s">
        <v>29</v>
      </c>
      <c r="E887" s="5" t="s">
        <v>47</v>
      </c>
      <c r="F887" s="5"/>
      <c r="G887" s="5" t="s">
        <v>48</v>
      </c>
      <c r="H887" s="5" t="s">
        <v>23</v>
      </c>
      <c r="I887" s="6">
        <v>50000</v>
      </c>
      <c r="J887" s="6">
        <f>IF(D887="Thu",I887,0)</f>
        <v>0</v>
      </c>
      <c r="K887" s="6">
        <f>IF(D887="Chi",I887,0)</f>
        <v>50000</v>
      </c>
      <c r="L887" s="6" t="e">
        <f>L886+J887-K887</f>
        <v>#VALUE!</v>
      </c>
      <c r="M887" s="6">
        <f ca="1">IFERROR(__xludf.DUMMYFUNCTION("SUM(FILTER(J:J, H:H=""Tiền mặt"")) - SUM(FILTER(K:K, H:H=""Tiền mặt""))
"),959000)</f>
        <v>959000</v>
      </c>
      <c r="N887" s="6">
        <f ca="1">IFERROR(__xludf.DUMMYFUNCTION("SUM(FILTER(J:J, H:H=""Chuyển khoản"")) - SUM(FILTER(K:K, H:H=""Chuyển khoản""))
"),4468984)</f>
        <v>4468984</v>
      </c>
      <c r="O887" s="5"/>
      <c r="P887" s="5"/>
      <c r="Q887" s="5"/>
      <c r="R887" s="5"/>
      <c r="S887" s="5"/>
    </row>
    <row r="888" spans="1:19" ht="15.75" customHeight="1" x14ac:dyDescent="0.2">
      <c r="A888" s="3">
        <v>46093</v>
      </c>
      <c r="B888" s="4" t="str">
        <f>IF(A888="","","PC-"&amp;TEXT(A888,"mm/yyyy")&amp;"-"&amp;TEXT(COUNTIFS($A$2:A888,"&gt;="&amp;EOMONTH(A888,-1)+1,$A$2:A888,"&lt;="&amp;EOMONTH(A888,0)),"000"))</f>
        <v>PC-03/2026-163</v>
      </c>
      <c r="C888" s="5" t="s">
        <v>683</v>
      </c>
      <c r="D888" s="5" t="s">
        <v>29</v>
      </c>
      <c r="E888" s="5" t="s">
        <v>51</v>
      </c>
      <c r="F888" s="5"/>
      <c r="G888" s="5" t="s">
        <v>52</v>
      </c>
      <c r="H888" s="5" t="s">
        <v>27</v>
      </c>
      <c r="I888" s="6">
        <v>130022</v>
      </c>
      <c r="J888" s="6">
        <f>IF(D888="Thu",I888,0)</f>
        <v>0</v>
      </c>
      <c r="K888" s="6">
        <f>IF(D888="Chi",I888,0)</f>
        <v>130022</v>
      </c>
      <c r="L888" s="6" t="e">
        <f>L887+J888-K888</f>
        <v>#VALUE!</v>
      </c>
      <c r="M888" s="6">
        <f ca="1">IFERROR(__xludf.DUMMYFUNCTION("SUM(FILTER(J:J, H:H=""Tiền mặt"")) - SUM(FILTER(K:K, H:H=""Tiền mặt""))
"),959000)</f>
        <v>959000</v>
      </c>
      <c r="N888" s="6">
        <f ca="1">IFERROR(__xludf.DUMMYFUNCTION("SUM(FILTER(J:J, H:H=""Chuyển khoản"")) - SUM(FILTER(K:K, H:H=""Chuyển khoản""))
"),4468984)</f>
        <v>4468984</v>
      </c>
      <c r="O888" s="5"/>
      <c r="P888" s="5"/>
      <c r="Q888" s="5"/>
      <c r="R888" s="5"/>
      <c r="S888" s="5"/>
    </row>
    <row r="889" spans="1:19" ht="15.75" customHeight="1" x14ac:dyDescent="0.2">
      <c r="A889" s="3">
        <v>46093</v>
      </c>
      <c r="B889" s="4" t="str">
        <f>IF(A889="","","PC-"&amp;TEXT(A889,"mm/yyyy")&amp;"-"&amp;TEXT(COUNTIFS($A$2:A889,"&gt;="&amp;EOMONTH(A889,-1)+1,$A$2:A889,"&lt;="&amp;EOMONTH(A889,0)),"000"))</f>
        <v>PC-03/2026-164</v>
      </c>
      <c r="C889" s="5" t="s">
        <v>684</v>
      </c>
      <c r="D889" s="5" t="s">
        <v>29</v>
      </c>
      <c r="E889" s="5" t="s">
        <v>51</v>
      </c>
      <c r="F889" s="5"/>
      <c r="G889" s="5" t="s">
        <v>52</v>
      </c>
      <c r="H889" s="5" t="s">
        <v>27</v>
      </c>
      <c r="I889" s="6">
        <v>129628</v>
      </c>
      <c r="J889" s="6">
        <f>IF(D889="Thu",I889,0)</f>
        <v>0</v>
      </c>
      <c r="K889" s="6">
        <f>IF(D889="Chi",I889,0)</f>
        <v>129628</v>
      </c>
      <c r="L889" s="6" t="e">
        <f>L888+J889-K889</f>
        <v>#VALUE!</v>
      </c>
      <c r="M889" s="6">
        <f ca="1">IFERROR(__xludf.DUMMYFUNCTION("SUM(FILTER(J:J, H:H=""Tiền mặt"")) - SUM(FILTER(K:K, H:H=""Tiền mặt""))
"),959000)</f>
        <v>959000</v>
      </c>
      <c r="N889" s="6">
        <f ca="1">IFERROR(__xludf.DUMMYFUNCTION("SUM(FILTER(J:J, H:H=""Chuyển khoản"")) - SUM(FILTER(K:K, H:H=""Chuyển khoản""))
"),4468984)</f>
        <v>4468984</v>
      </c>
      <c r="O889" s="5"/>
      <c r="P889" s="5"/>
      <c r="Q889" s="5"/>
      <c r="R889" s="5"/>
      <c r="S889" s="5"/>
    </row>
    <row r="890" spans="1:19" ht="15.75" customHeight="1" x14ac:dyDescent="0.2">
      <c r="A890" s="3">
        <v>46093</v>
      </c>
      <c r="B890" s="4" t="str">
        <f>IF(A890="","","PC-"&amp;TEXT(A890,"mm/yyyy")&amp;"-"&amp;TEXT(COUNTIFS($A$2:A890,"&gt;="&amp;EOMONTH(A890,-1)+1,$A$2:A890,"&lt;="&amp;EOMONTH(A890,0)),"000"))</f>
        <v>PC-03/2026-165</v>
      </c>
      <c r="C890" s="5" t="s">
        <v>685</v>
      </c>
      <c r="D890" s="5" t="s">
        <v>29</v>
      </c>
      <c r="E890" s="5" t="s">
        <v>71</v>
      </c>
      <c r="F890" s="5"/>
      <c r="G890" s="5" t="s">
        <v>72</v>
      </c>
      <c r="H890" s="5" t="s">
        <v>23</v>
      </c>
      <c r="I890" s="6">
        <v>90000</v>
      </c>
      <c r="J890" s="6">
        <f>IF(D890="Thu",I890,0)</f>
        <v>0</v>
      </c>
      <c r="K890" s="6">
        <f>IF(D890="Chi",I890,0)</f>
        <v>90000</v>
      </c>
      <c r="L890" s="6" t="e">
        <f>L889+J890-K890</f>
        <v>#VALUE!</v>
      </c>
      <c r="M890" s="6">
        <f ca="1">IFERROR(__xludf.DUMMYFUNCTION("SUM(FILTER(J:J, H:H=""Tiền mặt"")) - SUM(FILTER(K:K, H:H=""Tiền mặt""))
"),959000)</f>
        <v>959000</v>
      </c>
      <c r="N890" s="6">
        <f ca="1">IFERROR(__xludf.DUMMYFUNCTION("SUM(FILTER(J:J, H:H=""Chuyển khoản"")) - SUM(FILTER(K:K, H:H=""Chuyển khoản""))
"),4468984)</f>
        <v>4468984</v>
      </c>
      <c r="O890" s="5"/>
      <c r="P890" s="5"/>
      <c r="Q890" s="5"/>
      <c r="R890" s="5"/>
      <c r="S890" s="5"/>
    </row>
    <row r="891" spans="1:19" ht="15.75" customHeight="1" x14ac:dyDescent="0.2">
      <c r="A891" s="3">
        <v>46093</v>
      </c>
      <c r="B891" s="4" t="str">
        <f>IF(A891="","","PC-"&amp;TEXT(A891,"mm/yyyy")&amp;"-"&amp;TEXT(COUNTIFS($A$2:A891,"&gt;="&amp;EOMONTH(A891,-1)+1,$A$2:A891,"&lt;="&amp;EOMONTH(A891,0)),"000"))</f>
        <v>PC-03/2026-166</v>
      </c>
      <c r="C891" s="7" t="s">
        <v>686</v>
      </c>
      <c r="D891" s="5" t="s">
        <v>29</v>
      </c>
      <c r="E891" s="5" t="s">
        <v>41</v>
      </c>
      <c r="F891" s="5"/>
      <c r="G891" s="5" t="s">
        <v>82</v>
      </c>
      <c r="H891" s="5" t="s">
        <v>23</v>
      </c>
      <c r="I891" s="6">
        <v>100000</v>
      </c>
      <c r="J891" s="6">
        <f>IF(D891="Thu",I891,0)</f>
        <v>0</v>
      </c>
      <c r="K891" s="6">
        <f>IF(D891="Chi",I891,0)</f>
        <v>100000</v>
      </c>
      <c r="L891" s="6" t="e">
        <f>L890+J891-K891</f>
        <v>#VALUE!</v>
      </c>
      <c r="M891" s="6">
        <f ca="1">IFERROR(__xludf.DUMMYFUNCTION("SUM(FILTER(J:J, H:H=""Tiền mặt"")) - SUM(FILTER(K:K, H:H=""Tiền mặt""))
"),959000)</f>
        <v>959000</v>
      </c>
      <c r="N891" s="6">
        <f ca="1">IFERROR(__xludf.DUMMYFUNCTION("SUM(FILTER(J:J, H:H=""Chuyển khoản"")) - SUM(FILTER(K:K, H:H=""Chuyển khoản""))
"),4468984)</f>
        <v>4468984</v>
      </c>
      <c r="O891" s="5"/>
      <c r="P891" s="5"/>
      <c r="Q891" s="5"/>
      <c r="R891" s="5"/>
      <c r="S891" s="5"/>
    </row>
    <row r="892" spans="1:19" ht="15.75" customHeight="1" x14ac:dyDescent="0.2">
      <c r="A892" s="3">
        <v>46093</v>
      </c>
      <c r="B892" s="4" t="str">
        <f>IF(A892="","","PC-"&amp;TEXT(A892,"mm/yyyy")&amp;"-"&amp;TEXT(COUNTIFS($A$2:A892,"&gt;="&amp;EOMONTH(A892,-1)+1,$A$2:A892,"&lt;="&amp;EOMONTH(A892,0)),"000"))</f>
        <v>PC-03/2026-167</v>
      </c>
      <c r="C892" s="7" t="s">
        <v>687</v>
      </c>
      <c r="D892" s="5" t="s">
        <v>29</v>
      </c>
      <c r="E892" s="5" t="s">
        <v>61</v>
      </c>
      <c r="F892" s="5"/>
      <c r="G892" s="5" t="s">
        <v>52</v>
      </c>
      <c r="H892" s="5" t="s">
        <v>27</v>
      </c>
      <c r="I892" s="6">
        <v>200000</v>
      </c>
      <c r="J892" s="6">
        <f>IF(D892="Thu",I892,0)</f>
        <v>0</v>
      </c>
      <c r="K892" s="6">
        <f>IF(D892="Chi",I892,0)</f>
        <v>200000</v>
      </c>
      <c r="L892" s="6" t="e">
        <f>L891+J892-K892</f>
        <v>#VALUE!</v>
      </c>
      <c r="M892" s="6">
        <f ca="1">IFERROR(__xludf.DUMMYFUNCTION("SUM(FILTER(J:J, H:H=""Tiền mặt"")) - SUM(FILTER(K:K, H:H=""Tiền mặt""))
"),959000)</f>
        <v>959000</v>
      </c>
      <c r="N892" s="6">
        <f ca="1">IFERROR(__xludf.DUMMYFUNCTION("SUM(FILTER(J:J, H:H=""Chuyển khoản"")) - SUM(FILTER(K:K, H:H=""Chuyển khoản""))
"),4468984)</f>
        <v>4468984</v>
      </c>
      <c r="O892" s="5"/>
      <c r="P892" s="5"/>
      <c r="Q892" s="5"/>
      <c r="R892" s="5"/>
      <c r="S892" s="5"/>
    </row>
    <row r="893" spans="1:19" ht="15.75" customHeight="1" x14ac:dyDescent="0.2">
      <c r="A893" s="3">
        <v>46092</v>
      </c>
      <c r="B893" s="4" t="str">
        <f>IF(A893="","","PC-"&amp;TEXT(A893,"mm/yyyy")&amp;"-"&amp;TEXT(COUNTIFS($A$2:A893,"&gt;="&amp;EOMONTH(A893,-1)+1,$A$2:A893,"&lt;="&amp;EOMONTH(A893,0)),"000"))</f>
        <v>PC-03/2026-168</v>
      </c>
      <c r="C893" s="5" t="s">
        <v>672</v>
      </c>
      <c r="D893" s="5" t="s">
        <v>29</v>
      </c>
      <c r="E893" s="5" t="s">
        <v>64</v>
      </c>
      <c r="F893" s="5"/>
      <c r="G893" s="5" t="s">
        <v>217</v>
      </c>
      <c r="H893" s="5" t="s">
        <v>27</v>
      </c>
      <c r="I893" s="6">
        <v>70000</v>
      </c>
      <c r="J893" s="6">
        <f>IF(D893="Thu",I893,0)</f>
        <v>0</v>
      </c>
      <c r="K893" s="6">
        <f>IF(D893="Chi",I893,0)</f>
        <v>70000</v>
      </c>
      <c r="L893" s="6" t="e">
        <f>L892+J893-K893</f>
        <v>#VALUE!</v>
      </c>
      <c r="M893" s="6">
        <f ca="1">IFERROR(__xludf.DUMMYFUNCTION("SUM(FILTER(J:J, H:H=""Tiền mặt"")) - SUM(FILTER(K:K, H:H=""Tiền mặt""))
"),959000)</f>
        <v>959000</v>
      </c>
      <c r="N893" s="6">
        <f ca="1">IFERROR(__xludf.DUMMYFUNCTION("SUM(FILTER(J:J, H:H=""Chuyển khoản"")) - SUM(FILTER(K:K, H:H=""Chuyển khoản""))
"),4468984)</f>
        <v>4468984</v>
      </c>
      <c r="O893" s="5"/>
      <c r="P893" s="5"/>
      <c r="Q893" s="5"/>
      <c r="R893" s="5"/>
      <c r="S893" s="5"/>
    </row>
    <row r="894" spans="1:19" ht="15.75" customHeight="1" x14ac:dyDescent="0.2">
      <c r="A894" s="3">
        <v>46092</v>
      </c>
      <c r="B894" s="4" t="str">
        <f>IF(A894="","","PC-"&amp;TEXT(A894,"mm/yyyy")&amp;"-"&amp;TEXT(COUNTIFS($A$2:A894,"&gt;="&amp;EOMONTH(A894,-1)+1,$A$2:A894,"&lt;="&amp;EOMONTH(A894,0)),"000"))</f>
        <v>PC-03/2026-169</v>
      </c>
      <c r="C894" s="5" t="s">
        <v>673</v>
      </c>
      <c r="D894" s="5" t="s">
        <v>29</v>
      </c>
      <c r="E894" s="5" t="s">
        <v>674</v>
      </c>
      <c r="F894" s="5"/>
      <c r="G894" s="5" t="s">
        <v>675</v>
      </c>
      <c r="H894" s="5" t="s">
        <v>27</v>
      </c>
      <c r="I894" s="6">
        <v>120000</v>
      </c>
      <c r="J894" s="6">
        <f>IF(D894="Thu",I894,0)</f>
        <v>0</v>
      </c>
      <c r="K894" s="6">
        <f>IF(D894="Chi",I894,0)</f>
        <v>120000</v>
      </c>
      <c r="L894" s="6" t="e">
        <f>L893+J894-K894</f>
        <v>#VALUE!</v>
      </c>
      <c r="M894" s="6">
        <f ca="1">IFERROR(__xludf.DUMMYFUNCTION("SUM(FILTER(J:J, H:H=""Tiền mặt"")) - SUM(FILTER(K:K, H:H=""Tiền mặt""))
"),959000)</f>
        <v>959000</v>
      </c>
      <c r="N894" s="6">
        <f ca="1">IFERROR(__xludf.DUMMYFUNCTION("SUM(FILTER(J:J, H:H=""Chuyển khoản"")) - SUM(FILTER(K:K, H:H=""Chuyển khoản""))
"),4468984)</f>
        <v>4468984</v>
      </c>
      <c r="O894" s="5"/>
      <c r="P894" s="5"/>
      <c r="Q894" s="5"/>
      <c r="R894" s="5"/>
      <c r="S894" s="5"/>
    </row>
    <row r="895" spans="1:19" ht="15.75" customHeight="1" x14ac:dyDescent="0.2">
      <c r="A895" s="3">
        <v>46092</v>
      </c>
      <c r="B895" s="4" t="str">
        <f>IF(A895="","","PC-"&amp;TEXT(A895,"mm/yyyy")&amp;"-"&amp;TEXT(COUNTIFS($A$2:A895,"&gt;="&amp;EOMONTH(A895,-1)+1,$A$2:A895,"&lt;="&amp;EOMONTH(A895,0)),"000"))</f>
        <v>PC-03/2026-170</v>
      </c>
      <c r="C895" s="5" t="s">
        <v>676</v>
      </c>
      <c r="D895" s="5" t="s">
        <v>29</v>
      </c>
      <c r="E895" s="5" t="s">
        <v>71</v>
      </c>
      <c r="F895" s="5"/>
      <c r="G895" s="5" t="s">
        <v>72</v>
      </c>
      <c r="H895" s="5" t="s">
        <v>27</v>
      </c>
      <c r="I895" s="6">
        <v>153000</v>
      </c>
      <c r="J895" s="6">
        <f>IF(D895="Thu",I895,0)</f>
        <v>0</v>
      </c>
      <c r="K895" s="6">
        <f>IF(D895="Chi",I895,0)</f>
        <v>153000</v>
      </c>
      <c r="L895" s="6" t="e">
        <f>L894+J895-K895</f>
        <v>#VALUE!</v>
      </c>
      <c r="M895" s="6">
        <f ca="1">IFERROR(__xludf.DUMMYFUNCTION("SUM(FILTER(J:J, H:H=""Tiền mặt"")) - SUM(FILTER(K:K, H:H=""Tiền mặt""))
"),959000)</f>
        <v>959000</v>
      </c>
      <c r="N895" s="6">
        <f ca="1">IFERROR(__xludf.DUMMYFUNCTION("SUM(FILTER(J:J, H:H=""Chuyển khoản"")) - SUM(FILTER(K:K, H:H=""Chuyển khoản""))
"),4468984)</f>
        <v>4468984</v>
      </c>
      <c r="O895" s="5"/>
      <c r="P895" s="5"/>
      <c r="Q895" s="5"/>
      <c r="R895" s="5"/>
      <c r="S895" s="5"/>
    </row>
    <row r="896" spans="1:19" ht="15.75" customHeight="1" x14ac:dyDescent="0.2">
      <c r="A896" s="3">
        <v>46092</v>
      </c>
      <c r="B896" s="4" t="str">
        <f>IF(A896="","","PC-"&amp;TEXT(A896,"mm/yyyy")&amp;"-"&amp;TEXT(COUNTIFS($A$2:A896,"&gt;="&amp;EOMONTH(A896,-1)+1,$A$2:A896,"&lt;="&amp;EOMONTH(A896,0)),"000"))</f>
        <v>PC-03/2026-171</v>
      </c>
      <c r="C896" s="5" t="s">
        <v>677</v>
      </c>
      <c r="D896" s="5" t="s">
        <v>29</v>
      </c>
      <c r="E896" s="5" t="s">
        <v>71</v>
      </c>
      <c r="F896" s="5"/>
      <c r="G896" s="5" t="s">
        <v>678</v>
      </c>
      <c r="H896" s="5" t="s">
        <v>27</v>
      </c>
      <c r="I896" s="6">
        <v>67000</v>
      </c>
      <c r="J896" s="6">
        <f>IF(D896="Thu",I896,0)</f>
        <v>0</v>
      </c>
      <c r="K896" s="6">
        <f>IF(D896="Chi",I896,0)</f>
        <v>67000</v>
      </c>
      <c r="L896" s="6" t="e">
        <f>L895+J896-K896</f>
        <v>#VALUE!</v>
      </c>
      <c r="M896" s="6">
        <f ca="1">IFERROR(__xludf.DUMMYFUNCTION("SUM(FILTER(J:J, H:H=""Tiền mặt"")) - SUM(FILTER(K:K, H:H=""Tiền mặt""))
"),959000)</f>
        <v>959000</v>
      </c>
      <c r="N896" s="6">
        <f ca="1">IFERROR(__xludf.DUMMYFUNCTION("SUM(FILTER(J:J, H:H=""Chuyển khoản"")) - SUM(FILTER(K:K, H:H=""Chuyển khoản""))
"),4468984)</f>
        <v>4468984</v>
      </c>
      <c r="O896" s="5"/>
      <c r="P896" s="5"/>
      <c r="Q896" s="5"/>
      <c r="R896" s="5"/>
      <c r="S896" s="5"/>
    </row>
    <row r="897" spans="1:19" ht="15.75" customHeight="1" x14ac:dyDescent="0.2">
      <c r="A897" s="3">
        <v>46092</v>
      </c>
      <c r="B897" s="4" t="str">
        <f>IF(A897="","","PC-"&amp;TEXT(A897,"mm/yyyy")&amp;"-"&amp;TEXT(COUNTIFS($A$2:A897,"&gt;="&amp;EOMONTH(A897,-1)+1,$A$2:A897,"&lt;="&amp;EOMONTH(A897,0)),"000"))</f>
        <v>PC-03/2026-172</v>
      </c>
      <c r="C897" s="5" t="s">
        <v>679</v>
      </c>
      <c r="D897" s="5" t="s">
        <v>29</v>
      </c>
      <c r="E897" s="5" t="s">
        <v>41</v>
      </c>
      <c r="F897" s="5"/>
      <c r="G897" s="5" t="s">
        <v>82</v>
      </c>
      <c r="H897" s="5" t="s">
        <v>23</v>
      </c>
      <c r="I897" s="6">
        <v>100000</v>
      </c>
      <c r="J897" s="6">
        <f>IF(D897="Thu",I897,0)</f>
        <v>0</v>
      </c>
      <c r="K897" s="6">
        <f>IF(D897="Chi",I897,0)</f>
        <v>100000</v>
      </c>
      <c r="L897" s="6" t="e">
        <f>L896+J897-K897</f>
        <v>#VALUE!</v>
      </c>
      <c r="M897" s="6">
        <f ca="1">IFERROR(__xludf.DUMMYFUNCTION("SUM(FILTER(J:J, H:H=""Tiền mặt"")) - SUM(FILTER(K:K, H:H=""Tiền mặt""))
"),959000)</f>
        <v>959000</v>
      </c>
      <c r="N897" s="6">
        <f ca="1">IFERROR(__xludf.DUMMYFUNCTION("SUM(FILTER(J:J, H:H=""Chuyển khoản"")) - SUM(FILTER(K:K, H:H=""Chuyển khoản""))
"),4468984)</f>
        <v>4468984</v>
      </c>
      <c r="O897" s="5"/>
      <c r="P897" s="5"/>
      <c r="Q897" s="5"/>
      <c r="R897" s="5"/>
      <c r="S897" s="5"/>
    </row>
    <row r="898" spans="1:19" ht="15.75" customHeight="1" x14ac:dyDescent="0.2">
      <c r="A898" s="3">
        <v>46091</v>
      </c>
      <c r="B898" s="4" t="str">
        <f>IF(A898="","","PC-"&amp;TEXT(A898,"mm/yyyy")&amp;"-"&amp;TEXT(COUNTIFS($A$2:A898,"&gt;="&amp;EOMONTH(A898,-1)+1,$A$2:A898,"&lt;="&amp;EOMONTH(A898,0)),"000"))</f>
        <v>PC-03/2026-173</v>
      </c>
      <c r="C898" s="5" t="s">
        <v>528</v>
      </c>
      <c r="D898" s="5" t="s">
        <v>29</v>
      </c>
      <c r="E898" s="5" t="s">
        <v>36</v>
      </c>
      <c r="F898" s="5"/>
      <c r="G898" s="5" t="s">
        <v>37</v>
      </c>
      <c r="H898" s="5" t="s">
        <v>23</v>
      </c>
      <c r="I898" s="6">
        <v>60000</v>
      </c>
      <c r="J898" s="6">
        <f>IF(D898="Thu",I898,0)</f>
        <v>0</v>
      </c>
      <c r="K898" s="6">
        <f>IF(D898="Chi",I898,0)</f>
        <v>60000</v>
      </c>
      <c r="L898" s="6" t="e">
        <f>L897+J898-K898</f>
        <v>#VALUE!</v>
      </c>
      <c r="M898" s="6">
        <f ca="1">IFERROR(__xludf.DUMMYFUNCTION("SUM(FILTER(J:J, H:H=""Tiền mặt"")) - SUM(FILTER(K:K, H:H=""Tiền mặt""))
"),959000)</f>
        <v>959000</v>
      </c>
      <c r="N898" s="6">
        <f ca="1">IFERROR(__xludf.DUMMYFUNCTION("SUM(FILTER(J:J, H:H=""Chuyển khoản"")) - SUM(FILTER(K:K, H:H=""Chuyển khoản""))
"),4468984)</f>
        <v>4468984</v>
      </c>
      <c r="O898" s="5"/>
      <c r="P898" s="5"/>
      <c r="Q898" s="5"/>
      <c r="R898" s="5"/>
      <c r="S898" s="5"/>
    </row>
    <row r="899" spans="1:19" ht="15.75" customHeight="1" x14ac:dyDescent="0.2">
      <c r="A899" s="3">
        <v>46091</v>
      </c>
      <c r="B899" s="4" t="str">
        <f>IF(A899="","","PC-"&amp;TEXT(A899,"mm/yyyy")&amp;"-"&amp;TEXT(COUNTIFS($A$2:A899,"&gt;="&amp;EOMONTH(A899,-1)+1,$A$2:A899,"&lt;="&amp;EOMONTH(A899,0)),"000"))</f>
        <v>PC-03/2026-174</v>
      </c>
      <c r="C899" s="5" t="s">
        <v>668</v>
      </c>
      <c r="D899" s="5" t="s">
        <v>29</v>
      </c>
      <c r="E899" s="5" t="s">
        <v>36</v>
      </c>
      <c r="F899" s="5"/>
      <c r="G899" s="5" t="s">
        <v>37</v>
      </c>
      <c r="H899" s="5" t="s">
        <v>23</v>
      </c>
      <c r="I899" s="6">
        <v>50000</v>
      </c>
      <c r="J899" s="6">
        <f>IF(D899="Thu",I899,0)</f>
        <v>0</v>
      </c>
      <c r="K899" s="6">
        <f>IF(D899="Chi",I899,0)</f>
        <v>50000</v>
      </c>
      <c r="L899" s="6" t="e">
        <f>L898+J899-K899</f>
        <v>#VALUE!</v>
      </c>
      <c r="M899" s="6">
        <f ca="1">IFERROR(__xludf.DUMMYFUNCTION("SUM(FILTER(J:J, H:H=""Tiền mặt"")) - SUM(FILTER(K:K, H:H=""Tiền mặt""))
"),959000)</f>
        <v>959000</v>
      </c>
      <c r="N899" s="6">
        <f ca="1">IFERROR(__xludf.DUMMYFUNCTION("SUM(FILTER(J:J, H:H=""Chuyển khoản"")) - SUM(FILTER(K:K, H:H=""Chuyển khoản""))
"),4468984)</f>
        <v>4468984</v>
      </c>
      <c r="O899" s="5"/>
      <c r="P899" s="5"/>
      <c r="Q899" s="5"/>
      <c r="R899" s="5"/>
      <c r="S899" s="5"/>
    </row>
    <row r="900" spans="1:19" ht="15.75" customHeight="1" x14ac:dyDescent="0.2">
      <c r="A900" s="3">
        <v>46091</v>
      </c>
      <c r="B900" s="4" t="str">
        <f>IF(A900="","","PC-"&amp;TEXT(A900,"mm/yyyy")&amp;"-"&amp;TEXT(COUNTIFS($A$2:A900,"&gt;="&amp;EOMONTH(A900,-1)+1,$A$2:A900,"&lt;="&amp;EOMONTH(A900,0)),"000"))</f>
        <v>PC-03/2026-175</v>
      </c>
      <c r="C900" s="5" t="s">
        <v>669</v>
      </c>
      <c r="D900" s="5" t="s">
        <v>29</v>
      </c>
      <c r="E900" s="5" t="s">
        <v>71</v>
      </c>
      <c r="F900" s="5"/>
      <c r="G900" s="5" t="s">
        <v>670</v>
      </c>
      <c r="H900" s="5" t="s">
        <v>27</v>
      </c>
      <c r="I900" s="6">
        <v>51000</v>
      </c>
      <c r="J900" s="6">
        <f>IF(D900="Thu",I900,0)</f>
        <v>0</v>
      </c>
      <c r="K900" s="6">
        <f>IF(D900="Chi",I900,0)</f>
        <v>51000</v>
      </c>
      <c r="L900" s="6" t="e">
        <f>L899+J900-K900</f>
        <v>#VALUE!</v>
      </c>
      <c r="M900" s="6">
        <f ca="1">IFERROR(__xludf.DUMMYFUNCTION("SUM(FILTER(J:J, H:H=""Tiền mặt"")) - SUM(FILTER(K:K, H:H=""Tiền mặt""))
"),959000)</f>
        <v>959000</v>
      </c>
      <c r="N900" s="6">
        <f ca="1">IFERROR(__xludf.DUMMYFUNCTION("SUM(FILTER(J:J, H:H=""Chuyển khoản"")) - SUM(FILTER(K:K, H:H=""Chuyển khoản""))
"),4468984)</f>
        <v>4468984</v>
      </c>
      <c r="O900" s="5"/>
      <c r="P900" s="5"/>
      <c r="Q900" s="5"/>
      <c r="R900" s="5"/>
      <c r="S900" s="5"/>
    </row>
    <row r="901" spans="1:19" ht="15.75" customHeight="1" x14ac:dyDescent="0.2">
      <c r="A901" s="3">
        <v>46091</v>
      </c>
      <c r="B901" s="4" t="str">
        <f>IF(A901="","","PC-"&amp;TEXT(A901,"mm/yyyy")&amp;"-"&amp;TEXT(COUNTIFS($A$2:A901,"&gt;="&amp;EOMONTH(A901,-1)+1,$A$2:A901,"&lt;="&amp;EOMONTH(A901,0)),"000"))</f>
        <v>PC-03/2026-176</v>
      </c>
      <c r="C901" s="5" t="s">
        <v>671</v>
      </c>
      <c r="D901" s="5" t="s">
        <v>29</v>
      </c>
      <c r="E901" s="5" t="s">
        <v>51</v>
      </c>
      <c r="F901" s="5"/>
      <c r="G901" s="5" t="s">
        <v>52</v>
      </c>
      <c r="H901" s="5" t="s">
        <v>27</v>
      </c>
      <c r="I901" s="6">
        <v>273106</v>
      </c>
      <c r="J901" s="6">
        <f>IF(D901="Thu",I901,0)</f>
        <v>0</v>
      </c>
      <c r="K901" s="6">
        <f>IF(D901="Chi",I901,0)</f>
        <v>273106</v>
      </c>
      <c r="L901" s="6" t="e">
        <f>L900+J901-K901</f>
        <v>#VALUE!</v>
      </c>
      <c r="M901" s="6">
        <f ca="1">IFERROR(__xludf.DUMMYFUNCTION("SUM(FILTER(J:J, H:H=""Tiền mặt"")) - SUM(FILTER(K:K, H:H=""Tiền mặt""))
"),959000)</f>
        <v>959000</v>
      </c>
      <c r="N901" s="6">
        <f ca="1">IFERROR(__xludf.DUMMYFUNCTION("SUM(FILTER(J:J, H:H=""Chuyển khoản"")) - SUM(FILTER(K:K, H:H=""Chuyển khoản""))
"),4468984)</f>
        <v>4468984</v>
      </c>
      <c r="O901" s="5"/>
      <c r="P901" s="5"/>
      <c r="Q901" s="5"/>
      <c r="R901" s="5"/>
      <c r="S901" s="5"/>
    </row>
    <row r="902" spans="1:19" ht="15.75" customHeight="1" x14ac:dyDescent="0.2">
      <c r="A902" s="3">
        <v>46090</v>
      </c>
      <c r="B902" s="4" t="str">
        <f>IF(A902="","","PC-"&amp;TEXT(A902,"mm/yyyy")&amp;"-"&amp;TEXT(COUNTIFS($A$2:A902,"&gt;="&amp;EOMONTH(A902,-1)+1,$A$2:A902,"&lt;="&amp;EOMONTH(A902,0)),"000"))</f>
        <v>PC-03/2026-177</v>
      </c>
      <c r="C902" s="5" t="s">
        <v>655</v>
      </c>
      <c r="D902" s="5" t="s">
        <v>29</v>
      </c>
      <c r="E902" s="5" t="s">
        <v>51</v>
      </c>
      <c r="F902" s="5"/>
      <c r="G902" s="5" t="s">
        <v>52</v>
      </c>
      <c r="H902" s="5" t="s">
        <v>27</v>
      </c>
      <c r="I902" s="6">
        <v>97928</v>
      </c>
      <c r="J902" s="6">
        <f>IF(D902="Thu",I902,0)</f>
        <v>0</v>
      </c>
      <c r="K902" s="6">
        <f>IF(D902="Chi",I902,0)</f>
        <v>97928</v>
      </c>
      <c r="L902" s="6" t="e">
        <f>L901+J902-K902</f>
        <v>#VALUE!</v>
      </c>
      <c r="M902" s="6">
        <f ca="1">IFERROR(__xludf.DUMMYFUNCTION("SUM(FILTER(J:J, H:H=""Tiền mặt"")) - SUM(FILTER(K:K, H:H=""Tiền mặt""))
"),959000)</f>
        <v>959000</v>
      </c>
      <c r="N902" s="6">
        <f ca="1">IFERROR(__xludf.DUMMYFUNCTION("SUM(FILTER(J:J, H:H=""Chuyển khoản"")) - SUM(FILTER(K:K, H:H=""Chuyển khoản""))
"),4468984)</f>
        <v>4468984</v>
      </c>
      <c r="O902" s="5"/>
      <c r="P902" s="5"/>
      <c r="Q902" s="5"/>
      <c r="R902" s="5"/>
      <c r="S902" s="5"/>
    </row>
    <row r="903" spans="1:19" ht="15.75" customHeight="1" x14ac:dyDescent="0.2">
      <c r="A903" s="3">
        <v>46090</v>
      </c>
      <c r="B903" s="4" t="str">
        <f>IF(A903="","","PC-"&amp;TEXT(A903,"mm/yyyy")&amp;"-"&amp;TEXT(COUNTIFS($A$2:A903,"&gt;="&amp;EOMONTH(A903,-1)+1,$A$2:A903,"&lt;="&amp;EOMONTH(A903,0)),"000"))</f>
        <v>PC-03/2026-178</v>
      </c>
      <c r="C903" s="5" t="s">
        <v>656</v>
      </c>
      <c r="D903" s="5" t="s">
        <v>29</v>
      </c>
      <c r="E903" s="5" t="s">
        <v>51</v>
      </c>
      <c r="F903" s="5"/>
      <c r="G903" s="5" t="s">
        <v>52</v>
      </c>
      <c r="H903" s="5" t="s">
        <v>27</v>
      </c>
      <c r="I903" s="6">
        <v>79200</v>
      </c>
      <c r="J903" s="6">
        <f>IF(D903="Thu",I903,0)</f>
        <v>0</v>
      </c>
      <c r="K903" s="6">
        <f>IF(D903="Chi",I903,0)</f>
        <v>79200</v>
      </c>
      <c r="L903" s="6" t="e">
        <f>L902+J903-K903</f>
        <v>#VALUE!</v>
      </c>
      <c r="M903" s="6">
        <f ca="1">IFERROR(__xludf.DUMMYFUNCTION("SUM(FILTER(J:J, H:H=""Tiền mặt"")) - SUM(FILTER(K:K, H:H=""Tiền mặt""))
"),959000)</f>
        <v>959000</v>
      </c>
      <c r="N903" s="6">
        <f ca="1">IFERROR(__xludf.DUMMYFUNCTION("SUM(FILTER(J:J, H:H=""Chuyển khoản"")) - SUM(FILTER(K:K, H:H=""Chuyển khoản""))
"),4468984)</f>
        <v>4468984</v>
      </c>
      <c r="O903" s="5"/>
      <c r="P903" s="5"/>
      <c r="Q903" s="5"/>
      <c r="R903" s="5"/>
      <c r="S903" s="5"/>
    </row>
    <row r="904" spans="1:19" ht="15.75" customHeight="1" x14ac:dyDescent="0.2">
      <c r="A904" s="3">
        <v>46090</v>
      </c>
      <c r="B904" s="4" t="str">
        <f>IF(A904="","","PC-"&amp;TEXT(A904,"mm/yyyy")&amp;"-"&amp;TEXT(COUNTIFS($A$2:A904,"&gt;="&amp;EOMONTH(A904,-1)+1,$A$2:A904,"&lt;="&amp;EOMONTH(A904,0)),"000"))</f>
        <v>PC-03/2026-179</v>
      </c>
      <c r="C904" s="5" t="s">
        <v>657</v>
      </c>
      <c r="D904" s="5" t="s">
        <v>29</v>
      </c>
      <c r="E904" s="5" t="s">
        <v>30</v>
      </c>
      <c r="F904" s="5"/>
      <c r="G904" s="5" t="s">
        <v>282</v>
      </c>
      <c r="H904" s="5" t="s">
        <v>27</v>
      </c>
      <c r="I904" s="6">
        <v>165000</v>
      </c>
      <c r="J904" s="6">
        <f>IF(D904="Thu",I904,0)</f>
        <v>0</v>
      </c>
      <c r="K904" s="6">
        <f>IF(D904="Chi",I904,0)</f>
        <v>165000</v>
      </c>
      <c r="L904" s="6" t="e">
        <f>L903+J904-K904</f>
        <v>#VALUE!</v>
      </c>
      <c r="M904" s="6">
        <f ca="1">IFERROR(__xludf.DUMMYFUNCTION("SUM(FILTER(J:J, H:H=""Tiền mặt"")) - SUM(FILTER(K:K, H:H=""Tiền mặt""))
"),959000)</f>
        <v>959000</v>
      </c>
      <c r="N904" s="6">
        <f ca="1">IFERROR(__xludf.DUMMYFUNCTION("SUM(FILTER(J:J, H:H=""Chuyển khoản"")) - SUM(FILTER(K:K, H:H=""Chuyển khoản""))
"),4468984)</f>
        <v>4468984</v>
      </c>
      <c r="O904" s="5"/>
      <c r="P904" s="5"/>
      <c r="Q904" s="5"/>
      <c r="R904" s="5"/>
      <c r="S904" s="5"/>
    </row>
    <row r="905" spans="1:19" ht="15.75" customHeight="1" x14ac:dyDescent="0.2">
      <c r="A905" s="3">
        <v>46090</v>
      </c>
      <c r="B905" s="4" t="str">
        <f>IF(A905="","","PC-"&amp;TEXT(A905,"mm/yyyy")&amp;"-"&amp;TEXT(COUNTIFS($A$2:A905,"&gt;="&amp;EOMONTH(A905,-1)+1,$A$2:A905,"&lt;="&amp;EOMONTH(A905,0)),"000"))</f>
        <v>PC-03/2026-180</v>
      </c>
      <c r="C905" s="5" t="s">
        <v>658</v>
      </c>
      <c r="D905" s="5" t="s">
        <v>29</v>
      </c>
      <c r="E905" s="5" t="s">
        <v>44</v>
      </c>
      <c r="F905" s="5"/>
      <c r="G905" s="5" t="s">
        <v>45</v>
      </c>
      <c r="H905" s="5" t="s">
        <v>23</v>
      </c>
      <c r="I905" s="6">
        <v>1500000</v>
      </c>
      <c r="J905" s="6">
        <f>IF(D905="Thu",I905,0)</f>
        <v>0</v>
      </c>
      <c r="K905" s="6">
        <f>IF(D905="Chi",I905,0)</f>
        <v>1500000</v>
      </c>
      <c r="L905" s="6" t="e">
        <f>L904+J905-K905</f>
        <v>#VALUE!</v>
      </c>
      <c r="M905" s="6">
        <f ca="1">IFERROR(__xludf.DUMMYFUNCTION("SUM(FILTER(J:J, H:H=""Tiền mặt"")) - SUM(FILTER(K:K, H:H=""Tiền mặt""))
"),959000)</f>
        <v>959000</v>
      </c>
      <c r="N905" s="6">
        <f ca="1">IFERROR(__xludf.DUMMYFUNCTION("SUM(FILTER(J:J, H:H=""Chuyển khoản"")) - SUM(FILTER(K:K, H:H=""Chuyển khoản""))
"),4468984)</f>
        <v>4468984</v>
      </c>
      <c r="O905" s="5"/>
      <c r="P905" s="5"/>
      <c r="Q905" s="5"/>
      <c r="R905" s="5"/>
      <c r="S905" s="5"/>
    </row>
    <row r="906" spans="1:19" ht="15.75" customHeight="1" x14ac:dyDescent="0.2">
      <c r="A906" s="3">
        <v>46090</v>
      </c>
      <c r="B906" s="4" t="str">
        <f>IF(A906="","","PC-"&amp;TEXT(A906,"mm/yyyy")&amp;"-"&amp;TEXT(COUNTIFS($A$2:A906,"&gt;="&amp;EOMONTH(A906,-1)+1,$A$2:A906,"&lt;="&amp;EOMONTH(A906,0)),"000"))</f>
        <v>PC-03/2026-181</v>
      </c>
      <c r="C906" s="5" t="s">
        <v>659</v>
      </c>
      <c r="D906" s="5" t="s">
        <v>29</v>
      </c>
      <c r="E906" s="5" t="s">
        <v>47</v>
      </c>
      <c r="F906" s="5"/>
      <c r="G906" s="5" t="s">
        <v>48</v>
      </c>
      <c r="H906" s="5" t="s">
        <v>23</v>
      </c>
      <c r="I906" s="6">
        <v>50000</v>
      </c>
      <c r="J906" s="6">
        <f>IF(D906="Thu",I906,0)</f>
        <v>0</v>
      </c>
      <c r="K906" s="6">
        <f>IF(D906="Chi",I906,0)</f>
        <v>50000</v>
      </c>
      <c r="L906" s="6" t="e">
        <f>L905+J906-K906</f>
        <v>#VALUE!</v>
      </c>
      <c r="M906" s="6">
        <f ca="1">IFERROR(__xludf.DUMMYFUNCTION("SUM(FILTER(J:J, H:H=""Tiền mặt"")) - SUM(FILTER(K:K, H:H=""Tiền mặt""))
"),959000)</f>
        <v>959000</v>
      </c>
      <c r="N906" s="6">
        <f ca="1">IFERROR(__xludf.DUMMYFUNCTION("SUM(FILTER(J:J, H:H=""Chuyển khoản"")) - SUM(FILTER(K:K, H:H=""Chuyển khoản""))
"),4468984)</f>
        <v>4468984</v>
      </c>
      <c r="O906" s="5"/>
      <c r="P906" s="5"/>
      <c r="Q906" s="5"/>
      <c r="R906" s="5"/>
      <c r="S906" s="5"/>
    </row>
    <row r="907" spans="1:19" ht="15.75" customHeight="1" x14ac:dyDescent="0.2">
      <c r="A907" s="3">
        <v>46090</v>
      </c>
      <c r="B907" s="4" t="str">
        <f>IF(A907="","","PC-"&amp;TEXT(A907,"mm/yyyy")&amp;"-"&amp;TEXT(COUNTIFS($A$2:A907,"&gt;="&amp;EOMONTH(A907,-1)+1,$A$2:A907,"&lt;="&amp;EOMONTH(A907,0)),"000"))</f>
        <v>PC-03/2026-182</v>
      </c>
      <c r="C907" s="5" t="s">
        <v>660</v>
      </c>
      <c r="D907" s="5" t="s">
        <v>29</v>
      </c>
      <c r="E907" s="5" t="s">
        <v>44</v>
      </c>
      <c r="F907" s="5"/>
      <c r="G907" s="5" t="s">
        <v>661</v>
      </c>
      <c r="H907" s="5" t="s">
        <v>23</v>
      </c>
      <c r="I907" s="6">
        <v>0</v>
      </c>
      <c r="J907" s="6">
        <f>IF(D907="Thu",I907,0)</f>
        <v>0</v>
      </c>
      <c r="K907" s="6">
        <f>IF(D907="Chi",I907,0)</f>
        <v>0</v>
      </c>
      <c r="L907" s="6" t="e">
        <f>L906+J907-K907</f>
        <v>#VALUE!</v>
      </c>
      <c r="M907" s="6">
        <f ca="1">IFERROR(__xludf.DUMMYFUNCTION("SUM(FILTER(J:J, H:H=""Tiền mặt"")) - SUM(FILTER(K:K, H:H=""Tiền mặt""))
"),959000)</f>
        <v>959000</v>
      </c>
      <c r="N907" s="6">
        <f ca="1">IFERROR(__xludf.DUMMYFUNCTION("SUM(FILTER(J:J, H:H=""Chuyển khoản"")) - SUM(FILTER(K:K, H:H=""Chuyển khoản""))
"),4468984)</f>
        <v>4468984</v>
      </c>
      <c r="O907" s="5"/>
      <c r="P907" s="5"/>
      <c r="Q907" s="5"/>
      <c r="R907" s="5"/>
      <c r="S907" s="5"/>
    </row>
    <row r="908" spans="1:19" ht="15.75" customHeight="1" x14ac:dyDescent="0.2">
      <c r="A908" s="3">
        <v>46090</v>
      </c>
      <c r="B908" s="4" t="str">
        <f>IF(A908="","","PC-"&amp;TEXT(A908,"mm/yyyy")&amp;"-"&amp;TEXT(COUNTIFS($A$2:A908,"&gt;="&amp;EOMONTH(A908,-1)+1,$A$2:A908,"&lt;="&amp;EOMONTH(A908,0)),"000"))</f>
        <v>PC-03/2026-183</v>
      </c>
      <c r="C908" s="5" t="s">
        <v>662</v>
      </c>
      <c r="D908" s="5" t="s">
        <v>29</v>
      </c>
      <c r="E908" s="5" t="s">
        <v>44</v>
      </c>
      <c r="F908" s="5"/>
      <c r="G908" s="5" t="s">
        <v>661</v>
      </c>
      <c r="H908" s="5" t="s">
        <v>23</v>
      </c>
      <c r="I908" s="6">
        <v>0</v>
      </c>
      <c r="J908" s="6">
        <f>IF(D908="Thu",I908,0)</f>
        <v>0</v>
      </c>
      <c r="K908" s="6">
        <f>IF(D908="Chi",I908,0)</f>
        <v>0</v>
      </c>
      <c r="L908" s="6" t="e">
        <f>L907+J908-K908</f>
        <v>#VALUE!</v>
      </c>
      <c r="M908" s="6">
        <f ca="1">IFERROR(__xludf.DUMMYFUNCTION("SUM(FILTER(J:J, H:H=""Tiền mặt"")) - SUM(FILTER(K:K, H:H=""Tiền mặt""))
"),959000)</f>
        <v>959000</v>
      </c>
      <c r="N908" s="6">
        <f ca="1">IFERROR(__xludf.DUMMYFUNCTION("SUM(FILTER(J:J, H:H=""Chuyển khoản"")) - SUM(FILTER(K:K, H:H=""Chuyển khoản""))
"),4468984)</f>
        <v>4468984</v>
      </c>
      <c r="O908" s="5"/>
      <c r="P908" s="5"/>
      <c r="Q908" s="5"/>
      <c r="R908" s="5"/>
      <c r="S908" s="5"/>
    </row>
    <row r="909" spans="1:19" ht="15.75" customHeight="1" x14ac:dyDescent="0.2">
      <c r="A909" s="3">
        <v>46090</v>
      </c>
      <c r="B909" s="4" t="str">
        <f>IF(A909="","","PC-"&amp;TEXT(A909,"mm/yyyy")&amp;"-"&amp;TEXT(COUNTIFS($A$2:A909,"&gt;="&amp;EOMONTH(A909,-1)+1,$A$2:A909,"&lt;="&amp;EOMONTH(A909,0)),"000"))</f>
        <v>PC-03/2026-184</v>
      </c>
      <c r="C909" s="5" t="s">
        <v>663</v>
      </c>
      <c r="D909" s="5" t="s">
        <v>29</v>
      </c>
      <c r="E909" s="5" t="s">
        <v>44</v>
      </c>
      <c r="F909" s="5"/>
      <c r="G909" s="5" t="s">
        <v>661</v>
      </c>
      <c r="H909" s="5" t="s">
        <v>23</v>
      </c>
      <c r="I909" s="6">
        <v>0</v>
      </c>
      <c r="J909" s="6">
        <f>IF(D909="Thu",I909,0)</f>
        <v>0</v>
      </c>
      <c r="K909" s="6">
        <f>IF(D909="Chi",I909,0)</f>
        <v>0</v>
      </c>
      <c r="L909" s="6" t="e">
        <f>L908+J909-K909</f>
        <v>#VALUE!</v>
      </c>
      <c r="M909" s="6">
        <f ca="1">IFERROR(__xludf.DUMMYFUNCTION("SUM(FILTER(J:J, H:H=""Tiền mặt"")) - SUM(FILTER(K:K, H:H=""Tiền mặt""))
"),959000)</f>
        <v>959000</v>
      </c>
      <c r="N909" s="6">
        <f ca="1">IFERROR(__xludf.DUMMYFUNCTION("SUM(FILTER(J:J, H:H=""Chuyển khoản"")) - SUM(FILTER(K:K, H:H=""Chuyển khoản""))
"),4468984)</f>
        <v>4468984</v>
      </c>
      <c r="O909" s="5"/>
      <c r="P909" s="5"/>
      <c r="Q909" s="5"/>
      <c r="R909" s="5"/>
      <c r="S909" s="5"/>
    </row>
    <row r="910" spans="1:19" ht="15.75" customHeight="1" x14ac:dyDescent="0.2">
      <c r="A910" s="3">
        <v>46090</v>
      </c>
      <c r="B910" s="4" t="str">
        <f>IF(A910="","","PC-"&amp;TEXT(A910,"mm/yyyy")&amp;"-"&amp;TEXT(COUNTIFS($A$2:A910,"&gt;="&amp;EOMONTH(A910,-1)+1,$A$2:A910,"&lt;="&amp;EOMONTH(A910,0)),"000"))</f>
        <v>PC-03/2026-185</v>
      </c>
      <c r="C910" s="5" t="s">
        <v>664</v>
      </c>
      <c r="D910" s="5" t="s">
        <v>29</v>
      </c>
      <c r="E910" s="5" t="s">
        <v>51</v>
      </c>
      <c r="F910" s="5"/>
      <c r="G910" s="5" t="s">
        <v>52</v>
      </c>
      <c r="H910" s="5" t="s">
        <v>27</v>
      </c>
      <c r="I910" s="6">
        <v>114631</v>
      </c>
      <c r="J910" s="6">
        <f>IF(D910="Thu",I910,0)</f>
        <v>0</v>
      </c>
      <c r="K910" s="6">
        <f>IF(D910="Chi",I910,0)</f>
        <v>114631</v>
      </c>
      <c r="L910" s="6" t="e">
        <f>L909+J910-K910</f>
        <v>#VALUE!</v>
      </c>
      <c r="M910" s="6">
        <f ca="1">IFERROR(__xludf.DUMMYFUNCTION("SUM(FILTER(J:J, H:H=""Tiền mặt"")) - SUM(FILTER(K:K, H:H=""Tiền mặt""))
"),959000)</f>
        <v>959000</v>
      </c>
      <c r="N910" s="6">
        <f ca="1">IFERROR(__xludf.DUMMYFUNCTION("SUM(FILTER(J:J, H:H=""Chuyển khoản"")) - SUM(FILTER(K:K, H:H=""Chuyển khoản""))
"),4468984)</f>
        <v>4468984</v>
      </c>
      <c r="O910" s="5"/>
      <c r="P910" s="5"/>
      <c r="Q910" s="5"/>
      <c r="R910" s="5"/>
      <c r="S910" s="5"/>
    </row>
    <row r="911" spans="1:19" ht="15.75" customHeight="1" x14ac:dyDescent="0.2">
      <c r="A911" s="3">
        <v>46090</v>
      </c>
      <c r="B911" s="4" t="str">
        <f>IF(A911="","","PC-"&amp;TEXT(A911,"mm/yyyy")&amp;"-"&amp;TEXT(COUNTIFS($A$2:A911,"&gt;="&amp;EOMONTH(A911,-1)+1,$A$2:A911,"&lt;="&amp;EOMONTH(A911,0)),"000"))</f>
        <v>PC-03/2026-186</v>
      </c>
      <c r="C911" s="5" t="s">
        <v>665</v>
      </c>
      <c r="D911" s="5" t="s">
        <v>29</v>
      </c>
      <c r="E911" s="5" t="s">
        <v>51</v>
      </c>
      <c r="F911" s="5"/>
      <c r="G911" s="5" t="s">
        <v>52</v>
      </c>
      <c r="H911" s="5" t="s">
        <v>27</v>
      </c>
      <c r="I911" s="6">
        <v>87319</v>
      </c>
      <c r="J911" s="6">
        <f>IF(D911="Thu",I911,0)</f>
        <v>0</v>
      </c>
      <c r="K911" s="6">
        <f>IF(D911="Chi",I911,0)</f>
        <v>87319</v>
      </c>
      <c r="L911" s="6" t="e">
        <f>L910+J911-K911</f>
        <v>#VALUE!</v>
      </c>
      <c r="M911" s="6">
        <f ca="1">IFERROR(__xludf.DUMMYFUNCTION("SUM(FILTER(J:J, H:H=""Tiền mặt"")) - SUM(FILTER(K:K, H:H=""Tiền mặt""))
"),959000)</f>
        <v>959000</v>
      </c>
      <c r="N911" s="6">
        <f ca="1">IFERROR(__xludf.DUMMYFUNCTION("SUM(FILTER(J:J, H:H=""Chuyển khoản"")) - SUM(FILTER(K:K, H:H=""Chuyển khoản""))
"),4468984)</f>
        <v>4468984</v>
      </c>
      <c r="O911" s="5"/>
      <c r="P911" s="5"/>
      <c r="Q911" s="5"/>
      <c r="R911" s="5"/>
      <c r="S911" s="5"/>
    </row>
    <row r="912" spans="1:19" ht="15.75" customHeight="1" x14ac:dyDescent="0.2">
      <c r="A912" s="3">
        <v>46090</v>
      </c>
      <c r="B912" s="4" t="str">
        <f>IF(A912="","","PC-"&amp;TEXT(A912,"mm/yyyy")&amp;"-"&amp;TEXT(COUNTIFS($A$2:A912,"&gt;="&amp;EOMONTH(A912,-1)+1,$A$2:A912,"&lt;="&amp;EOMONTH(A912,0)),"000"))</f>
        <v>PC-03/2026-187</v>
      </c>
      <c r="C912" s="5" t="s">
        <v>666</v>
      </c>
      <c r="D912" s="5" t="s">
        <v>29</v>
      </c>
      <c r="E912" s="5" t="s">
        <v>71</v>
      </c>
      <c r="F912" s="5"/>
      <c r="G912" s="5" t="s">
        <v>667</v>
      </c>
      <c r="H912" s="5" t="s">
        <v>27</v>
      </c>
      <c r="I912" s="6">
        <v>41000</v>
      </c>
      <c r="J912" s="6">
        <f>IF(D912="Thu",I912,0)</f>
        <v>0</v>
      </c>
      <c r="K912" s="6">
        <f>IF(D912="Chi",I912,0)</f>
        <v>41000</v>
      </c>
      <c r="L912" s="6" t="e">
        <f>L911+J912-K912</f>
        <v>#VALUE!</v>
      </c>
      <c r="M912" s="6">
        <f ca="1">IFERROR(__xludf.DUMMYFUNCTION("SUM(FILTER(J:J, H:H=""Tiền mặt"")) - SUM(FILTER(K:K, H:H=""Tiền mặt""))
"),959000)</f>
        <v>959000</v>
      </c>
      <c r="N912" s="6">
        <f ca="1">IFERROR(__xludf.DUMMYFUNCTION("SUM(FILTER(J:J, H:H=""Chuyển khoản"")) - SUM(FILTER(K:K, H:H=""Chuyển khoản""))
"),4468984)</f>
        <v>4468984</v>
      </c>
      <c r="O912" s="5"/>
      <c r="P912" s="5"/>
      <c r="Q912" s="5"/>
      <c r="R912" s="5"/>
      <c r="S912" s="5"/>
    </row>
    <row r="913" spans="1:19" ht="15.75" customHeight="1" x14ac:dyDescent="0.2">
      <c r="A913" s="3">
        <v>46088</v>
      </c>
      <c r="B913" s="4" t="str">
        <f>IF(A913="","","PC-"&amp;TEXT(A913,"mm/yyyy")&amp;"-"&amp;TEXT(COUNTIFS($A$2:A913,"&gt;="&amp;EOMONTH(A913,-1)+1,$A$2:A913,"&lt;="&amp;EOMONTH(A913,0)),"000"))</f>
        <v>PC-03/2026-188</v>
      </c>
      <c r="C913" s="5" t="s">
        <v>651</v>
      </c>
      <c r="D913" s="5" t="s">
        <v>29</v>
      </c>
      <c r="E913" s="5" t="s">
        <v>41</v>
      </c>
      <c r="F913" s="5"/>
      <c r="G913" s="5" t="s">
        <v>192</v>
      </c>
      <c r="H913" s="5" t="s">
        <v>23</v>
      </c>
      <c r="I913" s="6">
        <v>100000</v>
      </c>
      <c r="J913" s="6">
        <f>IF(D913="Thu",I913,0)</f>
        <v>0</v>
      </c>
      <c r="K913" s="6">
        <f>IF(D913="Chi",I913,0)</f>
        <v>100000</v>
      </c>
      <c r="L913" s="6" t="e">
        <f>L912+J913-K913</f>
        <v>#VALUE!</v>
      </c>
      <c r="M913" s="6">
        <f ca="1">IFERROR(__xludf.DUMMYFUNCTION("SUM(FILTER(J:J, H:H=""Tiền mặt"")) - SUM(FILTER(K:K, H:H=""Tiền mặt""))
"),959000)</f>
        <v>959000</v>
      </c>
      <c r="N913" s="6">
        <f ca="1">IFERROR(__xludf.DUMMYFUNCTION("SUM(FILTER(J:J, H:H=""Chuyển khoản"")) - SUM(FILTER(K:K, H:H=""Chuyển khoản""))
"),4468984)</f>
        <v>4468984</v>
      </c>
      <c r="O913" s="5"/>
      <c r="P913" s="5"/>
      <c r="Q913" s="5"/>
      <c r="R913" s="5"/>
      <c r="S913" s="5"/>
    </row>
    <row r="914" spans="1:19" ht="15.75" customHeight="1" x14ac:dyDescent="0.2">
      <c r="A914" s="3">
        <v>46088</v>
      </c>
      <c r="B914" s="4" t="str">
        <f>IF(A914="","","PC-"&amp;TEXT(A914,"mm/yyyy")&amp;"-"&amp;TEXT(COUNTIFS($A$2:A914,"&gt;="&amp;EOMONTH(A914,-1)+1,$A$2:A914,"&lt;="&amp;EOMONTH(A914,0)),"000"))</f>
        <v>PC-03/2026-189</v>
      </c>
      <c r="C914" s="7" t="s">
        <v>652</v>
      </c>
      <c r="D914" s="5" t="s">
        <v>29</v>
      </c>
      <c r="E914" s="5" t="s">
        <v>41</v>
      </c>
      <c r="F914" s="5"/>
      <c r="G914" s="5" t="s">
        <v>82</v>
      </c>
      <c r="H914" s="5" t="s">
        <v>23</v>
      </c>
      <c r="I914" s="6">
        <v>100000</v>
      </c>
      <c r="J914" s="6">
        <f>IF(D914="Thu",I914,0)</f>
        <v>0</v>
      </c>
      <c r="K914" s="6">
        <f>IF(D914="Chi",I914,0)</f>
        <v>100000</v>
      </c>
      <c r="L914" s="6" t="e">
        <f>L913+J914-K914</f>
        <v>#VALUE!</v>
      </c>
      <c r="M914" s="6">
        <f ca="1">IFERROR(__xludf.DUMMYFUNCTION("SUM(FILTER(J:J, H:H=""Tiền mặt"")) - SUM(FILTER(K:K, H:H=""Tiền mặt""))
"),959000)</f>
        <v>959000</v>
      </c>
      <c r="N914" s="6">
        <f ca="1">IFERROR(__xludf.DUMMYFUNCTION("SUM(FILTER(J:J, H:H=""Chuyển khoản"")) - SUM(FILTER(K:K, H:H=""Chuyển khoản""))
"),4468984)</f>
        <v>4468984</v>
      </c>
      <c r="O914" s="5"/>
      <c r="P914" s="5"/>
      <c r="Q914" s="5"/>
      <c r="R914" s="5"/>
      <c r="S914" s="5"/>
    </row>
    <row r="915" spans="1:19" ht="15.75" customHeight="1" x14ac:dyDescent="0.2">
      <c r="A915" s="3">
        <v>46088</v>
      </c>
      <c r="B915" s="4" t="str">
        <f>IF(A915="","","PC-"&amp;TEXT(A915,"mm/yyyy")&amp;"-"&amp;TEXT(COUNTIFS($A$2:A915,"&gt;="&amp;EOMONTH(A915,-1)+1,$A$2:A915,"&lt;="&amp;EOMONTH(A915,0)),"000"))</f>
        <v>PC-03/2026-190</v>
      </c>
      <c r="C915" s="5" t="s">
        <v>653</v>
      </c>
      <c r="D915" s="5" t="s">
        <v>29</v>
      </c>
      <c r="E915" s="5" t="s">
        <v>30</v>
      </c>
      <c r="F915" s="5"/>
      <c r="G915" s="7" t="s">
        <v>654</v>
      </c>
      <c r="H915" s="5" t="s">
        <v>27</v>
      </c>
      <c r="I915" s="6">
        <v>966000</v>
      </c>
      <c r="J915" s="6">
        <f>IF(D915="Thu",I915,0)</f>
        <v>0</v>
      </c>
      <c r="K915" s="6">
        <f>IF(D915="Chi",I915,0)</f>
        <v>966000</v>
      </c>
      <c r="L915" s="6" t="e">
        <f>L914+J915-K915</f>
        <v>#VALUE!</v>
      </c>
      <c r="M915" s="6">
        <f ca="1">IFERROR(__xludf.DUMMYFUNCTION("SUM(FILTER(J:J, H:H=""Tiền mặt"")) - SUM(FILTER(K:K, H:H=""Tiền mặt""))
"),959000)</f>
        <v>959000</v>
      </c>
      <c r="N915" s="6">
        <f ca="1">IFERROR(__xludf.DUMMYFUNCTION("SUM(FILTER(J:J, H:H=""Chuyển khoản"")) - SUM(FILTER(K:K, H:H=""Chuyển khoản""))
"),4468984)</f>
        <v>4468984</v>
      </c>
      <c r="O915" s="5"/>
      <c r="P915" s="5"/>
      <c r="Q915" s="5"/>
      <c r="R915" s="5"/>
      <c r="S915" s="5"/>
    </row>
    <row r="916" spans="1:19" ht="15.75" customHeight="1" x14ac:dyDescent="0.2">
      <c r="A916" s="3">
        <v>46088</v>
      </c>
      <c r="B916" s="4" t="str">
        <f>IF(A916="","","PC-"&amp;TEXT(A916,"mm/yyyy")&amp;"-"&amp;TEXT(COUNTIFS($A$2:A916,"&gt;="&amp;EOMONTH(A916,-1)+1,$A$2:A916,"&lt;="&amp;EOMONTH(A916,0)),"000"))</f>
        <v>PC-03/2026-191</v>
      </c>
      <c r="C916" s="5" t="s">
        <v>168</v>
      </c>
      <c r="D916" s="5" t="s">
        <v>29</v>
      </c>
      <c r="E916" s="5" t="s">
        <v>153</v>
      </c>
      <c r="F916" s="5"/>
      <c r="G916" s="5" t="s">
        <v>72</v>
      </c>
      <c r="H916" s="5" t="s">
        <v>27</v>
      </c>
      <c r="I916" s="6">
        <v>343000</v>
      </c>
      <c r="J916" s="6">
        <f>IF(D916="Thu",I916,0)</f>
        <v>0</v>
      </c>
      <c r="K916" s="6">
        <f>IF(D916="Chi",I916,0)</f>
        <v>343000</v>
      </c>
      <c r="L916" s="6" t="e">
        <f>L915+J916-K916</f>
        <v>#VALUE!</v>
      </c>
      <c r="M916" s="6">
        <f ca="1">IFERROR(__xludf.DUMMYFUNCTION("SUM(FILTER(J:J, H:H=""Tiền mặt"")) - SUM(FILTER(K:K, H:H=""Tiền mặt""))
"),959000)</f>
        <v>959000</v>
      </c>
      <c r="N916" s="6">
        <f ca="1">IFERROR(__xludf.DUMMYFUNCTION("SUM(FILTER(J:J, H:H=""Chuyển khoản"")) - SUM(FILTER(K:K, H:H=""Chuyển khoản""))
"),4468984)</f>
        <v>4468984</v>
      </c>
      <c r="O916" s="5"/>
      <c r="P916" s="5"/>
      <c r="Q916" s="5"/>
      <c r="R916" s="5"/>
      <c r="S916" s="5"/>
    </row>
    <row r="917" spans="1:19" ht="15.75" customHeight="1" x14ac:dyDescent="0.2">
      <c r="A917" s="3">
        <v>46087</v>
      </c>
      <c r="B917" s="4" t="str">
        <f>IF(A917="","","PC-"&amp;TEXT(A917,"mm/yyyy")&amp;"-"&amp;TEXT(COUNTIFS($A$2:A917,"&gt;="&amp;EOMONTH(A917,-1)+1,$A$2:A917,"&lt;="&amp;EOMONTH(A917,0)),"000"))</f>
        <v>PC-03/2026-192</v>
      </c>
      <c r="C917" s="5" t="s">
        <v>643</v>
      </c>
      <c r="D917" s="5" t="s">
        <v>29</v>
      </c>
      <c r="E917" s="5" t="s">
        <v>71</v>
      </c>
      <c r="F917" s="5"/>
      <c r="G917" s="5" t="s">
        <v>217</v>
      </c>
      <c r="H917" s="5" t="s">
        <v>27</v>
      </c>
      <c r="I917" s="6">
        <v>70000</v>
      </c>
      <c r="J917" s="6">
        <f>IF(D917="Thu",I917,0)</f>
        <v>0</v>
      </c>
      <c r="K917" s="6">
        <f>IF(D917="Chi",I917,0)</f>
        <v>70000</v>
      </c>
      <c r="L917" s="6" t="e">
        <f>L916+J917-K917</f>
        <v>#VALUE!</v>
      </c>
      <c r="M917" s="6">
        <f ca="1">IFERROR(__xludf.DUMMYFUNCTION("SUM(FILTER(J:J, H:H=""Tiền mặt"")) - SUM(FILTER(K:K, H:H=""Tiền mặt""))
"),959000)</f>
        <v>959000</v>
      </c>
      <c r="N917" s="6">
        <f ca="1">IFERROR(__xludf.DUMMYFUNCTION("SUM(FILTER(J:J, H:H=""Chuyển khoản"")) - SUM(FILTER(K:K, H:H=""Chuyển khoản""))
"),4468984)</f>
        <v>4468984</v>
      </c>
      <c r="O917" s="5"/>
      <c r="P917" s="5"/>
      <c r="Q917" s="5"/>
      <c r="R917" s="5"/>
      <c r="S917" s="5"/>
    </row>
    <row r="918" spans="1:19" ht="15.75" customHeight="1" x14ac:dyDescent="0.2">
      <c r="A918" s="3">
        <v>46087</v>
      </c>
      <c r="B918" s="4" t="str">
        <f>IF(A918="","","PC-"&amp;TEXT(A918,"mm/yyyy")&amp;"-"&amp;TEXT(COUNTIFS($A$2:A918,"&gt;="&amp;EOMONTH(A918,-1)+1,$A$2:A918,"&lt;="&amp;EOMONTH(A918,0)),"000"))</f>
        <v>PC-03/2026-193</v>
      </c>
      <c r="C918" s="5" t="s">
        <v>644</v>
      </c>
      <c r="D918" s="5" t="s">
        <v>29</v>
      </c>
      <c r="E918" s="5" t="s">
        <v>41</v>
      </c>
      <c r="F918" s="5"/>
      <c r="G918" s="5" t="s">
        <v>192</v>
      </c>
      <c r="H918" s="5" t="s">
        <v>23</v>
      </c>
      <c r="I918" s="6">
        <v>100000</v>
      </c>
      <c r="J918" s="6">
        <f>IF(D918="Thu",I918,0)</f>
        <v>0</v>
      </c>
      <c r="K918" s="6">
        <f>IF(D918="Chi",I918,0)</f>
        <v>100000</v>
      </c>
      <c r="L918" s="6" t="e">
        <f>L917+J918-K918</f>
        <v>#VALUE!</v>
      </c>
      <c r="M918" s="6">
        <f ca="1">IFERROR(__xludf.DUMMYFUNCTION("SUM(FILTER(J:J, H:H=""Tiền mặt"")) - SUM(FILTER(K:K, H:H=""Tiền mặt""))
"),959000)</f>
        <v>959000</v>
      </c>
      <c r="N918" s="6">
        <f ca="1">IFERROR(__xludf.DUMMYFUNCTION("SUM(FILTER(J:J, H:H=""Chuyển khoản"")) - SUM(FILTER(K:K, H:H=""Chuyển khoản""))
"),4468984)</f>
        <v>4468984</v>
      </c>
      <c r="O918" s="5"/>
      <c r="P918" s="5"/>
      <c r="Q918" s="5"/>
      <c r="R918" s="5"/>
      <c r="S918" s="5"/>
    </row>
    <row r="919" spans="1:19" ht="15.75" customHeight="1" x14ac:dyDescent="0.2">
      <c r="A919" s="3">
        <v>46087</v>
      </c>
      <c r="B919" s="4" t="str">
        <f>IF(A919="","","PC-"&amp;TEXT(A919,"mm/yyyy")&amp;"-"&amp;TEXT(COUNTIFS($A$2:A919,"&gt;="&amp;EOMONTH(A919,-1)+1,$A$2:A919,"&lt;="&amp;EOMONTH(A919,0)),"000"))</f>
        <v>PC-03/2026-194</v>
      </c>
      <c r="C919" s="5" t="s">
        <v>645</v>
      </c>
      <c r="D919" s="5" t="s">
        <v>20</v>
      </c>
      <c r="E919" s="5" t="s">
        <v>21</v>
      </c>
      <c r="F919" s="5"/>
      <c r="G919" s="5" t="s">
        <v>22</v>
      </c>
      <c r="H919" s="5" t="s">
        <v>23</v>
      </c>
      <c r="I919" s="6">
        <v>10000000</v>
      </c>
      <c r="J919" s="6">
        <f>IF(D919="Thu",I919,0)</f>
        <v>10000000</v>
      </c>
      <c r="K919" s="6">
        <f>IF(D919="Chi",I919,0)</f>
        <v>0</v>
      </c>
      <c r="L919" s="6" t="e">
        <f>L918+J919-K919</f>
        <v>#VALUE!</v>
      </c>
      <c r="M919" s="6">
        <f ca="1">IFERROR(__xludf.DUMMYFUNCTION("SUM(FILTER(J:J, H:H=""Tiền mặt"")) - SUM(FILTER(K:K, H:H=""Tiền mặt""))
"),959000)</f>
        <v>959000</v>
      </c>
      <c r="N919" s="6">
        <f ca="1">IFERROR(__xludf.DUMMYFUNCTION("SUM(FILTER(J:J, H:H=""Chuyển khoản"")) - SUM(FILTER(K:K, H:H=""Chuyển khoản""))
"),4468984)</f>
        <v>4468984</v>
      </c>
      <c r="O919" s="5"/>
      <c r="P919" s="5"/>
      <c r="Q919" s="5"/>
      <c r="R919" s="5"/>
      <c r="S919" s="5"/>
    </row>
    <row r="920" spans="1:19" ht="15.75" customHeight="1" x14ac:dyDescent="0.2">
      <c r="A920" s="3">
        <v>46087</v>
      </c>
      <c r="B920" s="4" t="str">
        <f>IF(A920="","","PC-"&amp;TEXT(A920,"mm/yyyy")&amp;"-"&amp;TEXT(COUNTIFS($A$2:A920,"&gt;="&amp;EOMONTH(A920,-1)+1,$A$2:A920,"&lt;="&amp;EOMONTH(A920,0)),"000"))</f>
        <v>PC-03/2026-195</v>
      </c>
      <c r="C920" s="5" t="s">
        <v>646</v>
      </c>
      <c r="D920" s="5" t="s">
        <v>29</v>
      </c>
      <c r="E920" s="5" t="s">
        <v>71</v>
      </c>
      <c r="F920" s="5"/>
      <c r="G920" s="5" t="s">
        <v>217</v>
      </c>
      <c r="H920" s="5" t="s">
        <v>27</v>
      </c>
      <c r="I920" s="6">
        <v>58000</v>
      </c>
      <c r="J920" s="6">
        <f>IF(D920="Thu",I920,0)</f>
        <v>0</v>
      </c>
      <c r="K920" s="6">
        <f>IF(D920="Chi",I920,0)</f>
        <v>58000</v>
      </c>
      <c r="L920" s="6" t="e">
        <f>L919+J920-K920</f>
        <v>#VALUE!</v>
      </c>
      <c r="M920" s="6">
        <f ca="1">IFERROR(__xludf.DUMMYFUNCTION("SUM(FILTER(J:J, H:H=""Tiền mặt"")) - SUM(FILTER(K:K, H:H=""Tiền mặt""))
"),959000)</f>
        <v>959000</v>
      </c>
      <c r="N920" s="6">
        <f ca="1">IFERROR(__xludf.DUMMYFUNCTION("SUM(FILTER(J:J, H:H=""Chuyển khoản"")) - SUM(FILTER(K:K, H:H=""Chuyển khoản""))
"),4468984)</f>
        <v>4468984</v>
      </c>
      <c r="O920" s="5"/>
      <c r="P920" s="5"/>
      <c r="Q920" s="5"/>
      <c r="R920" s="5"/>
      <c r="S920" s="5"/>
    </row>
    <row r="921" spans="1:19" ht="15.75" customHeight="1" x14ac:dyDescent="0.2">
      <c r="A921" s="3">
        <v>46087</v>
      </c>
      <c r="B921" s="4" t="str">
        <f>IF(A921="","","PC-"&amp;TEXT(A921,"mm/yyyy")&amp;"-"&amp;TEXT(COUNTIFS($A$2:A921,"&gt;="&amp;EOMONTH(A921,-1)+1,$A$2:A921,"&lt;="&amp;EOMONTH(A921,0)),"000"))</f>
        <v>PC-03/2026-196</v>
      </c>
      <c r="C921" s="5" t="s">
        <v>647</v>
      </c>
      <c r="D921" s="5" t="s">
        <v>29</v>
      </c>
      <c r="E921" s="5" t="s">
        <v>41</v>
      </c>
      <c r="F921" s="5"/>
      <c r="G921" s="5" t="s">
        <v>217</v>
      </c>
      <c r="H921" s="5" t="s">
        <v>23</v>
      </c>
      <c r="I921" s="6">
        <v>300000</v>
      </c>
      <c r="J921" s="6">
        <f>IF(D921="Thu",I921,0)</f>
        <v>0</v>
      </c>
      <c r="K921" s="6">
        <f>IF(D921="Chi",I921,0)</f>
        <v>300000</v>
      </c>
      <c r="L921" s="6" t="e">
        <f>L920+J921-K921</f>
        <v>#VALUE!</v>
      </c>
      <c r="M921" s="6">
        <f ca="1">IFERROR(__xludf.DUMMYFUNCTION("SUM(FILTER(J:J, H:H=""Tiền mặt"")) - SUM(FILTER(K:K, H:H=""Tiền mặt""))
"),959000)</f>
        <v>959000</v>
      </c>
      <c r="N921" s="6">
        <f ca="1">IFERROR(__xludf.DUMMYFUNCTION("SUM(FILTER(J:J, H:H=""Chuyển khoản"")) - SUM(FILTER(K:K, H:H=""Chuyển khoản""))
"),4468984)</f>
        <v>4468984</v>
      </c>
      <c r="O921" s="5"/>
      <c r="P921" s="5"/>
      <c r="Q921" s="5"/>
      <c r="R921" s="5"/>
      <c r="S921" s="5"/>
    </row>
    <row r="922" spans="1:19" ht="15.75" customHeight="1" x14ac:dyDescent="0.2">
      <c r="A922" s="3">
        <v>46087</v>
      </c>
      <c r="B922" s="4" t="str">
        <f>IF(A922="","","PC-"&amp;TEXT(A922,"mm/yyyy")&amp;"-"&amp;TEXT(COUNTIFS($A$2:A922,"&gt;="&amp;EOMONTH(A922,-1)+1,$A$2:A922,"&lt;="&amp;EOMONTH(A922,0)),"000"))</f>
        <v>PC-03/2026-197</v>
      </c>
      <c r="C922" s="7" t="s">
        <v>648</v>
      </c>
      <c r="D922" s="5" t="s">
        <v>29</v>
      </c>
      <c r="E922" s="5" t="s">
        <v>71</v>
      </c>
      <c r="F922" s="5"/>
      <c r="G922" s="5" t="s">
        <v>649</v>
      </c>
      <c r="H922" s="5" t="s">
        <v>27</v>
      </c>
      <c r="I922" s="6">
        <v>54000</v>
      </c>
      <c r="J922" s="6">
        <f>IF(D922="Thu",I922,0)</f>
        <v>0</v>
      </c>
      <c r="K922" s="6">
        <f>IF(D922="Chi",I922,0)</f>
        <v>54000</v>
      </c>
      <c r="L922" s="6" t="e">
        <f>L921+J922-K922</f>
        <v>#VALUE!</v>
      </c>
      <c r="M922" s="6">
        <f ca="1">IFERROR(__xludf.DUMMYFUNCTION("SUM(FILTER(J:J, H:H=""Tiền mặt"")) - SUM(FILTER(K:K, H:H=""Tiền mặt""))
"),959000)</f>
        <v>959000</v>
      </c>
      <c r="N922" s="6">
        <f ca="1">IFERROR(__xludf.DUMMYFUNCTION("SUM(FILTER(J:J, H:H=""Chuyển khoản"")) - SUM(FILTER(K:K, H:H=""Chuyển khoản""))
"),4468984)</f>
        <v>4468984</v>
      </c>
      <c r="O922" s="5"/>
      <c r="P922" s="5"/>
      <c r="Q922" s="5"/>
      <c r="R922" s="5"/>
      <c r="S922" s="5"/>
    </row>
    <row r="923" spans="1:19" ht="15.75" customHeight="1" x14ac:dyDescent="0.2">
      <c r="A923" s="3">
        <v>46087</v>
      </c>
      <c r="B923" s="4" t="str">
        <f>IF(A923="","","PC-"&amp;TEXT(A923,"mm/yyyy")&amp;"-"&amp;TEXT(COUNTIFS($A$2:A923,"&gt;="&amp;EOMONTH(A923,-1)+1,$A$2:A923,"&lt;="&amp;EOMONTH(A923,0)),"000"))</f>
        <v>PC-03/2026-198</v>
      </c>
      <c r="C923" s="5" t="s">
        <v>650</v>
      </c>
      <c r="D923" s="5" t="s">
        <v>29</v>
      </c>
      <c r="E923" s="5" t="s">
        <v>153</v>
      </c>
      <c r="F923" s="5"/>
      <c r="G923" s="5" t="s">
        <v>154</v>
      </c>
      <c r="H923" s="5" t="s">
        <v>27</v>
      </c>
      <c r="I923" s="6">
        <v>1300000</v>
      </c>
      <c r="J923" s="6">
        <f>IF(D923="Thu",I923,0)</f>
        <v>0</v>
      </c>
      <c r="K923" s="6">
        <f>IF(D923="Chi",I923,0)</f>
        <v>1300000</v>
      </c>
      <c r="L923" s="6" t="e">
        <f>L922+J923-K923</f>
        <v>#VALUE!</v>
      </c>
      <c r="M923" s="6">
        <f ca="1">IFERROR(__xludf.DUMMYFUNCTION("SUM(FILTER(J:J, H:H=""Tiền mặt"")) - SUM(FILTER(K:K, H:H=""Tiền mặt""))
"),959000)</f>
        <v>959000</v>
      </c>
      <c r="N923" s="6">
        <f ca="1">IFERROR(__xludf.DUMMYFUNCTION("SUM(FILTER(J:J, H:H=""Chuyển khoản"")) - SUM(FILTER(K:K, H:H=""Chuyển khoản""))
"),4468984)</f>
        <v>4468984</v>
      </c>
      <c r="O923" s="5"/>
      <c r="P923" s="5"/>
      <c r="Q923" s="5"/>
      <c r="R923" s="5"/>
      <c r="S923" s="5"/>
    </row>
    <row r="924" spans="1:19" ht="15.75" customHeight="1" x14ac:dyDescent="0.2">
      <c r="A924" s="3">
        <v>46086</v>
      </c>
      <c r="B924" s="4" t="str">
        <f>IF(A924="","","PC-"&amp;TEXT(A924,"mm/yyyy")&amp;"-"&amp;TEXT(COUNTIFS($A$2:A924,"&gt;="&amp;EOMONTH(A924,-1)+1,$A$2:A924,"&lt;="&amp;EOMONTH(A924,0)),"000"))</f>
        <v>PC-03/2026-199</v>
      </c>
      <c r="C924" s="5" t="s">
        <v>633</v>
      </c>
      <c r="D924" s="5" t="s">
        <v>29</v>
      </c>
      <c r="E924" s="5" t="s">
        <v>64</v>
      </c>
      <c r="F924" s="5"/>
      <c r="G924" s="5" t="s">
        <v>86</v>
      </c>
      <c r="H924" s="5" t="s">
        <v>27</v>
      </c>
      <c r="I924" s="6">
        <v>275000</v>
      </c>
      <c r="J924" s="6">
        <f>IF(D924="Thu",I924,0)</f>
        <v>0</v>
      </c>
      <c r="K924" s="6">
        <f>IF(D924="Chi",I924,0)</f>
        <v>275000</v>
      </c>
      <c r="L924" s="6" t="e">
        <f>L923+J924-K924</f>
        <v>#VALUE!</v>
      </c>
      <c r="M924" s="6">
        <f ca="1">IFERROR(__xludf.DUMMYFUNCTION("SUM(FILTER(J:J, H:H=""Tiền mặt"")) - SUM(FILTER(K:K, H:H=""Tiền mặt""))
"),959000)</f>
        <v>959000</v>
      </c>
      <c r="N924" s="6">
        <f ca="1">IFERROR(__xludf.DUMMYFUNCTION("SUM(FILTER(J:J, H:H=""Chuyển khoản"")) - SUM(FILTER(K:K, H:H=""Chuyển khoản""))
"),4468984)</f>
        <v>4468984</v>
      </c>
      <c r="O924" s="5"/>
      <c r="P924" s="5"/>
      <c r="Q924" s="5"/>
      <c r="R924" s="5"/>
      <c r="S924" s="5"/>
    </row>
    <row r="925" spans="1:19" ht="15.75" customHeight="1" x14ac:dyDescent="0.2">
      <c r="A925" s="3">
        <v>46086</v>
      </c>
      <c r="B925" s="4" t="str">
        <f>IF(A925="","","PC-"&amp;TEXT(A925,"mm/yyyy")&amp;"-"&amp;TEXT(COUNTIFS($A$2:A925,"&gt;="&amp;EOMONTH(A925,-1)+1,$A$2:A925,"&lt;="&amp;EOMONTH(A925,0)),"000"))</f>
        <v>PC-03/2026-200</v>
      </c>
      <c r="C925" s="7" t="s">
        <v>634</v>
      </c>
      <c r="D925" s="5" t="s">
        <v>29</v>
      </c>
      <c r="E925" s="5" t="s">
        <v>41</v>
      </c>
      <c r="F925" s="5"/>
      <c r="G925" s="5" t="s">
        <v>192</v>
      </c>
      <c r="H925" s="5" t="s">
        <v>23</v>
      </c>
      <c r="I925" s="6">
        <v>100000</v>
      </c>
      <c r="J925" s="6">
        <f>IF(D925="Thu",I925,0)</f>
        <v>0</v>
      </c>
      <c r="K925" s="6">
        <f>IF(D925="Chi",I925,0)</f>
        <v>100000</v>
      </c>
      <c r="L925" s="6" t="e">
        <f>L924+J925-K925</f>
        <v>#VALUE!</v>
      </c>
      <c r="M925" s="6">
        <f ca="1">IFERROR(__xludf.DUMMYFUNCTION("SUM(FILTER(J:J, H:H=""Tiền mặt"")) - SUM(FILTER(K:K, H:H=""Tiền mặt""))
"),959000)</f>
        <v>959000</v>
      </c>
      <c r="N925" s="6">
        <f ca="1">IFERROR(__xludf.DUMMYFUNCTION("SUM(FILTER(J:J, H:H=""Chuyển khoản"")) - SUM(FILTER(K:K, H:H=""Chuyển khoản""))
"),4468984)</f>
        <v>4468984</v>
      </c>
      <c r="O925" s="5"/>
      <c r="P925" s="5"/>
      <c r="Q925" s="5"/>
      <c r="R925" s="5"/>
      <c r="S925" s="5"/>
    </row>
    <row r="926" spans="1:19" ht="15.75" customHeight="1" x14ac:dyDescent="0.2">
      <c r="A926" s="3">
        <v>46086</v>
      </c>
      <c r="B926" s="4" t="str">
        <f>IF(A926="","","PC-"&amp;TEXT(A926,"mm/yyyy")&amp;"-"&amp;TEXT(COUNTIFS($A$2:A926,"&gt;="&amp;EOMONTH(A926,-1)+1,$A$2:A926,"&lt;="&amp;EOMONTH(A926,0)),"000"))</f>
        <v>PC-03/2026-201</v>
      </c>
      <c r="C926" s="5" t="s">
        <v>635</v>
      </c>
      <c r="D926" s="5" t="s">
        <v>29</v>
      </c>
      <c r="E926" s="5" t="s">
        <v>71</v>
      </c>
      <c r="F926" s="5"/>
      <c r="G926" s="5" t="s">
        <v>636</v>
      </c>
      <c r="H926" s="5" t="s">
        <v>27</v>
      </c>
      <c r="I926" s="6">
        <v>95000</v>
      </c>
      <c r="J926" s="6">
        <f>IF(D926="Thu",I926,0)</f>
        <v>0</v>
      </c>
      <c r="K926" s="6">
        <f>IF(D926="Chi",I926,0)</f>
        <v>95000</v>
      </c>
      <c r="L926" s="6" t="e">
        <f>L925+J926-K926</f>
        <v>#VALUE!</v>
      </c>
      <c r="M926" s="6">
        <f ca="1">IFERROR(__xludf.DUMMYFUNCTION("SUM(FILTER(J:J, H:H=""Tiền mặt"")) - SUM(FILTER(K:K, H:H=""Tiền mặt""))
"),959000)</f>
        <v>959000</v>
      </c>
      <c r="N926" s="6">
        <f ca="1">IFERROR(__xludf.DUMMYFUNCTION("SUM(FILTER(J:J, H:H=""Chuyển khoản"")) - SUM(FILTER(K:K, H:H=""Chuyển khoản""))
"),4468984)</f>
        <v>4468984</v>
      </c>
      <c r="O926" s="5"/>
      <c r="P926" s="5"/>
      <c r="Q926" s="5"/>
      <c r="R926" s="5"/>
      <c r="S926" s="5"/>
    </row>
    <row r="927" spans="1:19" ht="15.75" customHeight="1" x14ac:dyDescent="0.2">
      <c r="A927" s="3">
        <v>46086</v>
      </c>
      <c r="B927" s="4" t="str">
        <f>IF(A927="","","PC-"&amp;TEXT(A927,"mm/yyyy")&amp;"-"&amp;TEXT(COUNTIFS($A$2:A927,"&gt;="&amp;EOMONTH(A927,-1)+1,$A$2:A927,"&lt;="&amp;EOMONTH(A927,0)),"000"))</f>
        <v>PC-03/2026-202</v>
      </c>
      <c r="C927" s="5" t="s">
        <v>637</v>
      </c>
      <c r="D927" s="5" t="s">
        <v>29</v>
      </c>
      <c r="E927" s="5" t="s">
        <v>71</v>
      </c>
      <c r="F927" s="5"/>
      <c r="G927" s="5" t="s">
        <v>638</v>
      </c>
      <c r="H927" s="5" t="s">
        <v>27</v>
      </c>
      <c r="I927" s="6">
        <v>60000</v>
      </c>
      <c r="J927" s="6">
        <f>IF(D927="Thu",I927,0)</f>
        <v>0</v>
      </c>
      <c r="K927" s="6">
        <f>IF(D927="Chi",I927,0)</f>
        <v>60000</v>
      </c>
      <c r="L927" s="6" t="e">
        <f>L926+J927-K927</f>
        <v>#VALUE!</v>
      </c>
      <c r="M927" s="6">
        <f ca="1">IFERROR(__xludf.DUMMYFUNCTION("SUM(FILTER(J:J, H:H=""Tiền mặt"")) - SUM(FILTER(K:K, H:H=""Tiền mặt""))
"),959000)</f>
        <v>959000</v>
      </c>
      <c r="N927" s="6">
        <f ca="1">IFERROR(__xludf.DUMMYFUNCTION("SUM(FILTER(J:J, H:H=""Chuyển khoản"")) - SUM(FILTER(K:K, H:H=""Chuyển khoản""))
"),4468984)</f>
        <v>4468984</v>
      </c>
      <c r="O927" s="5"/>
      <c r="P927" s="5"/>
      <c r="Q927" s="5"/>
      <c r="R927" s="5"/>
      <c r="S927" s="5"/>
    </row>
    <row r="928" spans="1:19" ht="15.75" customHeight="1" x14ac:dyDescent="0.2">
      <c r="A928" s="3">
        <v>46086</v>
      </c>
      <c r="B928" s="4" t="str">
        <f>IF(A928="","","PC-"&amp;TEXT(A928,"mm/yyyy")&amp;"-"&amp;TEXT(COUNTIFS($A$2:A928,"&gt;="&amp;EOMONTH(A928,-1)+1,$A$2:A928,"&lt;="&amp;EOMONTH(A928,0)),"000"))</f>
        <v>PC-03/2026-203</v>
      </c>
      <c r="C928" s="5" t="s">
        <v>639</v>
      </c>
      <c r="D928" s="5" t="s">
        <v>29</v>
      </c>
      <c r="E928" s="5" t="s">
        <v>30</v>
      </c>
      <c r="F928" s="5"/>
      <c r="G928" s="5" t="s">
        <v>72</v>
      </c>
      <c r="H928" s="5" t="s">
        <v>27</v>
      </c>
      <c r="I928" s="6">
        <v>184000</v>
      </c>
      <c r="J928" s="6">
        <f>IF(D928="Thu",I928,0)</f>
        <v>0</v>
      </c>
      <c r="K928" s="6">
        <f>IF(D928="Chi",I928,0)</f>
        <v>184000</v>
      </c>
      <c r="L928" s="6" t="e">
        <f>L927+J928-K928</f>
        <v>#VALUE!</v>
      </c>
      <c r="M928" s="6">
        <f ca="1">IFERROR(__xludf.DUMMYFUNCTION("SUM(FILTER(J:J, H:H=""Tiền mặt"")) - SUM(FILTER(K:K, H:H=""Tiền mặt""))
"),959000)</f>
        <v>959000</v>
      </c>
      <c r="N928" s="6">
        <f ca="1">IFERROR(__xludf.DUMMYFUNCTION("SUM(FILTER(J:J, H:H=""Chuyển khoản"")) - SUM(FILTER(K:K, H:H=""Chuyển khoản""))
"),4468984)</f>
        <v>4468984</v>
      </c>
      <c r="O928" s="5"/>
      <c r="P928" s="5"/>
      <c r="Q928" s="5"/>
      <c r="R928" s="5"/>
      <c r="S928" s="5"/>
    </row>
    <row r="929" spans="1:19" ht="15.75" customHeight="1" x14ac:dyDescent="0.2">
      <c r="A929" s="3">
        <v>46086</v>
      </c>
      <c r="B929" s="4" t="str">
        <f>IF(A929="","","PC-"&amp;TEXT(A929,"mm/yyyy")&amp;"-"&amp;TEXT(COUNTIFS($A$2:A929,"&gt;="&amp;EOMONTH(A929,-1)+1,$A$2:A929,"&lt;="&amp;EOMONTH(A929,0)),"000"))</f>
        <v>PC-03/2026-204</v>
      </c>
      <c r="C929" s="5" t="s">
        <v>640</v>
      </c>
      <c r="D929" s="5" t="s">
        <v>29</v>
      </c>
      <c r="E929" s="5" t="s">
        <v>41</v>
      </c>
      <c r="F929" s="5"/>
      <c r="G929" s="5" t="s">
        <v>192</v>
      </c>
      <c r="H929" s="5" t="s">
        <v>23</v>
      </c>
      <c r="I929" s="6">
        <v>100000</v>
      </c>
      <c r="J929" s="6">
        <f>IF(D929="Thu",I929,0)</f>
        <v>0</v>
      </c>
      <c r="K929" s="6">
        <f>IF(D929="Chi",I929,0)</f>
        <v>100000</v>
      </c>
      <c r="L929" s="6" t="e">
        <f>L928+J929-K929</f>
        <v>#VALUE!</v>
      </c>
      <c r="M929" s="6">
        <f ca="1">IFERROR(__xludf.DUMMYFUNCTION("SUM(FILTER(J:J, H:H=""Tiền mặt"")) - SUM(FILTER(K:K, H:H=""Tiền mặt""))
"),959000)</f>
        <v>959000</v>
      </c>
      <c r="N929" s="6">
        <f ca="1">IFERROR(__xludf.DUMMYFUNCTION("SUM(FILTER(J:J, H:H=""Chuyển khoản"")) - SUM(FILTER(K:K, H:H=""Chuyển khoản""))
"),4468984)</f>
        <v>4468984</v>
      </c>
      <c r="O929" s="5"/>
      <c r="P929" s="5"/>
      <c r="Q929" s="5"/>
      <c r="R929" s="5"/>
      <c r="S929" s="5"/>
    </row>
    <row r="930" spans="1:19" ht="15.75" customHeight="1" x14ac:dyDescent="0.2">
      <c r="A930" s="3">
        <v>46086</v>
      </c>
      <c r="B930" s="4" t="str">
        <f>IF(A930="","","PC-"&amp;TEXT(A930,"mm/yyyy")&amp;"-"&amp;TEXT(COUNTIFS($A$2:A930,"&gt;="&amp;EOMONTH(A930,-1)+1,$A$2:A930,"&lt;="&amp;EOMONTH(A930,0)),"000"))</f>
        <v>PC-03/2026-205</v>
      </c>
      <c r="C930" s="5" t="s">
        <v>641</v>
      </c>
      <c r="D930" s="5" t="s">
        <v>29</v>
      </c>
      <c r="E930" s="5" t="s">
        <v>44</v>
      </c>
      <c r="F930" s="5"/>
      <c r="G930" s="5" t="s">
        <v>134</v>
      </c>
      <c r="H930" s="5" t="s">
        <v>23</v>
      </c>
      <c r="I930" s="6">
        <v>1500000</v>
      </c>
      <c r="J930" s="6">
        <f>IF(D930="Thu",I930,0)</f>
        <v>0</v>
      </c>
      <c r="K930" s="6">
        <f>IF(D930="Chi",I930,0)</f>
        <v>1500000</v>
      </c>
      <c r="L930" s="6" t="e">
        <f>L929+J930-K930</f>
        <v>#VALUE!</v>
      </c>
      <c r="M930" s="6">
        <f ca="1">IFERROR(__xludf.DUMMYFUNCTION("SUM(FILTER(J:J, H:H=""Tiền mặt"")) - SUM(FILTER(K:K, H:H=""Tiền mặt""))
"),959000)</f>
        <v>959000</v>
      </c>
      <c r="N930" s="6">
        <f ca="1">IFERROR(__xludf.DUMMYFUNCTION("SUM(FILTER(J:J, H:H=""Chuyển khoản"")) - SUM(FILTER(K:K, H:H=""Chuyển khoản""))
"),4468984)</f>
        <v>4468984</v>
      </c>
      <c r="O930" s="5"/>
      <c r="P930" s="5"/>
      <c r="Q930" s="5"/>
      <c r="R930" s="5"/>
      <c r="S930" s="5"/>
    </row>
    <row r="931" spans="1:19" ht="15.75" customHeight="1" x14ac:dyDescent="0.2">
      <c r="A931" s="3">
        <v>46086</v>
      </c>
      <c r="B931" s="4" t="str">
        <f>IF(A931="","","PC-"&amp;TEXT(A931,"mm/yyyy")&amp;"-"&amp;TEXT(COUNTIFS($A$2:A931,"&gt;="&amp;EOMONTH(A931,-1)+1,$A$2:A931,"&lt;="&amp;EOMONTH(A931,0)),"000"))</f>
        <v>PC-03/2026-206</v>
      </c>
      <c r="C931" s="5" t="s">
        <v>642</v>
      </c>
      <c r="D931" s="5" t="s">
        <v>29</v>
      </c>
      <c r="E931" s="5" t="s">
        <v>47</v>
      </c>
      <c r="F931" s="5"/>
      <c r="G931" s="5" t="s">
        <v>48</v>
      </c>
      <c r="H931" s="5" t="s">
        <v>23</v>
      </c>
      <c r="I931" s="6">
        <v>50000</v>
      </c>
      <c r="J931" s="6">
        <f>IF(D931="Thu",I931,0)</f>
        <v>0</v>
      </c>
      <c r="K931" s="6">
        <f>IF(D931="Chi",I931,0)</f>
        <v>50000</v>
      </c>
      <c r="L931" s="6" t="e">
        <f>L930+J931-K931</f>
        <v>#VALUE!</v>
      </c>
      <c r="M931" s="6">
        <f ca="1">IFERROR(__xludf.DUMMYFUNCTION("SUM(FILTER(J:J, H:H=""Tiền mặt"")) - SUM(FILTER(K:K, H:H=""Tiền mặt""))
"),959000)</f>
        <v>959000</v>
      </c>
      <c r="N931" s="6">
        <f ca="1">IFERROR(__xludf.DUMMYFUNCTION("SUM(FILTER(J:J, H:H=""Chuyển khoản"")) - SUM(FILTER(K:K, H:H=""Chuyển khoản""))
"),4468984)</f>
        <v>4468984</v>
      </c>
      <c r="O931" s="5"/>
      <c r="P931" s="5"/>
      <c r="Q931" s="5"/>
      <c r="R931" s="5"/>
      <c r="S931" s="5"/>
    </row>
    <row r="932" spans="1:19" ht="15.75" customHeight="1" x14ac:dyDescent="0.2">
      <c r="A932" s="3">
        <v>46085</v>
      </c>
      <c r="B932" s="4" t="str">
        <f>IF(A932="","","PC-"&amp;TEXT(A932,"mm/yyyy")&amp;"-"&amp;TEXT(COUNTIFS($A$2:A932,"&gt;="&amp;EOMONTH(A932,-1)+1,$A$2:A932,"&lt;="&amp;EOMONTH(A932,0)),"000"))</f>
        <v>PC-03/2026-207</v>
      </c>
      <c r="C932" s="5" t="s">
        <v>625</v>
      </c>
      <c r="D932" s="5" t="s">
        <v>29</v>
      </c>
      <c r="E932" s="5" t="s">
        <v>41</v>
      </c>
      <c r="F932" s="5"/>
      <c r="G932" s="5" t="s">
        <v>82</v>
      </c>
      <c r="H932" s="5" t="s">
        <v>23</v>
      </c>
      <c r="I932" s="6">
        <v>100000</v>
      </c>
      <c r="J932" s="6">
        <f>IF(D932="Thu",I932,0)</f>
        <v>0</v>
      </c>
      <c r="K932" s="6">
        <f>IF(D932="Chi",I932,0)</f>
        <v>100000</v>
      </c>
      <c r="L932" s="6" t="e">
        <f>L931+J932-K932</f>
        <v>#VALUE!</v>
      </c>
      <c r="M932" s="6">
        <f ca="1">IFERROR(__xludf.DUMMYFUNCTION("SUM(FILTER(J:J, H:H=""Tiền mặt"")) - SUM(FILTER(K:K, H:H=""Tiền mặt""))
"),959000)</f>
        <v>959000</v>
      </c>
      <c r="N932" s="6">
        <f ca="1">IFERROR(__xludf.DUMMYFUNCTION("SUM(FILTER(J:J, H:H=""Chuyển khoản"")) - SUM(FILTER(K:K, H:H=""Chuyển khoản""))
"),4468984)</f>
        <v>4468984</v>
      </c>
      <c r="O932" s="5"/>
      <c r="P932" s="5"/>
      <c r="Q932" s="5"/>
      <c r="R932" s="5"/>
      <c r="S932" s="5"/>
    </row>
    <row r="933" spans="1:19" ht="15.75" customHeight="1" x14ac:dyDescent="0.2">
      <c r="A933" s="3">
        <v>46085</v>
      </c>
      <c r="B933" s="4" t="str">
        <f>IF(A933="","","PC-"&amp;TEXT(A933,"mm/yyyy")&amp;"-"&amp;TEXT(COUNTIFS($A$2:A933,"&gt;="&amp;EOMONTH(A933,-1)+1,$A$2:A933,"&lt;="&amp;EOMONTH(A933,0)),"000"))</f>
        <v>PC-03/2026-208</v>
      </c>
      <c r="C933" s="5" t="s">
        <v>626</v>
      </c>
      <c r="D933" s="5" t="s">
        <v>29</v>
      </c>
      <c r="E933" s="5" t="s">
        <v>71</v>
      </c>
      <c r="F933" s="5"/>
      <c r="G933" s="5" t="s">
        <v>219</v>
      </c>
      <c r="H933" s="5" t="s">
        <v>27</v>
      </c>
      <c r="I933" s="6">
        <v>75000</v>
      </c>
      <c r="J933" s="6">
        <f>IF(D933="Thu",I933,0)</f>
        <v>0</v>
      </c>
      <c r="K933" s="6">
        <f>IF(D933="Chi",I933,0)</f>
        <v>75000</v>
      </c>
      <c r="L933" s="6" t="e">
        <f>L932+J933-K933</f>
        <v>#VALUE!</v>
      </c>
      <c r="M933" s="6">
        <f ca="1">IFERROR(__xludf.DUMMYFUNCTION("SUM(FILTER(J:J, H:H=""Tiền mặt"")) - SUM(FILTER(K:K, H:H=""Tiền mặt""))
"),959000)</f>
        <v>959000</v>
      </c>
      <c r="N933" s="6">
        <f ca="1">IFERROR(__xludf.DUMMYFUNCTION("SUM(FILTER(J:J, H:H=""Chuyển khoản"")) - SUM(FILTER(K:K, H:H=""Chuyển khoản""))
"),4468984)</f>
        <v>4468984</v>
      </c>
      <c r="O933" s="5"/>
      <c r="P933" s="5"/>
      <c r="Q933" s="5"/>
      <c r="R933" s="5"/>
      <c r="S933" s="5"/>
    </row>
    <row r="934" spans="1:19" ht="15.75" customHeight="1" x14ac:dyDescent="0.2">
      <c r="A934" s="3">
        <v>46085</v>
      </c>
      <c r="B934" s="4" t="str">
        <f>IF(A934="","","PC-"&amp;TEXT(A934,"mm/yyyy")&amp;"-"&amp;TEXT(COUNTIFS($A$2:A934,"&gt;="&amp;EOMONTH(A934,-1)+1,$A$2:A934,"&lt;="&amp;EOMONTH(A934,0)),"000"))</f>
        <v>PC-03/2026-209</v>
      </c>
      <c r="C934" s="5" t="s">
        <v>627</v>
      </c>
      <c r="D934" s="5" t="s">
        <v>29</v>
      </c>
      <c r="E934" s="5" t="s">
        <v>41</v>
      </c>
      <c r="F934" s="5"/>
      <c r="G934" s="5" t="s">
        <v>192</v>
      </c>
      <c r="H934" s="5" t="s">
        <v>23</v>
      </c>
      <c r="I934" s="6">
        <v>100000</v>
      </c>
      <c r="J934" s="6">
        <f>IF(D934="Thu",I934,0)</f>
        <v>0</v>
      </c>
      <c r="K934" s="6">
        <f>IF(D934="Chi",I934,0)</f>
        <v>100000</v>
      </c>
      <c r="L934" s="6" t="e">
        <f>L933+J934-K934</f>
        <v>#VALUE!</v>
      </c>
      <c r="M934" s="6">
        <f ca="1">IFERROR(__xludf.DUMMYFUNCTION("SUM(FILTER(J:J, H:H=""Tiền mặt"")) - SUM(FILTER(K:K, H:H=""Tiền mặt""))
"),959000)</f>
        <v>959000</v>
      </c>
      <c r="N934" s="6">
        <f ca="1">IFERROR(__xludf.DUMMYFUNCTION("SUM(FILTER(J:J, H:H=""Chuyển khoản"")) - SUM(FILTER(K:K, H:H=""Chuyển khoản""))
"),4468984)</f>
        <v>4468984</v>
      </c>
      <c r="O934" s="5"/>
      <c r="P934" s="5"/>
      <c r="Q934" s="5"/>
      <c r="R934" s="5"/>
      <c r="S934" s="5"/>
    </row>
    <row r="935" spans="1:19" ht="15.75" customHeight="1" x14ac:dyDescent="0.2">
      <c r="A935" s="3">
        <v>46085</v>
      </c>
      <c r="B935" s="4" t="str">
        <f>IF(A935="","","PC-"&amp;TEXT(A935,"mm/yyyy")&amp;"-"&amp;TEXT(COUNTIFS($A$2:A935,"&gt;="&amp;EOMONTH(A935,-1)+1,$A$2:A935,"&lt;="&amp;EOMONTH(A935,0)),"000"))</f>
        <v>PC-03/2026-210</v>
      </c>
      <c r="C935" s="5" t="s">
        <v>628</v>
      </c>
      <c r="D935" s="5" t="s">
        <v>29</v>
      </c>
      <c r="E935" s="5" t="s">
        <v>41</v>
      </c>
      <c r="F935" s="5"/>
      <c r="G935" s="5" t="s">
        <v>82</v>
      </c>
      <c r="H935" s="5" t="s">
        <v>23</v>
      </c>
      <c r="I935" s="6">
        <v>100000</v>
      </c>
      <c r="J935" s="6">
        <f>IF(D935="Thu",I935,0)</f>
        <v>0</v>
      </c>
      <c r="K935" s="6">
        <f>IF(D935="Chi",I935,0)</f>
        <v>100000</v>
      </c>
      <c r="L935" s="6" t="e">
        <f>L934+J935-K935</f>
        <v>#VALUE!</v>
      </c>
      <c r="M935" s="6">
        <f ca="1">IFERROR(__xludf.DUMMYFUNCTION("SUM(FILTER(J:J, H:H=""Tiền mặt"")) - SUM(FILTER(K:K, H:H=""Tiền mặt""))
"),959000)</f>
        <v>959000</v>
      </c>
      <c r="N935" s="6">
        <f ca="1">IFERROR(__xludf.DUMMYFUNCTION("SUM(FILTER(J:J, H:H=""Chuyển khoản"")) - SUM(FILTER(K:K, H:H=""Chuyển khoản""))
"),4468984)</f>
        <v>4468984</v>
      </c>
      <c r="O935" s="5"/>
      <c r="P935" s="5"/>
      <c r="Q935" s="5"/>
      <c r="R935" s="5"/>
      <c r="S935" s="5"/>
    </row>
    <row r="936" spans="1:19" ht="15.75" customHeight="1" x14ac:dyDescent="0.2">
      <c r="A936" s="3">
        <v>46085</v>
      </c>
      <c r="B936" s="4" t="str">
        <f>IF(A936="","","PC-"&amp;TEXT(A936,"mm/yyyy")&amp;"-"&amp;TEXT(COUNTIFS($A$2:A936,"&gt;="&amp;EOMONTH(A936,-1)+1,$A$2:A936,"&lt;="&amp;EOMONTH(A936,0)),"000"))</f>
        <v>PC-03/2026-211</v>
      </c>
      <c r="C936" s="7" t="s">
        <v>629</v>
      </c>
      <c r="D936" s="5" t="s">
        <v>29</v>
      </c>
      <c r="E936" s="5" t="s">
        <v>141</v>
      </c>
      <c r="F936" s="5"/>
      <c r="G936" s="5" t="s">
        <v>52</v>
      </c>
      <c r="H936" s="5" t="s">
        <v>27</v>
      </c>
      <c r="I936" s="6">
        <v>1723000</v>
      </c>
      <c r="J936" s="6">
        <f>IF(D936="Thu",I936,0)</f>
        <v>0</v>
      </c>
      <c r="K936" s="6">
        <f>IF(D936="Chi",I936,0)</f>
        <v>1723000</v>
      </c>
      <c r="L936" s="6" t="e">
        <f>L935+J936-K936</f>
        <v>#VALUE!</v>
      </c>
      <c r="M936" s="6">
        <f ca="1">IFERROR(__xludf.DUMMYFUNCTION("SUM(FILTER(J:J, H:H=""Tiền mặt"")) - SUM(FILTER(K:K, H:H=""Tiền mặt""))
"),959000)</f>
        <v>959000</v>
      </c>
      <c r="N936" s="6">
        <f ca="1">IFERROR(__xludf.DUMMYFUNCTION("SUM(FILTER(J:J, H:H=""Chuyển khoản"")) - SUM(FILTER(K:K, H:H=""Chuyển khoản""))
"),4468984)</f>
        <v>4468984</v>
      </c>
      <c r="O936" s="5"/>
      <c r="P936" s="5"/>
      <c r="Q936" s="5"/>
      <c r="R936" s="5"/>
      <c r="S936" s="5"/>
    </row>
    <row r="937" spans="1:19" ht="15.75" customHeight="1" x14ac:dyDescent="0.2">
      <c r="A937" s="3">
        <v>46085</v>
      </c>
      <c r="B937" s="4" t="str">
        <f>IF(A937="","","PC-"&amp;TEXT(A937,"mm/yyyy")&amp;"-"&amp;TEXT(COUNTIFS($A$2:A937,"&gt;="&amp;EOMONTH(A937,-1)+1,$A$2:A937,"&lt;="&amp;EOMONTH(A937,0)),"000"))</f>
        <v>PC-03/2026-212</v>
      </c>
      <c r="C937" s="5" t="s">
        <v>630</v>
      </c>
      <c r="D937" s="5" t="s">
        <v>29</v>
      </c>
      <c r="E937" s="5" t="s">
        <v>30</v>
      </c>
      <c r="F937" s="5"/>
      <c r="G937" s="5" t="s">
        <v>72</v>
      </c>
      <c r="H937" s="5" t="s">
        <v>27</v>
      </c>
      <c r="I937" s="6">
        <v>49000</v>
      </c>
      <c r="J937" s="6">
        <f>IF(D937="Thu",I937,0)</f>
        <v>0</v>
      </c>
      <c r="K937" s="6">
        <f>IF(D937="Chi",I937,0)</f>
        <v>49000</v>
      </c>
      <c r="L937" s="6" t="e">
        <f>L936+J937-K937</f>
        <v>#VALUE!</v>
      </c>
      <c r="M937" s="6">
        <f ca="1">IFERROR(__xludf.DUMMYFUNCTION("SUM(FILTER(J:J, H:H=""Tiền mặt"")) - SUM(FILTER(K:K, H:H=""Tiền mặt""))
"),959000)</f>
        <v>959000</v>
      </c>
      <c r="N937" s="6">
        <f ca="1">IFERROR(__xludf.DUMMYFUNCTION("SUM(FILTER(J:J, H:H=""Chuyển khoản"")) - SUM(FILTER(K:K, H:H=""Chuyển khoản""))
"),4468984)</f>
        <v>4468984</v>
      </c>
      <c r="O937" s="5"/>
      <c r="P937" s="5"/>
      <c r="Q937" s="5"/>
      <c r="R937" s="5"/>
      <c r="S937" s="5"/>
    </row>
    <row r="938" spans="1:19" ht="15.75" customHeight="1" x14ac:dyDescent="0.2">
      <c r="A938" s="3">
        <v>46085</v>
      </c>
      <c r="B938" s="4" t="str">
        <f>IF(A938="","","PC-"&amp;TEXT(A938,"mm/yyyy")&amp;"-"&amp;TEXT(COUNTIFS($A$2:A938,"&gt;="&amp;EOMONTH(A938,-1)+1,$A$2:A938,"&lt;="&amp;EOMONTH(A938,0)),"000"))</f>
        <v>PC-03/2026-213</v>
      </c>
      <c r="C938" s="5" t="s">
        <v>631</v>
      </c>
      <c r="D938" s="5" t="s">
        <v>29</v>
      </c>
      <c r="E938" s="5" t="s">
        <v>88</v>
      </c>
      <c r="F938" s="5"/>
      <c r="G938" s="5" t="s">
        <v>632</v>
      </c>
      <c r="H938" s="5" t="s">
        <v>23</v>
      </c>
      <c r="I938" s="6">
        <v>2000000</v>
      </c>
      <c r="J938" s="6">
        <f>IF(D938="Thu",I938,0)</f>
        <v>0</v>
      </c>
      <c r="K938" s="6">
        <f>IF(D938="Chi",I938,0)</f>
        <v>2000000</v>
      </c>
      <c r="L938" s="6" t="e">
        <f>L937+J938-K938</f>
        <v>#VALUE!</v>
      </c>
      <c r="M938" s="6">
        <f ca="1">IFERROR(__xludf.DUMMYFUNCTION("SUM(FILTER(J:J, H:H=""Tiền mặt"")) - SUM(FILTER(K:K, H:H=""Tiền mặt""))
"),959000)</f>
        <v>959000</v>
      </c>
      <c r="N938" s="6">
        <f ca="1">IFERROR(__xludf.DUMMYFUNCTION("SUM(FILTER(J:J, H:H=""Chuyển khoản"")) - SUM(FILTER(K:K, H:H=""Chuyển khoản""))
"),4468984)</f>
        <v>4468984</v>
      </c>
      <c r="O938" s="5"/>
      <c r="P938" s="5"/>
      <c r="Q938" s="5"/>
      <c r="R938" s="5"/>
      <c r="S938" s="5"/>
    </row>
    <row r="939" spans="1:19" ht="15.75" customHeight="1" x14ac:dyDescent="0.2">
      <c r="A939" s="3">
        <v>46084</v>
      </c>
      <c r="B939" s="4" t="str">
        <f>IF(A939="","","PC-"&amp;TEXT(A939,"mm/yyyy")&amp;"-"&amp;TEXT(COUNTIFS($A$2:A939,"&gt;="&amp;EOMONTH(A939,-1)+1,$A$2:A939,"&lt;="&amp;EOMONTH(A939,0)),"000"))</f>
        <v>PC-03/2026-214</v>
      </c>
      <c r="C939" s="5" t="s">
        <v>610</v>
      </c>
      <c r="D939" s="5" t="s">
        <v>29</v>
      </c>
      <c r="E939" s="5" t="s">
        <v>44</v>
      </c>
      <c r="F939" s="5"/>
      <c r="G939" s="5" t="s">
        <v>134</v>
      </c>
      <c r="H939" s="5" t="s">
        <v>23</v>
      </c>
      <c r="I939" s="6">
        <v>1500000</v>
      </c>
      <c r="J939" s="6">
        <f>IF(D939="Thu",I939,0)</f>
        <v>0</v>
      </c>
      <c r="K939" s="6">
        <f>IF(D939="Chi",I939,0)</f>
        <v>1500000</v>
      </c>
      <c r="L939" s="6" t="e">
        <f>L938+J939-K939</f>
        <v>#VALUE!</v>
      </c>
      <c r="M939" s="6">
        <f ca="1">IFERROR(__xludf.DUMMYFUNCTION("SUM(FILTER(J:J, H:H=""Tiền mặt"")) - SUM(FILTER(K:K, H:H=""Tiền mặt""))
"),959000)</f>
        <v>959000</v>
      </c>
      <c r="N939" s="6">
        <f ca="1">IFERROR(__xludf.DUMMYFUNCTION("SUM(FILTER(J:J, H:H=""Chuyển khoản"")) - SUM(FILTER(K:K, H:H=""Chuyển khoản""))
"),4468984)</f>
        <v>4468984</v>
      </c>
      <c r="O939" s="5"/>
      <c r="P939" s="5"/>
      <c r="Q939" s="5"/>
      <c r="R939" s="5"/>
      <c r="S939" s="5"/>
    </row>
    <row r="940" spans="1:19" ht="15.75" customHeight="1" x14ac:dyDescent="0.2">
      <c r="A940" s="3">
        <v>46084</v>
      </c>
      <c r="B940" s="4" t="str">
        <f>IF(A940="","","PC-"&amp;TEXT(A940,"mm/yyyy")&amp;"-"&amp;TEXT(COUNTIFS($A$2:A940,"&gt;="&amp;EOMONTH(A940,-1)+1,$A$2:A940,"&lt;="&amp;EOMONTH(A940,0)),"000"))</f>
        <v>PC-03/2026-215</v>
      </c>
      <c r="C940" s="5" t="s">
        <v>611</v>
      </c>
      <c r="D940" s="5" t="s">
        <v>29</v>
      </c>
      <c r="E940" s="5" t="s">
        <v>47</v>
      </c>
      <c r="F940" s="5"/>
      <c r="G940" s="5" t="s">
        <v>48</v>
      </c>
      <c r="H940" s="5" t="s">
        <v>23</v>
      </c>
      <c r="I940" s="6">
        <v>50000</v>
      </c>
      <c r="J940" s="6">
        <f>IF(D940="Thu",I940,0)</f>
        <v>0</v>
      </c>
      <c r="K940" s="6">
        <f>IF(D940="Chi",I940,0)</f>
        <v>50000</v>
      </c>
      <c r="L940" s="6" t="e">
        <f>L939+J940-K940</f>
        <v>#VALUE!</v>
      </c>
      <c r="M940" s="6">
        <f ca="1">IFERROR(__xludf.DUMMYFUNCTION("SUM(FILTER(J:J, H:H=""Tiền mặt"")) - SUM(FILTER(K:K, H:H=""Tiền mặt""))
"),959000)</f>
        <v>959000</v>
      </c>
      <c r="N940" s="6">
        <f ca="1">IFERROR(__xludf.DUMMYFUNCTION("SUM(FILTER(J:J, H:H=""Chuyển khoản"")) - SUM(FILTER(K:K, H:H=""Chuyển khoản""))
"),4468984)</f>
        <v>4468984</v>
      </c>
      <c r="O940" s="5"/>
      <c r="P940" s="5"/>
      <c r="Q940" s="5"/>
      <c r="R940" s="5"/>
      <c r="S940" s="5"/>
    </row>
    <row r="941" spans="1:19" ht="15.75" customHeight="1" x14ac:dyDescent="0.2">
      <c r="A941" s="3">
        <v>46084</v>
      </c>
      <c r="B941" s="4" t="str">
        <f>IF(A941="","","PC-"&amp;TEXT(A941,"mm/yyyy")&amp;"-"&amp;TEXT(COUNTIFS($A$2:A941,"&gt;="&amp;EOMONTH(A941,-1)+1,$A$2:A941,"&lt;="&amp;EOMONTH(A941,0)),"000"))</f>
        <v>PC-03/2026-216</v>
      </c>
      <c r="C941" s="5" t="s">
        <v>612</v>
      </c>
      <c r="D941" s="5" t="s">
        <v>29</v>
      </c>
      <c r="E941" s="5" t="s">
        <v>141</v>
      </c>
      <c r="F941" s="5"/>
      <c r="G941" s="5" t="s">
        <v>52</v>
      </c>
      <c r="H941" s="5" t="s">
        <v>27</v>
      </c>
      <c r="I941" s="6">
        <v>1574000</v>
      </c>
      <c r="J941" s="6">
        <f>IF(D941="Thu",I941,0)</f>
        <v>0</v>
      </c>
      <c r="K941" s="6">
        <f>IF(D941="Chi",I941,0)</f>
        <v>1574000</v>
      </c>
      <c r="L941" s="6" t="e">
        <f>L940+J941-K941</f>
        <v>#VALUE!</v>
      </c>
      <c r="M941" s="6">
        <f ca="1">IFERROR(__xludf.DUMMYFUNCTION("SUM(FILTER(J:J, H:H=""Tiền mặt"")) - SUM(FILTER(K:K, H:H=""Tiền mặt""))
"),959000)</f>
        <v>959000</v>
      </c>
      <c r="N941" s="6">
        <f ca="1">IFERROR(__xludf.DUMMYFUNCTION("SUM(FILTER(J:J, H:H=""Chuyển khoản"")) - SUM(FILTER(K:K, H:H=""Chuyển khoản""))
"),4468984)</f>
        <v>4468984</v>
      </c>
      <c r="O941" s="5"/>
      <c r="P941" s="5"/>
      <c r="Q941" s="5"/>
      <c r="R941" s="5"/>
      <c r="S941" s="5"/>
    </row>
    <row r="942" spans="1:19" ht="15.75" customHeight="1" x14ac:dyDescent="0.2">
      <c r="A942" s="3">
        <v>46084</v>
      </c>
      <c r="B942" s="4" t="str">
        <f>IF(A942="","","PC-"&amp;TEXT(A942,"mm/yyyy")&amp;"-"&amp;TEXT(COUNTIFS($A$2:A942,"&gt;="&amp;EOMONTH(A942,-1)+1,$A$2:A942,"&lt;="&amp;EOMONTH(A942,0)),"000"))</f>
        <v>PC-03/2026-217</v>
      </c>
      <c r="C942" s="5" t="s">
        <v>613</v>
      </c>
      <c r="D942" s="5" t="s">
        <v>29</v>
      </c>
      <c r="E942" s="5" t="s">
        <v>41</v>
      </c>
      <c r="F942" s="5"/>
      <c r="G942" s="5" t="s">
        <v>82</v>
      </c>
      <c r="H942" s="5" t="s">
        <v>23</v>
      </c>
      <c r="I942" s="6">
        <v>100000</v>
      </c>
      <c r="J942" s="6">
        <f>IF(D942="Thu",I942,0)</f>
        <v>0</v>
      </c>
      <c r="K942" s="6">
        <f>IF(D942="Chi",I942,0)</f>
        <v>100000</v>
      </c>
      <c r="L942" s="6" t="e">
        <f>L941+J942-K942</f>
        <v>#VALUE!</v>
      </c>
      <c r="M942" s="6">
        <f ca="1">IFERROR(__xludf.DUMMYFUNCTION("SUM(FILTER(J:J, H:H=""Tiền mặt"")) - SUM(FILTER(K:K, H:H=""Tiền mặt""))
"),959000)</f>
        <v>959000</v>
      </c>
      <c r="N942" s="6">
        <f ca="1">IFERROR(__xludf.DUMMYFUNCTION("SUM(FILTER(J:J, H:H=""Chuyển khoản"")) - SUM(FILTER(K:K, H:H=""Chuyển khoản""))
"),4468984)</f>
        <v>4468984</v>
      </c>
      <c r="O942" s="5"/>
      <c r="P942" s="5"/>
      <c r="Q942" s="5"/>
      <c r="R942" s="5"/>
      <c r="S942" s="5"/>
    </row>
    <row r="943" spans="1:19" ht="15.75" customHeight="1" x14ac:dyDescent="0.2">
      <c r="A943" s="3">
        <v>46084</v>
      </c>
      <c r="B943" s="4" t="str">
        <f>IF(A943="","","PC-"&amp;TEXT(A943,"mm/yyyy")&amp;"-"&amp;TEXT(COUNTIFS($A$2:A943,"&gt;="&amp;EOMONTH(A943,-1)+1,$A$2:A943,"&lt;="&amp;EOMONTH(A943,0)),"000"))</f>
        <v>PC-03/2026-218</v>
      </c>
      <c r="C943" s="7" t="s">
        <v>614</v>
      </c>
      <c r="D943" s="5" t="s">
        <v>29</v>
      </c>
      <c r="E943" s="5" t="s">
        <v>33</v>
      </c>
      <c r="F943" s="5"/>
      <c r="G943" s="5" t="s">
        <v>350</v>
      </c>
      <c r="H943" s="5" t="s">
        <v>23</v>
      </c>
      <c r="I943" s="6">
        <v>250000</v>
      </c>
      <c r="J943" s="6">
        <f>IF(D943="Thu",I943,0)</f>
        <v>0</v>
      </c>
      <c r="K943" s="6">
        <f>IF(D943="Chi",I943,0)</f>
        <v>250000</v>
      </c>
      <c r="L943" s="6" t="e">
        <f>L942+J943-K943</f>
        <v>#VALUE!</v>
      </c>
      <c r="M943" s="6">
        <f ca="1">IFERROR(__xludf.DUMMYFUNCTION("SUM(FILTER(J:J, H:H=""Tiền mặt"")) - SUM(FILTER(K:K, H:H=""Tiền mặt""))
"),959000)</f>
        <v>959000</v>
      </c>
      <c r="N943" s="6">
        <f ca="1">IFERROR(__xludf.DUMMYFUNCTION("SUM(FILTER(J:J, H:H=""Chuyển khoản"")) - SUM(FILTER(K:K, H:H=""Chuyển khoản""))
"),4468984)</f>
        <v>4468984</v>
      </c>
      <c r="O943" s="5"/>
      <c r="P943" s="5"/>
      <c r="Q943" s="5"/>
      <c r="R943" s="5"/>
      <c r="S943" s="5"/>
    </row>
    <row r="944" spans="1:19" ht="15.75" customHeight="1" x14ac:dyDescent="0.2">
      <c r="A944" s="3">
        <v>46084</v>
      </c>
      <c r="B944" s="4" t="str">
        <f>IF(A944="","","PC-"&amp;TEXT(A944,"mm/yyyy")&amp;"-"&amp;TEXT(COUNTIFS($A$2:A944,"&gt;="&amp;EOMONTH(A944,-1)+1,$A$2:A944,"&lt;="&amp;EOMONTH(A944,0)),"000"))</f>
        <v>PC-03/2026-219</v>
      </c>
      <c r="C944" s="7" t="s">
        <v>615</v>
      </c>
      <c r="D944" s="5" t="s">
        <v>29</v>
      </c>
      <c r="E944" s="5" t="s">
        <v>41</v>
      </c>
      <c r="F944" s="5"/>
      <c r="G944" s="5" t="s">
        <v>82</v>
      </c>
      <c r="H944" s="5" t="s">
        <v>23</v>
      </c>
      <c r="I944" s="6">
        <v>100000</v>
      </c>
      <c r="J944" s="6">
        <f>IF(D944="Thu",I944,0)</f>
        <v>0</v>
      </c>
      <c r="K944" s="6">
        <f>IF(D944="Chi",I944,0)</f>
        <v>100000</v>
      </c>
      <c r="L944" s="6" t="e">
        <f>L943+J944-K944</f>
        <v>#VALUE!</v>
      </c>
      <c r="M944" s="6">
        <f ca="1">IFERROR(__xludf.DUMMYFUNCTION("SUM(FILTER(J:J, H:H=""Tiền mặt"")) - SUM(FILTER(K:K, H:H=""Tiền mặt""))
"),959000)</f>
        <v>959000</v>
      </c>
      <c r="N944" s="6">
        <f ca="1">IFERROR(__xludf.DUMMYFUNCTION("SUM(FILTER(J:J, H:H=""Chuyển khoản"")) - SUM(FILTER(K:K, H:H=""Chuyển khoản""))
"),4468984)</f>
        <v>4468984</v>
      </c>
      <c r="O944" s="5"/>
      <c r="P944" s="5"/>
      <c r="Q944" s="5"/>
      <c r="R944" s="5"/>
      <c r="S944" s="5"/>
    </row>
    <row r="945" spans="1:19" ht="15.75" customHeight="1" x14ac:dyDescent="0.2">
      <c r="A945" s="3">
        <v>46084</v>
      </c>
      <c r="B945" s="4" t="str">
        <f>IF(A945="","","PC-"&amp;TEXT(A945,"mm/yyyy")&amp;"-"&amp;TEXT(COUNTIFS($A$2:A945,"&gt;="&amp;EOMONTH(A945,-1)+1,$A$2:A945,"&lt;="&amp;EOMONTH(A945,0)),"000"))</f>
        <v>PC-03/2026-220</v>
      </c>
      <c r="C945" s="5" t="s">
        <v>616</v>
      </c>
      <c r="D945" s="5" t="s">
        <v>29</v>
      </c>
      <c r="E945" s="5" t="s">
        <v>41</v>
      </c>
      <c r="F945" s="5"/>
      <c r="G945" s="5" t="s">
        <v>192</v>
      </c>
      <c r="H945" s="5" t="s">
        <v>23</v>
      </c>
      <c r="I945" s="6">
        <v>100000</v>
      </c>
      <c r="J945" s="6">
        <f>IF(D945="Thu",I945,0)</f>
        <v>0</v>
      </c>
      <c r="K945" s="6">
        <f>IF(D945="Chi",I945,0)</f>
        <v>100000</v>
      </c>
      <c r="L945" s="6" t="e">
        <f>L944+J945-K945</f>
        <v>#VALUE!</v>
      </c>
      <c r="M945" s="6">
        <f ca="1">IFERROR(__xludf.DUMMYFUNCTION("SUM(FILTER(J:J, H:H=""Tiền mặt"")) - SUM(FILTER(K:K, H:H=""Tiền mặt""))
"),959000)</f>
        <v>959000</v>
      </c>
      <c r="N945" s="6">
        <f ca="1">IFERROR(__xludf.DUMMYFUNCTION("SUM(FILTER(J:J, H:H=""Chuyển khoản"")) - SUM(FILTER(K:K, H:H=""Chuyển khoản""))
"),4468984)</f>
        <v>4468984</v>
      </c>
      <c r="O945" s="5"/>
      <c r="P945" s="5"/>
      <c r="Q945" s="5"/>
      <c r="R945" s="5"/>
      <c r="S945" s="5"/>
    </row>
    <row r="946" spans="1:19" ht="15.75" customHeight="1" x14ac:dyDescent="0.2">
      <c r="A946" s="3">
        <v>46084</v>
      </c>
      <c r="B946" s="4" t="str">
        <f>IF(A946="","","PC-"&amp;TEXT(A946,"mm/yyyy")&amp;"-"&amp;TEXT(COUNTIFS($A$2:A946,"&gt;="&amp;EOMONTH(A946,-1)+1,$A$2:A946,"&lt;="&amp;EOMONTH(A946,0)),"000"))</f>
        <v>PC-03/2026-221</v>
      </c>
      <c r="C946" s="5" t="s">
        <v>617</v>
      </c>
      <c r="D946" s="5" t="s">
        <v>29</v>
      </c>
      <c r="E946" s="5" t="s">
        <v>71</v>
      </c>
      <c r="F946" s="5"/>
      <c r="G946" s="5" t="s">
        <v>618</v>
      </c>
      <c r="H946" s="5" t="s">
        <v>27</v>
      </c>
      <c r="I946" s="6">
        <v>80000</v>
      </c>
      <c r="J946" s="6">
        <f>IF(D946="Thu",I946,0)</f>
        <v>0</v>
      </c>
      <c r="K946" s="6">
        <f>IF(D946="Chi",I946,0)</f>
        <v>80000</v>
      </c>
      <c r="L946" s="6" t="e">
        <f>L945+J946-K946</f>
        <v>#VALUE!</v>
      </c>
      <c r="M946" s="6">
        <f ca="1">IFERROR(__xludf.DUMMYFUNCTION("SUM(FILTER(J:J, H:H=""Tiền mặt"")) - SUM(FILTER(K:K, H:H=""Tiền mặt""))
"),959000)</f>
        <v>959000</v>
      </c>
      <c r="N946" s="6">
        <f ca="1">IFERROR(__xludf.DUMMYFUNCTION("SUM(FILTER(J:J, H:H=""Chuyển khoản"")) - SUM(FILTER(K:K, H:H=""Chuyển khoản""))
"),4468984)</f>
        <v>4468984</v>
      </c>
      <c r="O946" s="5"/>
      <c r="P946" s="5"/>
      <c r="Q946" s="5"/>
      <c r="R946" s="5"/>
      <c r="S946" s="5"/>
    </row>
    <row r="947" spans="1:19" ht="15.75" customHeight="1" x14ac:dyDescent="0.2">
      <c r="A947" s="3">
        <v>46084</v>
      </c>
      <c r="B947" s="4" t="str">
        <f>IF(A947="","","PC-"&amp;TEXT(A947,"mm/yyyy")&amp;"-"&amp;TEXT(COUNTIFS($A$2:A947,"&gt;="&amp;EOMONTH(A947,-1)+1,$A$2:A947,"&lt;="&amp;EOMONTH(A947,0)),"000"))</f>
        <v>PC-03/2026-222</v>
      </c>
      <c r="C947" s="7" t="s">
        <v>619</v>
      </c>
      <c r="D947" s="5" t="s">
        <v>29</v>
      </c>
      <c r="E947" s="5" t="s">
        <v>44</v>
      </c>
      <c r="F947" s="5"/>
      <c r="G947" s="5" t="s">
        <v>103</v>
      </c>
      <c r="H947" s="5" t="s">
        <v>23</v>
      </c>
      <c r="I947" s="6">
        <v>1000000</v>
      </c>
      <c r="J947" s="6">
        <f>IF(D947="Thu",I947,0)</f>
        <v>0</v>
      </c>
      <c r="K947" s="6">
        <f>IF(D947="Chi",I947,0)</f>
        <v>1000000</v>
      </c>
      <c r="L947" s="6" t="e">
        <f>L946+J947-K947</f>
        <v>#VALUE!</v>
      </c>
      <c r="M947" s="6">
        <f ca="1">IFERROR(__xludf.DUMMYFUNCTION("SUM(FILTER(J:J, H:H=""Tiền mặt"")) - SUM(FILTER(K:K, H:H=""Tiền mặt""))
"),959000)</f>
        <v>959000</v>
      </c>
      <c r="N947" s="6">
        <f ca="1">IFERROR(__xludf.DUMMYFUNCTION("SUM(FILTER(J:J, H:H=""Chuyển khoản"")) - SUM(FILTER(K:K, H:H=""Chuyển khoản""))
"),4468984)</f>
        <v>4468984</v>
      </c>
      <c r="O947" s="5"/>
      <c r="P947" s="5"/>
      <c r="Q947" s="5"/>
      <c r="R947" s="5"/>
      <c r="S947" s="5"/>
    </row>
    <row r="948" spans="1:19" ht="15.75" customHeight="1" x14ac:dyDescent="0.2">
      <c r="A948" s="3">
        <v>46084</v>
      </c>
      <c r="B948" s="4" t="str">
        <f>IF(A948="","","PC-"&amp;TEXT(A948,"mm/yyyy")&amp;"-"&amp;TEXT(COUNTIFS($A$2:A948,"&gt;="&amp;EOMONTH(A948,-1)+1,$A$2:A948,"&lt;="&amp;EOMONTH(A948,0)),"000"))</f>
        <v>PC-03/2026-223</v>
      </c>
      <c r="C948" s="5" t="s">
        <v>453</v>
      </c>
      <c r="D948" s="5" t="s">
        <v>29</v>
      </c>
      <c r="E948" s="5" t="s">
        <v>47</v>
      </c>
      <c r="F948" s="5"/>
      <c r="G948" s="5" t="s">
        <v>48</v>
      </c>
      <c r="H948" s="5" t="s">
        <v>23</v>
      </c>
      <c r="I948" s="6">
        <v>50000</v>
      </c>
      <c r="J948" s="6">
        <f>IF(D948="Thu",I948,0)</f>
        <v>0</v>
      </c>
      <c r="K948" s="6">
        <f>IF(D948="Chi",I948,0)</f>
        <v>50000</v>
      </c>
      <c r="L948" s="6" t="e">
        <f>L947+J948-K948</f>
        <v>#VALUE!</v>
      </c>
      <c r="M948" s="6">
        <f ca="1">IFERROR(__xludf.DUMMYFUNCTION("SUM(FILTER(J:J, H:H=""Tiền mặt"")) - SUM(FILTER(K:K, H:H=""Tiền mặt""))
"),959000)</f>
        <v>959000</v>
      </c>
      <c r="N948" s="6">
        <f ca="1">IFERROR(__xludf.DUMMYFUNCTION("SUM(FILTER(J:J, H:H=""Chuyển khoản"")) - SUM(FILTER(K:K, H:H=""Chuyển khoản""))
"),4468984)</f>
        <v>4468984</v>
      </c>
      <c r="O948" s="5"/>
      <c r="P948" s="5"/>
      <c r="Q948" s="5"/>
      <c r="R948" s="5"/>
      <c r="S948" s="5"/>
    </row>
    <row r="949" spans="1:19" ht="15.75" customHeight="1" x14ac:dyDescent="0.2">
      <c r="A949" s="3">
        <v>46084</v>
      </c>
      <c r="B949" s="4" t="str">
        <f>IF(A949="","","PC-"&amp;TEXT(A949,"mm/yyyy")&amp;"-"&amp;TEXT(COUNTIFS($A$2:A949,"&gt;="&amp;EOMONTH(A949,-1)+1,$A$2:A949,"&lt;="&amp;EOMONTH(A949,0)),"000"))</f>
        <v>PC-03/2026-224</v>
      </c>
      <c r="C949" s="5" t="s">
        <v>620</v>
      </c>
      <c r="D949" s="5" t="s">
        <v>20</v>
      </c>
      <c r="E949" s="5" t="s">
        <v>21</v>
      </c>
      <c r="F949" s="5"/>
      <c r="G949" s="5" t="s">
        <v>22</v>
      </c>
      <c r="H949" s="5" t="s">
        <v>23</v>
      </c>
      <c r="I949" s="6">
        <v>5000000</v>
      </c>
      <c r="J949" s="6">
        <f>IF(D949="Thu",I949,0)</f>
        <v>5000000</v>
      </c>
      <c r="K949" s="6">
        <f>IF(D949="Chi",I949,0)</f>
        <v>0</v>
      </c>
      <c r="L949" s="6" t="e">
        <f>L948+J949-K949</f>
        <v>#VALUE!</v>
      </c>
      <c r="M949" s="6">
        <f ca="1">IFERROR(__xludf.DUMMYFUNCTION("SUM(FILTER(J:J, H:H=""Tiền mặt"")) - SUM(FILTER(K:K, H:H=""Tiền mặt""))
"),959000)</f>
        <v>959000</v>
      </c>
      <c r="N949" s="6">
        <f ca="1">IFERROR(__xludf.DUMMYFUNCTION("SUM(FILTER(J:J, H:H=""Chuyển khoản"")) - SUM(FILTER(K:K, H:H=""Chuyển khoản""))
"),4468984)</f>
        <v>4468984</v>
      </c>
      <c r="O949" s="5"/>
      <c r="P949" s="5"/>
      <c r="Q949" s="5"/>
      <c r="R949" s="5"/>
      <c r="S949" s="5"/>
    </row>
    <row r="950" spans="1:19" ht="15.75" customHeight="1" x14ac:dyDescent="0.2">
      <c r="A950" s="3">
        <v>46084</v>
      </c>
      <c r="B950" s="4" t="str">
        <f>IF(A950="","","PC-"&amp;TEXT(A950,"mm/yyyy")&amp;"-"&amp;TEXT(COUNTIFS($A$2:A950,"&gt;="&amp;EOMONTH(A950,-1)+1,$A$2:A950,"&lt;="&amp;EOMONTH(A950,0)),"000"))</f>
        <v>PC-03/2026-225</v>
      </c>
      <c r="C950" s="7" t="s">
        <v>621</v>
      </c>
      <c r="D950" s="5" t="s">
        <v>29</v>
      </c>
      <c r="E950" s="5" t="s">
        <v>88</v>
      </c>
      <c r="F950" s="5"/>
      <c r="G950" s="5" t="s">
        <v>113</v>
      </c>
      <c r="H950" s="5" t="s">
        <v>23</v>
      </c>
      <c r="I950" s="6">
        <v>2000000</v>
      </c>
      <c r="J950" s="6">
        <f>IF(D950="Thu",I950,0)</f>
        <v>0</v>
      </c>
      <c r="K950" s="6">
        <f>IF(D950="Chi",I950,0)</f>
        <v>2000000</v>
      </c>
      <c r="L950" s="6" t="e">
        <f>L949+J950-K950</f>
        <v>#VALUE!</v>
      </c>
      <c r="M950" s="6">
        <f ca="1">IFERROR(__xludf.DUMMYFUNCTION("SUM(FILTER(J:J, H:H=""Tiền mặt"")) - SUM(FILTER(K:K, H:H=""Tiền mặt""))
"),959000)</f>
        <v>959000</v>
      </c>
      <c r="N950" s="6">
        <f ca="1">IFERROR(__xludf.DUMMYFUNCTION("SUM(FILTER(J:J, H:H=""Chuyển khoản"")) - SUM(FILTER(K:K, H:H=""Chuyển khoản""))
"),4468984)</f>
        <v>4468984</v>
      </c>
      <c r="O950" s="5"/>
      <c r="P950" s="5"/>
      <c r="Q950" s="5"/>
      <c r="R950" s="5"/>
      <c r="S950" s="5"/>
    </row>
    <row r="951" spans="1:19" ht="15.75" customHeight="1" x14ac:dyDescent="0.2">
      <c r="A951" s="3">
        <v>46084</v>
      </c>
      <c r="B951" s="4" t="str">
        <f>IF(A951="","","PC-"&amp;TEXT(A951,"mm/yyyy")&amp;"-"&amp;TEXT(COUNTIFS($A$2:A951,"&gt;="&amp;EOMONTH(A951,-1)+1,$A$2:A951,"&lt;="&amp;EOMONTH(A951,0)),"000"))</f>
        <v>PC-03/2026-226</v>
      </c>
      <c r="C951" s="5" t="s">
        <v>622</v>
      </c>
      <c r="D951" s="5" t="s">
        <v>29</v>
      </c>
      <c r="E951" s="5" t="s">
        <v>88</v>
      </c>
      <c r="F951" s="5"/>
      <c r="G951" s="5" t="s">
        <v>89</v>
      </c>
      <c r="H951" s="5" t="s">
        <v>23</v>
      </c>
      <c r="I951" s="6">
        <v>2500000</v>
      </c>
      <c r="J951" s="6">
        <f>IF(D951="Thu",I951,0)</f>
        <v>0</v>
      </c>
      <c r="K951" s="6">
        <f>IF(D951="Chi",I951,0)</f>
        <v>2500000</v>
      </c>
      <c r="L951" s="6" t="e">
        <f>L950+J951-K951</f>
        <v>#VALUE!</v>
      </c>
      <c r="M951" s="6">
        <f ca="1">IFERROR(__xludf.DUMMYFUNCTION("SUM(FILTER(J:J, H:H=""Tiền mặt"")) - SUM(FILTER(K:K, H:H=""Tiền mặt""))
"),959000)</f>
        <v>959000</v>
      </c>
      <c r="N951" s="6">
        <f ca="1">IFERROR(__xludf.DUMMYFUNCTION("SUM(FILTER(J:J, H:H=""Chuyển khoản"")) - SUM(FILTER(K:K, H:H=""Chuyển khoản""))
"),4468984)</f>
        <v>4468984</v>
      </c>
      <c r="O951" s="5"/>
      <c r="P951" s="5"/>
      <c r="Q951" s="5"/>
      <c r="R951" s="5"/>
      <c r="S951" s="5"/>
    </row>
    <row r="952" spans="1:19" ht="15.75" customHeight="1" x14ac:dyDescent="0.2">
      <c r="A952" s="3">
        <v>46084</v>
      </c>
      <c r="B952" s="4" t="str">
        <f>IF(A952="","","PC-"&amp;TEXT(A952,"mm/yyyy")&amp;"-"&amp;TEXT(COUNTIFS($A$2:A952,"&gt;="&amp;EOMONTH(A952,-1)+1,$A$2:A952,"&lt;="&amp;EOMONTH(A952,0)),"000"))</f>
        <v>PC-03/2026-227</v>
      </c>
      <c r="C952" s="5" t="s">
        <v>623</v>
      </c>
      <c r="D952" s="5" t="s">
        <v>29</v>
      </c>
      <c r="E952" s="5" t="s">
        <v>30</v>
      </c>
      <c r="F952" s="5"/>
      <c r="G952" s="5" t="s">
        <v>624</v>
      </c>
      <c r="H952" s="5" t="s">
        <v>27</v>
      </c>
      <c r="I952" s="6">
        <v>200000</v>
      </c>
      <c r="J952" s="6">
        <f>IF(D952="Thu",I952,0)</f>
        <v>0</v>
      </c>
      <c r="K952" s="6">
        <f>IF(D952="Chi",I952,0)</f>
        <v>200000</v>
      </c>
      <c r="L952" s="6" t="e">
        <f>L951+J952-K952</f>
        <v>#VALUE!</v>
      </c>
      <c r="M952" s="6">
        <f ca="1">IFERROR(__xludf.DUMMYFUNCTION("SUM(FILTER(J:J, H:H=""Tiền mặt"")) - SUM(FILTER(K:K, H:H=""Tiền mặt""))
"),959000)</f>
        <v>959000</v>
      </c>
      <c r="N952" s="6">
        <f ca="1">IFERROR(__xludf.DUMMYFUNCTION("SUM(FILTER(J:J, H:H=""Chuyển khoản"")) - SUM(FILTER(K:K, H:H=""Chuyển khoản""))
"),4468984)</f>
        <v>4468984</v>
      </c>
      <c r="O952" s="5"/>
      <c r="P952" s="5"/>
      <c r="Q952" s="5"/>
      <c r="R952" s="5"/>
      <c r="S952" s="5"/>
    </row>
    <row r="953" spans="1:19" ht="15.75" customHeight="1" x14ac:dyDescent="0.2">
      <c r="A953" s="3">
        <v>46083</v>
      </c>
      <c r="B953" s="4" t="str">
        <f>IF(A953="","","PC-"&amp;TEXT(A953,"mm/yyyy")&amp;"-"&amp;TEXT(COUNTIFS($A$2:A953,"&gt;="&amp;EOMONTH(A953,-1)+1,$A$2:A953,"&lt;="&amp;EOMONTH(A953,0)),"000"))</f>
        <v>PC-03/2026-228</v>
      </c>
      <c r="C953" s="5" t="s">
        <v>602</v>
      </c>
      <c r="D953" s="5" t="s">
        <v>29</v>
      </c>
      <c r="E953" s="5" t="s">
        <v>36</v>
      </c>
      <c r="F953" s="5"/>
      <c r="G953" s="5" t="s">
        <v>37</v>
      </c>
      <c r="H953" s="5" t="s">
        <v>23</v>
      </c>
      <c r="I953" s="6">
        <v>105000</v>
      </c>
      <c r="J953" s="6">
        <f>IF(D953="Thu",I953,0)</f>
        <v>0</v>
      </c>
      <c r="K953" s="6">
        <f>IF(D953="Chi",I953,0)</f>
        <v>105000</v>
      </c>
      <c r="L953" s="6" t="e">
        <f>L952+J953-K953</f>
        <v>#VALUE!</v>
      </c>
      <c r="M953" s="6">
        <f ca="1">IFERROR(__xludf.DUMMYFUNCTION("SUM(FILTER(J:J, H:H=""Tiền mặt"")) - SUM(FILTER(K:K, H:H=""Tiền mặt""))
"),959000)</f>
        <v>959000</v>
      </c>
      <c r="N953" s="6">
        <f ca="1">IFERROR(__xludf.DUMMYFUNCTION("SUM(FILTER(J:J, H:H=""Chuyển khoản"")) - SUM(FILTER(K:K, H:H=""Chuyển khoản""))
"),4468984)</f>
        <v>4468984</v>
      </c>
      <c r="O953" s="5"/>
      <c r="P953" s="5"/>
      <c r="Q953" s="5"/>
      <c r="R953" s="5"/>
      <c r="S953" s="5"/>
    </row>
    <row r="954" spans="1:19" ht="15.75" customHeight="1" x14ac:dyDescent="0.2">
      <c r="A954" s="3">
        <v>46083</v>
      </c>
      <c r="B954" s="4" t="str">
        <f>IF(A954="","","PC-"&amp;TEXT(A954,"mm/yyyy")&amp;"-"&amp;TEXT(COUNTIFS($A$2:A954,"&gt;="&amp;EOMONTH(A954,-1)+1,$A$2:A954,"&lt;="&amp;EOMONTH(A954,0)),"000"))</f>
        <v>PC-03/2026-229</v>
      </c>
      <c r="C954" s="5" t="s">
        <v>603</v>
      </c>
      <c r="D954" s="5" t="s">
        <v>29</v>
      </c>
      <c r="E954" s="5" t="s">
        <v>36</v>
      </c>
      <c r="F954" s="5"/>
      <c r="G954" s="5" t="s">
        <v>37</v>
      </c>
      <c r="H954" s="5" t="s">
        <v>23</v>
      </c>
      <c r="I954" s="6">
        <v>40000</v>
      </c>
      <c r="J954" s="6">
        <f>IF(D954="Thu",I954,0)</f>
        <v>0</v>
      </c>
      <c r="K954" s="6">
        <f>IF(D954="Chi",I954,0)</f>
        <v>40000</v>
      </c>
      <c r="L954" s="6" t="e">
        <f>L953+J954-K954</f>
        <v>#VALUE!</v>
      </c>
      <c r="M954" s="6">
        <f ca="1">IFERROR(__xludf.DUMMYFUNCTION("SUM(FILTER(J:J, H:H=""Tiền mặt"")) - SUM(FILTER(K:K, H:H=""Tiền mặt""))
"),959000)</f>
        <v>959000</v>
      </c>
      <c r="N954" s="6">
        <f ca="1">IFERROR(__xludf.DUMMYFUNCTION("SUM(FILTER(J:J, H:H=""Chuyển khoản"")) - SUM(FILTER(K:K, H:H=""Chuyển khoản""))
"),4468984)</f>
        <v>4468984</v>
      </c>
      <c r="O954" s="5"/>
      <c r="P954" s="5"/>
      <c r="Q954" s="5"/>
      <c r="R954" s="5"/>
      <c r="S954" s="5"/>
    </row>
    <row r="955" spans="1:19" ht="15.75" customHeight="1" x14ac:dyDescent="0.2">
      <c r="A955" s="3">
        <v>46083</v>
      </c>
      <c r="B955" s="4" t="str">
        <f>IF(A955="","","PC-"&amp;TEXT(A955,"mm/yyyy")&amp;"-"&amp;TEXT(COUNTIFS($A$2:A955,"&gt;="&amp;EOMONTH(A955,-1)+1,$A$2:A955,"&lt;="&amp;EOMONTH(A955,0)),"000"))</f>
        <v>PC-03/2026-230</v>
      </c>
      <c r="C955" s="5" t="s">
        <v>604</v>
      </c>
      <c r="D955" s="5" t="s">
        <v>29</v>
      </c>
      <c r="E955" s="5" t="s">
        <v>36</v>
      </c>
      <c r="F955" s="5"/>
      <c r="G955" s="5" t="s">
        <v>37</v>
      </c>
      <c r="H955" s="5" t="s">
        <v>23</v>
      </c>
      <c r="I955" s="6">
        <v>10000</v>
      </c>
      <c r="J955" s="6">
        <f>IF(D955="Thu",I955,0)</f>
        <v>0</v>
      </c>
      <c r="K955" s="6">
        <f>IF(D955="Chi",I955,0)</f>
        <v>10000</v>
      </c>
      <c r="L955" s="6" t="e">
        <f>L954+J955-K955</f>
        <v>#VALUE!</v>
      </c>
      <c r="M955" s="6">
        <f ca="1">IFERROR(__xludf.DUMMYFUNCTION("SUM(FILTER(J:J, H:H=""Tiền mặt"")) - SUM(FILTER(K:K, H:H=""Tiền mặt""))
"),959000)</f>
        <v>959000</v>
      </c>
      <c r="N955" s="6">
        <f ca="1">IFERROR(__xludf.DUMMYFUNCTION("SUM(FILTER(J:J, H:H=""Chuyển khoản"")) - SUM(FILTER(K:K, H:H=""Chuyển khoản""))
"),4468984)</f>
        <v>4468984</v>
      </c>
      <c r="O955" s="5"/>
      <c r="P955" s="5"/>
      <c r="Q955" s="5"/>
      <c r="R955" s="5"/>
      <c r="S955" s="5"/>
    </row>
    <row r="956" spans="1:19" ht="15.75" customHeight="1" x14ac:dyDescent="0.2">
      <c r="A956" s="3">
        <v>46083</v>
      </c>
      <c r="B956" s="4" t="str">
        <f>IF(A956="","","PC-"&amp;TEXT(A956,"mm/yyyy")&amp;"-"&amp;TEXT(COUNTIFS($A$2:A956,"&gt;="&amp;EOMONTH(A956,-1)+1,$A$2:A956,"&lt;="&amp;EOMONTH(A956,0)),"000"))</f>
        <v>PC-03/2026-231</v>
      </c>
      <c r="C956" s="5" t="s">
        <v>605</v>
      </c>
      <c r="D956" s="5" t="s">
        <v>29</v>
      </c>
      <c r="E956" s="5" t="s">
        <v>44</v>
      </c>
      <c r="F956" s="5"/>
      <c r="G956" s="5" t="s">
        <v>353</v>
      </c>
      <c r="H956" s="5" t="s">
        <v>23</v>
      </c>
      <c r="I956" s="6">
        <v>1000000</v>
      </c>
      <c r="J956" s="6">
        <f>IF(D956="Thu",I956,0)</f>
        <v>0</v>
      </c>
      <c r="K956" s="6">
        <f>IF(D956="Chi",I956,0)</f>
        <v>1000000</v>
      </c>
      <c r="L956" s="6" t="e">
        <f>L955+J956-K956</f>
        <v>#VALUE!</v>
      </c>
      <c r="M956" s="6">
        <f ca="1">IFERROR(__xludf.DUMMYFUNCTION("SUM(FILTER(J:J, H:H=""Tiền mặt"")) - SUM(FILTER(K:K, H:H=""Tiền mặt""))
"),959000)</f>
        <v>959000</v>
      </c>
      <c r="N956" s="6">
        <f ca="1">IFERROR(__xludf.DUMMYFUNCTION("SUM(FILTER(J:J, H:H=""Chuyển khoản"")) - SUM(FILTER(K:K, H:H=""Chuyển khoản""))
"),4468984)</f>
        <v>4468984</v>
      </c>
      <c r="O956" s="5"/>
      <c r="P956" s="5"/>
      <c r="Q956" s="5"/>
      <c r="R956" s="5"/>
      <c r="S956" s="5"/>
    </row>
    <row r="957" spans="1:19" ht="15.75" customHeight="1" x14ac:dyDescent="0.2">
      <c r="A957" s="3">
        <v>46083</v>
      </c>
      <c r="B957" s="4" t="str">
        <f>IF(A957="","","PC-"&amp;TEXT(A957,"mm/yyyy")&amp;"-"&amp;TEXT(COUNTIFS($A$2:A957,"&gt;="&amp;EOMONTH(A957,-1)+1,$A$2:A957,"&lt;="&amp;EOMONTH(A957,0)),"000"))</f>
        <v>PC-03/2026-232</v>
      </c>
      <c r="C957" s="5" t="s">
        <v>606</v>
      </c>
      <c r="D957" s="5" t="s">
        <v>29</v>
      </c>
      <c r="E957" s="5" t="s">
        <v>47</v>
      </c>
      <c r="F957" s="5"/>
      <c r="G957" s="5" t="s">
        <v>48</v>
      </c>
      <c r="H957" s="5" t="s">
        <v>23</v>
      </c>
      <c r="I957" s="6">
        <v>50000</v>
      </c>
      <c r="J957" s="6">
        <f>IF(D957="Thu",I957,0)</f>
        <v>0</v>
      </c>
      <c r="K957" s="6">
        <f>IF(D957="Chi",I957,0)</f>
        <v>50000</v>
      </c>
      <c r="L957" s="6" t="e">
        <f>L956+J957-K957</f>
        <v>#VALUE!</v>
      </c>
      <c r="M957" s="6">
        <f ca="1">IFERROR(__xludf.DUMMYFUNCTION("SUM(FILTER(J:J, H:H=""Tiền mặt"")) - SUM(FILTER(K:K, H:H=""Tiền mặt""))
"),959000)</f>
        <v>959000</v>
      </c>
      <c r="N957" s="6">
        <f ca="1">IFERROR(__xludf.DUMMYFUNCTION("SUM(FILTER(J:J, H:H=""Chuyển khoản"")) - SUM(FILTER(K:K, H:H=""Chuyển khoản""))
"),4468984)</f>
        <v>4468984</v>
      </c>
      <c r="O957" s="5"/>
      <c r="P957" s="5"/>
      <c r="Q957" s="5"/>
      <c r="R957" s="5"/>
      <c r="S957" s="5"/>
    </row>
    <row r="958" spans="1:19" ht="15.75" customHeight="1" x14ac:dyDescent="0.2">
      <c r="A958" s="3">
        <v>46083</v>
      </c>
      <c r="B958" s="4" t="str">
        <f>IF(A958="","","PC-"&amp;TEXT(A958,"mm/yyyy")&amp;"-"&amp;TEXT(COUNTIFS($A$2:A958,"&gt;="&amp;EOMONTH(A958,-1)+1,$A$2:A958,"&lt;="&amp;EOMONTH(A958,0)),"000"))</f>
        <v>PC-03/2026-233</v>
      </c>
      <c r="C958" s="5" t="s">
        <v>607</v>
      </c>
      <c r="D958" s="5" t="s">
        <v>29</v>
      </c>
      <c r="E958" s="5" t="s">
        <v>41</v>
      </c>
      <c r="F958" s="5"/>
      <c r="G958" s="5" t="s">
        <v>192</v>
      </c>
      <c r="H958" s="5" t="s">
        <v>23</v>
      </c>
      <c r="I958" s="6">
        <v>100000</v>
      </c>
      <c r="J958" s="6">
        <f>IF(D958="Thu",I958,0)</f>
        <v>0</v>
      </c>
      <c r="K958" s="6">
        <f>IF(D958="Chi",I958,0)</f>
        <v>100000</v>
      </c>
      <c r="L958" s="6" t="e">
        <f>L957+J958-K958</f>
        <v>#VALUE!</v>
      </c>
      <c r="M958" s="6">
        <f ca="1">IFERROR(__xludf.DUMMYFUNCTION("SUM(FILTER(J:J, H:H=""Tiền mặt"")) - SUM(FILTER(K:K, H:H=""Tiền mặt""))
"),959000)</f>
        <v>959000</v>
      </c>
      <c r="N958" s="6">
        <f ca="1">IFERROR(__xludf.DUMMYFUNCTION("SUM(FILTER(J:J, H:H=""Chuyển khoản"")) - SUM(FILTER(K:K, H:H=""Chuyển khoản""))
"),4468984)</f>
        <v>4468984</v>
      </c>
      <c r="O958" s="5"/>
      <c r="P958" s="5"/>
      <c r="Q958" s="5"/>
      <c r="R958" s="5"/>
      <c r="S958" s="5"/>
    </row>
    <row r="959" spans="1:19" ht="15.75" customHeight="1" x14ac:dyDescent="0.2">
      <c r="A959" s="3">
        <v>46083</v>
      </c>
      <c r="B959" s="4" t="str">
        <f>IF(A959="","","PC-"&amp;TEXT(A959,"mm/yyyy")&amp;"-"&amp;TEXT(COUNTIFS($A$2:A959,"&gt;="&amp;EOMONTH(A959,-1)+1,$A$2:A959,"&lt;="&amp;EOMONTH(A959,0)),"000"))</f>
        <v>PC-03/2026-234</v>
      </c>
      <c r="C959" s="5" t="s">
        <v>608</v>
      </c>
      <c r="D959" s="5" t="s">
        <v>29</v>
      </c>
      <c r="E959" s="5" t="s">
        <v>36</v>
      </c>
      <c r="F959" s="5"/>
      <c r="G959" s="5" t="s">
        <v>72</v>
      </c>
      <c r="H959" s="5" t="s">
        <v>27</v>
      </c>
      <c r="I959" s="6">
        <v>57000</v>
      </c>
      <c r="J959" s="6">
        <f>IF(D959="Thu",I959,0)</f>
        <v>0</v>
      </c>
      <c r="K959" s="6">
        <f>IF(D959="Chi",I959,0)</f>
        <v>57000</v>
      </c>
      <c r="L959" s="6" t="e">
        <f>L958+J959-K959</f>
        <v>#VALUE!</v>
      </c>
      <c r="M959" s="6">
        <f ca="1">IFERROR(__xludf.DUMMYFUNCTION("SUM(FILTER(J:J, H:H=""Tiền mặt"")) - SUM(FILTER(K:K, H:H=""Tiền mặt""))
"),959000)</f>
        <v>959000</v>
      </c>
      <c r="N959" s="6">
        <f ca="1">IFERROR(__xludf.DUMMYFUNCTION("SUM(FILTER(J:J, H:H=""Chuyển khoản"")) - SUM(FILTER(K:K, H:H=""Chuyển khoản""))
"),4468984)</f>
        <v>4468984</v>
      </c>
      <c r="O959" s="5"/>
      <c r="P959" s="5"/>
      <c r="Q959" s="5"/>
      <c r="R959" s="5"/>
      <c r="S959" s="5"/>
    </row>
    <row r="960" spans="1:19" ht="15.75" customHeight="1" x14ac:dyDescent="0.2">
      <c r="A960" s="3">
        <v>46083</v>
      </c>
      <c r="B960" s="4" t="str">
        <f>IF(A960="","","PC-"&amp;TEXT(A960,"mm/yyyy")&amp;"-"&amp;TEXT(COUNTIFS($A$2:A960,"&gt;="&amp;EOMONTH(A960,-1)+1,$A$2:A960,"&lt;="&amp;EOMONTH(A960,0)),"000"))</f>
        <v>PC-03/2026-235</v>
      </c>
      <c r="C960" s="5" t="s">
        <v>609</v>
      </c>
      <c r="D960" s="5" t="s">
        <v>29</v>
      </c>
      <c r="E960" s="5" t="s">
        <v>33</v>
      </c>
      <c r="F960" s="5"/>
      <c r="G960" s="5" t="s">
        <v>486</v>
      </c>
      <c r="H960" s="5" t="s">
        <v>27</v>
      </c>
      <c r="I960" s="6">
        <v>960000</v>
      </c>
      <c r="J960" s="6">
        <f>IF(D960="Thu",I960,0)</f>
        <v>0</v>
      </c>
      <c r="K960" s="6">
        <f>IF(D960="Chi",I960,0)</f>
        <v>960000</v>
      </c>
      <c r="L960" s="6" t="e">
        <f>L959+J960-K960</f>
        <v>#VALUE!</v>
      </c>
      <c r="M960" s="6">
        <f ca="1">IFERROR(__xludf.DUMMYFUNCTION("SUM(FILTER(J:J, H:H=""Tiền mặt"")) - SUM(FILTER(K:K, H:H=""Tiền mặt""))
"),959000)</f>
        <v>959000</v>
      </c>
      <c r="N960" s="6">
        <f ca="1">IFERROR(__xludf.DUMMYFUNCTION("SUM(FILTER(J:J, H:H=""Chuyển khoản"")) - SUM(FILTER(K:K, H:H=""Chuyển khoản""))
"),4468984)</f>
        <v>4468984</v>
      </c>
      <c r="O960" s="5"/>
      <c r="P960" s="5"/>
      <c r="Q960" s="5"/>
      <c r="R960" s="5"/>
      <c r="S960" s="5"/>
    </row>
    <row r="961" spans="1:19" ht="15.75" customHeight="1" x14ac:dyDescent="0.2">
      <c r="A961" s="3">
        <v>46081</v>
      </c>
      <c r="B961" s="4" t="str">
        <f>IF(A961="","","PC-"&amp;TEXT(A961,"mm/yyyy")&amp;"-"&amp;TEXT(COUNTIFS($A$2:A961,"&gt;="&amp;EOMONTH(A961,-1)+1,$A$2:A961,"&lt;="&amp;EOMONTH(A961,0)),"000"))</f>
        <v>PC-02/2026-001</v>
      </c>
      <c r="C961" s="5" t="s">
        <v>599</v>
      </c>
      <c r="D961" s="5" t="s">
        <v>29</v>
      </c>
      <c r="E961" s="5" t="s">
        <v>41</v>
      </c>
      <c r="F961" s="5"/>
      <c r="G961" s="5" t="s">
        <v>42</v>
      </c>
      <c r="H961" s="5" t="s">
        <v>23</v>
      </c>
      <c r="I961" s="6">
        <v>100000</v>
      </c>
      <c r="J961" s="6">
        <f>IF(D961="Thu",I961,0)</f>
        <v>0</v>
      </c>
      <c r="K961" s="6">
        <f>IF(D961="Chi",I961,0)</f>
        <v>100000</v>
      </c>
      <c r="L961" s="6" t="e">
        <f>L960+J961-K961</f>
        <v>#VALUE!</v>
      </c>
      <c r="M961" s="6">
        <f ca="1">IFERROR(__xludf.DUMMYFUNCTION("SUM(FILTER(J:J, H:H=""Tiền mặt"")) - SUM(FILTER(K:K, H:H=""Tiền mặt""))
"),959000)</f>
        <v>959000</v>
      </c>
      <c r="N961" s="6">
        <f ca="1">IFERROR(__xludf.DUMMYFUNCTION("SUM(FILTER(J:J, H:H=""Chuyển khoản"")) - SUM(FILTER(K:K, H:H=""Chuyển khoản""))
"),4468984)</f>
        <v>4468984</v>
      </c>
      <c r="O961" s="5"/>
      <c r="P961" s="5"/>
      <c r="Q961" s="5"/>
      <c r="R961" s="5"/>
      <c r="S961" s="5"/>
    </row>
    <row r="962" spans="1:19" ht="15.75" customHeight="1" x14ac:dyDescent="0.2">
      <c r="A962" s="3">
        <v>46081</v>
      </c>
      <c r="B962" s="4" t="str">
        <f>IF(A962="","","PC-"&amp;TEXT(A962,"mm/yyyy")&amp;"-"&amp;TEXT(COUNTIFS($A$2:A962,"&gt;="&amp;EOMONTH(A962,-1)+1,$A$2:A962,"&lt;="&amp;EOMONTH(A962,0)),"000"))</f>
        <v>PC-02/2026-002</v>
      </c>
      <c r="C962" s="5" t="s">
        <v>600</v>
      </c>
      <c r="D962" s="5" t="s">
        <v>29</v>
      </c>
      <c r="E962" s="5" t="s">
        <v>36</v>
      </c>
      <c r="F962" s="5"/>
      <c r="G962" s="5" t="s">
        <v>72</v>
      </c>
      <c r="H962" s="5" t="s">
        <v>27</v>
      </c>
      <c r="I962" s="6">
        <v>138000</v>
      </c>
      <c r="J962" s="6">
        <f>IF(D962="Thu",I962,0)</f>
        <v>0</v>
      </c>
      <c r="K962" s="6">
        <f>IF(D962="Chi",I962,0)</f>
        <v>138000</v>
      </c>
      <c r="L962" s="6" t="e">
        <f>L961+J962-K962</f>
        <v>#VALUE!</v>
      </c>
      <c r="M962" s="6">
        <f ca="1">IFERROR(__xludf.DUMMYFUNCTION("SUM(FILTER(J:J, H:H=""Tiền mặt"")) - SUM(FILTER(K:K, H:H=""Tiền mặt""))
"),959000)</f>
        <v>959000</v>
      </c>
      <c r="N962" s="6">
        <f ca="1">IFERROR(__xludf.DUMMYFUNCTION("SUM(FILTER(J:J, H:H=""Chuyển khoản"")) - SUM(FILTER(K:K, H:H=""Chuyển khoản""))
"),4468984)</f>
        <v>4468984</v>
      </c>
      <c r="O962" s="5"/>
      <c r="P962" s="5"/>
      <c r="Q962" s="5"/>
      <c r="R962" s="5"/>
      <c r="S962" s="5"/>
    </row>
    <row r="963" spans="1:19" ht="15.75" customHeight="1" x14ac:dyDescent="0.2">
      <c r="A963" s="3">
        <v>46081</v>
      </c>
      <c r="B963" s="4" t="str">
        <f>IF(A963="","","PC-"&amp;TEXT(A963,"mm/yyyy")&amp;"-"&amp;TEXT(COUNTIFS($A$2:A963,"&gt;="&amp;EOMONTH(A963,-1)+1,$A$2:A963,"&lt;="&amp;EOMONTH(A963,0)),"000"))</f>
        <v>PC-02/2026-003</v>
      </c>
      <c r="C963" s="5" t="s">
        <v>601</v>
      </c>
      <c r="D963" s="5" t="s">
        <v>29</v>
      </c>
      <c r="E963" s="5" t="s">
        <v>36</v>
      </c>
      <c r="F963" s="5"/>
      <c r="G963" s="5" t="s">
        <v>72</v>
      </c>
      <c r="H963" s="5" t="s">
        <v>27</v>
      </c>
      <c r="I963" s="6">
        <v>78000</v>
      </c>
      <c r="J963" s="6">
        <f>IF(D963="Thu",I963,0)</f>
        <v>0</v>
      </c>
      <c r="K963" s="6">
        <f>IF(D963="Chi",I963,0)</f>
        <v>78000</v>
      </c>
      <c r="L963" s="6" t="e">
        <f>L962+J963-K963</f>
        <v>#VALUE!</v>
      </c>
      <c r="M963" s="6">
        <f ca="1">IFERROR(__xludf.DUMMYFUNCTION("SUM(FILTER(J:J, H:H=""Tiền mặt"")) - SUM(FILTER(K:K, H:H=""Tiền mặt""))
"),959000)</f>
        <v>959000</v>
      </c>
      <c r="N963" s="6">
        <f ca="1">IFERROR(__xludf.DUMMYFUNCTION("SUM(FILTER(J:J, H:H=""Chuyển khoản"")) - SUM(FILTER(K:K, H:H=""Chuyển khoản""))
"),4468984)</f>
        <v>4468984</v>
      </c>
      <c r="O963" s="5"/>
      <c r="P963" s="5"/>
      <c r="Q963" s="5"/>
      <c r="R963" s="5"/>
      <c r="S963" s="5"/>
    </row>
    <row r="964" spans="1:19" ht="15.75" customHeight="1" x14ac:dyDescent="0.2">
      <c r="A964" s="3">
        <v>46081</v>
      </c>
      <c r="B964" s="4" t="str">
        <f>IF(A964="","","PC-"&amp;TEXT(A964,"mm/yyyy")&amp;"-"&amp;TEXT(COUNTIFS($A$2:A964,"&gt;="&amp;EOMONTH(A964,-1)+1,$A$2:A964,"&lt;="&amp;EOMONTH(A964,0)),"000"))</f>
        <v>PC-02/2026-004</v>
      </c>
      <c r="C964" s="5" t="s">
        <v>168</v>
      </c>
      <c r="D964" s="5" t="s">
        <v>29</v>
      </c>
      <c r="E964" s="5" t="s">
        <v>153</v>
      </c>
      <c r="F964" s="5"/>
      <c r="G964" s="5" t="s">
        <v>72</v>
      </c>
      <c r="H964" s="5" t="s">
        <v>27</v>
      </c>
      <c r="I964" s="6">
        <v>257000</v>
      </c>
      <c r="J964" s="6">
        <f>IF(D964="Thu",I964,0)</f>
        <v>0</v>
      </c>
      <c r="K964" s="6">
        <f>IF(D964="Chi",I964,0)</f>
        <v>257000</v>
      </c>
      <c r="L964" s="6" t="e">
        <f>L963+J964-K964</f>
        <v>#VALUE!</v>
      </c>
      <c r="M964" s="6">
        <f ca="1">IFERROR(__xludf.DUMMYFUNCTION("SUM(FILTER(J:J, H:H=""Tiền mặt"")) - SUM(FILTER(K:K, H:H=""Tiền mặt""))
"),959000)</f>
        <v>959000</v>
      </c>
      <c r="N964" s="6">
        <f ca="1">IFERROR(__xludf.DUMMYFUNCTION("SUM(FILTER(J:J, H:H=""Chuyển khoản"")) - SUM(FILTER(K:K, H:H=""Chuyển khoản""))
"),4468984)</f>
        <v>4468984</v>
      </c>
      <c r="O964" s="5"/>
      <c r="P964" s="5"/>
      <c r="Q964" s="5"/>
      <c r="R964" s="5"/>
      <c r="S964" s="5"/>
    </row>
    <row r="965" spans="1:19" ht="15.75" customHeight="1" x14ac:dyDescent="0.2">
      <c r="A965" s="3">
        <v>46080</v>
      </c>
      <c r="B965" s="4" t="str">
        <f>IF(A965="","","PC-"&amp;TEXT(A965,"mm/yyyy")&amp;"-"&amp;TEXT(COUNTIFS($A$2:A965,"&gt;="&amp;EOMONTH(A965,-1)+1,$A$2:A965,"&lt;="&amp;EOMONTH(A965,0)),"000"))</f>
        <v>PC-02/2026-005</v>
      </c>
      <c r="C965" s="5" t="s">
        <v>591</v>
      </c>
      <c r="D965" s="5" t="s">
        <v>29</v>
      </c>
      <c r="E965" s="5" t="s">
        <v>36</v>
      </c>
      <c r="F965" s="5"/>
      <c r="G965" s="5" t="s">
        <v>37</v>
      </c>
      <c r="H965" s="5" t="s">
        <v>23</v>
      </c>
      <c r="I965" s="6">
        <v>49000</v>
      </c>
      <c r="J965" s="6">
        <f>IF(D965="Thu",I965,0)</f>
        <v>0</v>
      </c>
      <c r="K965" s="6">
        <f>IF(D965="Chi",I965,0)</f>
        <v>49000</v>
      </c>
      <c r="L965" s="6" t="e">
        <f>L964+J965-K965</f>
        <v>#VALUE!</v>
      </c>
      <c r="M965" s="6">
        <f ca="1">IFERROR(__xludf.DUMMYFUNCTION("SUM(FILTER(J:J, H:H=""Tiền mặt"")) - SUM(FILTER(K:K, H:H=""Tiền mặt""))
"),959000)</f>
        <v>959000</v>
      </c>
      <c r="N965" s="6">
        <f ca="1">IFERROR(__xludf.DUMMYFUNCTION("SUM(FILTER(J:J, H:H=""Chuyển khoản"")) - SUM(FILTER(K:K, H:H=""Chuyển khoản""))
"),4468984)</f>
        <v>4468984</v>
      </c>
      <c r="O965" s="5"/>
      <c r="P965" s="5"/>
      <c r="Q965" s="5"/>
      <c r="R965" s="5"/>
      <c r="S965" s="5"/>
    </row>
    <row r="966" spans="1:19" ht="15.75" customHeight="1" x14ac:dyDescent="0.2">
      <c r="A966" s="3">
        <v>46080</v>
      </c>
      <c r="B966" s="4" t="str">
        <f>IF(A966="","","PC-"&amp;TEXT(A966,"mm/yyyy")&amp;"-"&amp;TEXT(COUNTIFS($A$2:A966,"&gt;="&amp;EOMONTH(A966,-1)+1,$A$2:A966,"&lt;="&amp;EOMONTH(A966,0)),"000"))</f>
        <v>PC-02/2026-006</v>
      </c>
      <c r="C966" s="5" t="s">
        <v>592</v>
      </c>
      <c r="D966" s="5" t="s">
        <v>29</v>
      </c>
      <c r="E966" s="5" t="s">
        <v>41</v>
      </c>
      <c r="F966" s="5"/>
      <c r="G966" s="5" t="s">
        <v>82</v>
      </c>
      <c r="H966" s="5" t="s">
        <v>23</v>
      </c>
      <c r="I966" s="6">
        <v>100000</v>
      </c>
      <c r="J966" s="6">
        <f>IF(D966="Thu",I966,0)</f>
        <v>0</v>
      </c>
      <c r="K966" s="6">
        <f>IF(D966="Chi",I966,0)</f>
        <v>100000</v>
      </c>
      <c r="L966" s="6" t="e">
        <f>L965+J966-K966</f>
        <v>#VALUE!</v>
      </c>
      <c r="M966" s="6">
        <f ca="1">IFERROR(__xludf.DUMMYFUNCTION("SUM(FILTER(J:J, H:H=""Tiền mặt"")) - SUM(FILTER(K:K, H:H=""Tiền mặt""))
"),959000)</f>
        <v>959000</v>
      </c>
      <c r="N966" s="6">
        <f ca="1">IFERROR(__xludf.DUMMYFUNCTION("SUM(FILTER(J:J, H:H=""Chuyển khoản"")) - SUM(FILTER(K:K, H:H=""Chuyển khoản""))
"),4468984)</f>
        <v>4468984</v>
      </c>
      <c r="O966" s="5"/>
      <c r="P966" s="5"/>
      <c r="Q966" s="5"/>
      <c r="R966" s="5"/>
      <c r="S966" s="5"/>
    </row>
    <row r="967" spans="1:19" ht="15.75" customHeight="1" x14ac:dyDescent="0.2">
      <c r="A967" s="3">
        <v>46080</v>
      </c>
      <c r="B967" s="4" t="str">
        <f>IF(A967="","","PC-"&amp;TEXT(A967,"mm/yyyy")&amp;"-"&amp;TEXT(COUNTIFS($A$2:A967,"&gt;="&amp;EOMONTH(A967,-1)+1,$A$2:A967,"&lt;="&amp;EOMONTH(A967,0)),"000"))</f>
        <v>PC-02/2026-007</v>
      </c>
      <c r="C967" s="5" t="s">
        <v>593</v>
      </c>
      <c r="D967" s="5" t="s">
        <v>20</v>
      </c>
      <c r="E967" s="5" t="s">
        <v>21</v>
      </c>
      <c r="F967" s="5"/>
      <c r="G967" s="5" t="s">
        <v>22</v>
      </c>
      <c r="H967" s="5" t="s">
        <v>23</v>
      </c>
      <c r="I967" s="6">
        <v>5000000</v>
      </c>
      <c r="J967" s="6">
        <f>IF(D967="Thu",I967,0)</f>
        <v>5000000</v>
      </c>
      <c r="K967" s="6">
        <f>IF(D967="Chi",I967,0)</f>
        <v>0</v>
      </c>
      <c r="L967" s="6" t="e">
        <f>L966+J967-K967</f>
        <v>#VALUE!</v>
      </c>
      <c r="M967" s="6">
        <f ca="1">IFERROR(__xludf.DUMMYFUNCTION("SUM(FILTER(J:J, H:H=""Tiền mặt"")) - SUM(FILTER(K:K, H:H=""Tiền mặt""))
"),959000)</f>
        <v>959000</v>
      </c>
      <c r="N967" s="6">
        <f ca="1">IFERROR(__xludf.DUMMYFUNCTION("SUM(FILTER(J:J, H:H=""Chuyển khoản"")) - SUM(FILTER(K:K, H:H=""Chuyển khoản""))
"),4468984)</f>
        <v>4468984</v>
      </c>
      <c r="O967" s="5"/>
      <c r="P967" s="5"/>
      <c r="Q967" s="5"/>
      <c r="R967" s="5"/>
      <c r="S967" s="5"/>
    </row>
    <row r="968" spans="1:19" ht="15.75" customHeight="1" x14ac:dyDescent="0.2">
      <c r="A968" s="3">
        <v>46080</v>
      </c>
      <c r="B968" s="4" t="str">
        <f>IF(A968="","","PC-"&amp;TEXT(A968,"mm/yyyy")&amp;"-"&amp;TEXT(COUNTIFS($A$2:A968,"&gt;="&amp;EOMONTH(A968,-1)+1,$A$2:A968,"&lt;="&amp;EOMONTH(A968,0)),"000"))</f>
        <v>PC-02/2026-008</v>
      </c>
      <c r="C968" s="5" t="s">
        <v>594</v>
      </c>
      <c r="D968" s="5" t="s">
        <v>29</v>
      </c>
      <c r="E968" s="5" t="s">
        <v>41</v>
      </c>
      <c r="F968" s="5"/>
      <c r="G968" s="5" t="s">
        <v>42</v>
      </c>
      <c r="H968" s="5" t="s">
        <v>23</v>
      </c>
      <c r="I968" s="6">
        <v>100000</v>
      </c>
      <c r="J968" s="6">
        <f>IF(D968="Thu",I968,0)</f>
        <v>0</v>
      </c>
      <c r="K968" s="6">
        <f>IF(D968="Chi",I968,0)</f>
        <v>100000</v>
      </c>
      <c r="L968" s="6" t="e">
        <f>L967+J968-K968</f>
        <v>#VALUE!</v>
      </c>
      <c r="M968" s="6">
        <f ca="1">IFERROR(__xludf.DUMMYFUNCTION("SUM(FILTER(J:J, H:H=""Tiền mặt"")) - SUM(FILTER(K:K, H:H=""Tiền mặt""))
"),959000)</f>
        <v>959000</v>
      </c>
      <c r="N968" s="6">
        <f ca="1">IFERROR(__xludf.DUMMYFUNCTION("SUM(FILTER(J:J, H:H=""Chuyển khoản"")) - SUM(FILTER(K:K, H:H=""Chuyển khoản""))
"),4468984)</f>
        <v>4468984</v>
      </c>
      <c r="O968" s="5"/>
      <c r="P968" s="5"/>
      <c r="Q968" s="5"/>
      <c r="R968" s="5"/>
      <c r="S968" s="5"/>
    </row>
    <row r="969" spans="1:19" ht="15.75" customHeight="1" x14ac:dyDescent="0.2">
      <c r="A969" s="3">
        <v>46080</v>
      </c>
      <c r="B969" s="4" t="str">
        <f>IF(A969="","","PC-"&amp;TEXT(A969,"mm/yyyy")&amp;"-"&amp;TEXT(COUNTIFS($A$2:A969,"&gt;="&amp;EOMONTH(A969,-1)+1,$A$2:A969,"&lt;="&amp;EOMONTH(A969,0)),"000"))</f>
        <v>PC-02/2026-009</v>
      </c>
      <c r="C969" s="7" t="s">
        <v>595</v>
      </c>
      <c r="D969" s="5" t="s">
        <v>29</v>
      </c>
      <c r="E969" s="5" t="s">
        <v>88</v>
      </c>
      <c r="F969" s="5"/>
      <c r="G969" s="5" t="s">
        <v>52</v>
      </c>
      <c r="H969" s="5" t="s">
        <v>23</v>
      </c>
      <c r="I969" s="6">
        <v>496000</v>
      </c>
      <c r="J969" s="6">
        <f>IF(D969="Thu",I969,0)</f>
        <v>0</v>
      </c>
      <c r="K969" s="6">
        <f>IF(D969="Chi",I969,0)</f>
        <v>496000</v>
      </c>
      <c r="L969" s="6" t="e">
        <f>L968+J969-K969</f>
        <v>#VALUE!</v>
      </c>
      <c r="M969" s="6">
        <f ca="1">IFERROR(__xludf.DUMMYFUNCTION("SUM(FILTER(J:J, H:H=""Tiền mặt"")) - SUM(FILTER(K:K, H:H=""Tiền mặt""))
"),959000)</f>
        <v>959000</v>
      </c>
      <c r="N969" s="6">
        <f ca="1">IFERROR(__xludf.DUMMYFUNCTION("SUM(FILTER(J:J, H:H=""Chuyển khoản"")) - SUM(FILTER(K:K, H:H=""Chuyển khoản""))
"),4468984)</f>
        <v>4468984</v>
      </c>
      <c r="O969" s="5"/>
      <c r="P969" s="5"/>
      <c r="Q969" s="5"/>
      <c r="R969" s="5"/>
      <c r="S969" s="5"/>
    </row>
    <row r="970" spans="1:19" ht="15.75" customHeight="1" x14ac:dyDescent="0.2">
      <c r="A970" s="3">
        <v>46080</v>
      </c>
      <c r="B970" s="4" t="str">
        <f>IF(A970="","","PC-"&amp;TEXT(A970,"mm/yyyy")&amp;"-"&amp;TEXT(COUNTIFS($A$2:A970,"&gt;="&amp;EOMONTH(A970,-1)+1,$A$2:A970,"&lt;="&amp;EOMONTH(A970,0)),"000"))</f>
        <v>PC-02/2026-010</v>
      </c>
      <c r="C970" s="7" t="s">
        <v>596</v>
      </c>
      <c r="D970" s="5" t="s">
        <v>29</v>
      </c>
      <c r="E970" s="5" t="s">
        <v>41</v>
      </c>
      <c r="F970" s="5"/>
      <c r="G970" s="5" t="s">
        <v>82</v>
      </c>
      <c r="H970" s="5" t="s">
        <v>23</v>
      </c>
      <c r="I970" s="6">
        <v>100000</v>
      </c>
      <c r="J970" s="6">
        <f>IF(D970="Thu",I970,0)</f>
        <v>0</v>
      </c>
      <c r="K970" s="6">
        <f>IF(D970="Chi",I970,0)</f>
        <v>100000</v>
      </c>
      <c r="L970" s="6" t="e">
        <f>L969+J970-K970</f>
        <v>#VALUE!</v>
      </c>
      <c r="M970" s="6">
        <f ca="1">IFERROR(__xludf.DUMMYFUNCTION("SUM(FILTER(J:J, H:H=""Tiền mặt"")) - SUM(FILTER(K:K, H:H=""Tiền mặt""))
"),959000)</f>
        <v>959000</v>
      </c>
      <c r="N970" s="6">
        <f ca="1">IFERROR(__xludf.DUMMYFUNCTION("SUM(FILTER(J:J, H:H=""Chuyển khoản"")) - SUM(FILTER(K:K, H:H=""Chuyển khoản""))
"),4468984)</f>
        <v>4468984</v>
      </c>
      <c r="O970" s="5"/>
      <c r="P970" s="5"/>
      <c r="Q970" s="5"/>
      <c r="R970" s="5"/>
      <c r="S970" s="5"/>
    </row>
    <row r="971" spans="1:19" ht="15.75" customHeight="1" x14ac:dyDescent="0.2">
      <c r="A971" s="3">
        <v>46080</v>
      </c>
      <c r="B971" s="4" t="str">
        <f>IF(A971="","","PC-"&amp;TEXT(A971,"mm/yyyy")&amp;"-"&amp;TEXT(COUNTIFS($A$2:A971,"&gt;="&amp;EOMONTH(A971,-1)+1,$A$2:A971,"&lt;="&amp;EOMONTH(A971,0)),"000"))</f>
        <v>PC-02/2026-011</v>
      </c>
      <c r="C971" s="7" t="s">
        <v>597</v>
      </c>
      <c r="D971" s="5" t="s">
        <v>29</v>
      </c>
      <c r="E971" s="5" t="s">
        <v>346</v>
      </c>
      <c r="F971" s="5"/>
      <c r="G971" s="5" t="s">
        <v>347</v>
      </c>
      <c r="H971" s="5" t="s">
        <v>27</v>
      </c>
      <c r="I971" s="6">
        <v>1000000</v>
      </c>
      <c r="J971" s="6">
        <f>IF(D971="Thu",I971,0)</f>
        <v>0</v>
      </c>
      <c r="K971" s="6">
        <f>IF(D971="Chi",I971,0)</f>
        <v>1000000</v>
      </c>
      <c r="L971" s="6" t="e">
        <f>L970+J971-K971</f>
        <v>#VALUE!</v>
      </c>
      <c r="M971" s="6">
        <f ca="1">IFERROR(__xludf.DUMMYFUNCTION("SUM(FILTER(J:J, H:H=""Tiền mặt"")) - SUM(FILTER(K:K, H:H=""Tiền mặt""))
"),959000)</f>
        <v>959000</v>
      </c>
      <c r="N971" s="6">
        <f ca="1">IFERROR(__xludf.DUMMYFUNCTION("SUM(FILTER(J:J, H:H=""Chuyển khoản"")) - SUM(FILTER(K:K, H:H=""Chuyển khoản""))
"),4468984)</f>
        <v>4468984</v>
      </c>
      <c r="O971" s="5"/>
      <c r="P971" s="5"/>
      <c r="Q971" s="5"/>
      <c r="R971" s="5"/>
      <c r="S971" s="5"/>
    </row>
    <row r="972" spans="1:19" ht="15.75" customHeight="1" x14ac:dyDescent="0.2">
      <c r="A972" s="3">
        <v>46080</v>
      </c>
      <c r="B972" s="4" t="str">
        <f>IF(A972="","","PC-"&amp;TEXT(A972,"mm/yyyy")&amp;"-"&amp;TEXT(COUNTIFS($A$2:A972,"&gt;="&amp;EOMONTH(A972,-1)+1,$A$2:A972,"&lt;="&amp;EOMONTH(A972,0)),"000"))</f>
        <v>PC-02/2026-012</v>
      </c>
      <c r="C972" s="5" t="s">
        <v>598</v>
      </c>
      <c r="D972" s="5" t="s">
        <v>29</v>
      </c>
      <c r="E972" s="5" t="s">
        <v>41</v>
      </c>
      <c r="F972" s="5"/>
      <c r="G972" s="5" t="s">
        <v>82</v>
      </c>
      <c r="H972" s="5" t="s">
        <v>23</v>
      </c>
      <c r="I972" s="6">
        <v>100000</v>
      </c>
      <c r="J972" s="6">
        <f>IF(D972="Thu",I972,0)</f>
        <v>0</v>
      </c>
      <c r="K972" s="6">
        <f>IF(D972="Chi",I972,0)</f>
        <v>100000</v>
      </c>
      <c r="L972" s="6" t="e">
        <f>L971+J972-K972</f>
        <v>#VALUE!</v>
      </c>
      <c r="M972" s="6">
        <f ca="1">IFERROR(__xludf.DUMMYFUNCTION("SUM(FILTER(J:J, H:H=""Tiền mặt"")) - SUM(FILTER(K:K, H:H=""Tiền mặt""))
"),959000)</f>
        <v>959000</v>
      </c>
      <c r="N972" s="6">
        <f ca="1">IFERROR(__xludf.DUMMYFUNCTION("SUM(FILTER(J:J, H:H=""Chuyển khoản"")) - SUM(FILTER(K:K, H:H=""Chuyển khoản""))
"),4468984)</f>
        <v>4468984</v>
      </c>
      <c r="O972" s="5"/>
      <c r="P972" s="5"/>
      <c r="Q972" s="5"/>
      <c r="R972" s="5"/>
      <c r="S972" s="5"/>
    </row>
    <row r="973" spans="1:19" ht="15.75" customHeight="1" x14ac:dyDescent="0.2">
      <c r="A973" s="3">
        <v>46079</v>
      </c>
      <c r="B973" s="4" t="str">
        <f>IF(A973="","","PC-"&amp;TEXT(A973,"mm/yyyy")&amp;"-"&amp;TEXT(COUNTIFS($A$2:A973,"&gt;="&amp;EOMONTH(A973,-1)+1,$A$2:A973,"&lt;="&amp;EOMONTH(A973,0)),"000"))</f>
        <v>PC-02/2026-013</v>
      </c>
      <c r="C973" s="7" t="s">
        <v>574</v>
      </c>
      <c r="D973" s="5" t="s">
        <v>29</v>
      </c>
      <c r="E973" s="5" t="s">
        <v>41</v>
      </c>
      <c r="F973" s="5"/>
      <c r="G973" s="5" t="s">
        <v>82</v>
      </c>
      <c r="H973" s="5" t="s">
        <v>23</v>
      </c>
      <c r="I973" s="6">
        <v>100000</v>
      </c>
      <c r="J973" s="6">
        <f>IF(D973="Thu",I973,0)</f>
        <v>0</v>
      </c>
      <c r="K973" s="6">
        <f>IF(D973="Chi",I973,0)</f>
        <v>100000</v>
      </c>
      <c r="L973" s="6" t="e">
        <f>L972+J973-K973</f>
        <v>#VALUE!</v>
      </c>
      <c r="M973" s="6">
        <f ca="1">IFERROR(__xludf.DUMMYFUNCTION("SUM(FILTER(J:J, H:H=""Tiền mặt"")) - SUM(FILTER(K:K, H:H=""Tiền mặt""))
"),959000)</f>
        <v>959000</v>
      </c>
      <c r="N973" s="6">
        <f ca="1">IFERROR(__xludf.DUMMYFUNCTION("SUM(FILTER(J:J, H:H=""Chuyển khoản"")) - SUM(FILTER(K:K, H:H=""Chuyển khoản""))
"),4468984)</f>
        <v>4468984</v>
      </c>
      <c r="O973" s="5"/>
      <c r="P973" s="5"/>
      <c r="Q973" s="5"/>
      <c r="R973" s="5"/>
      <c r="S973" s="5"/>
    </row>
    <row r="974" spans="1:19" ht="15.75" customHeight="1" x14ac:dyDescent="0.2">
      <c r="A974" s="3">
        <v>46079</v>
      </c>
      <c r="B974" s="4" t="str">
        <f>IF(A974="","","PC-"&amp;TEXT(A974,"mm/yyyy")&amp;"-"&amp;TEXT(COUNTIFS($A$2:A974,"&gt;="&amp;EOMONTH(A974,-1)+1,$A$2:A974,"&lt;="&amp;EOMONTH(A974,0)),"000"))</f>
        <v>PC-02/2026-014</v>
      </c>
      <c r="C974" s="5" t="s">
        <v>575</v>
      </c>
      <c r="D974" s="5" t="s">
        <v>29</v>
      </c>
      <c r="E974" s="5" t="s">
        <v>36</v>
      </c>
      <c r="F974" s="5"/>
      <c r="G974" s="5" t="s">
        <v>37</v>
      </c>
      <c r="H974" s="5" t="s">
        <v>23</v>
      </c>
      <c r="I974" s="6">
        <v>68000</v>
      </c>
      <c r="J974" s="6">
        <f>IF(D974="Thu",I974,0)</f>
        <v>0</v>
      </c>
      <c r="K974" s="6">
        <f>IF(D974="Chi",I974,0)</f>
        <v>68000</v>
      </c>
      <c r="L974" s="6" t="e">
        <f>L973+J974-K974</f>
        <v>#VALUE!</v>
      </c>
      <c r="M974" s="6">
        <f ca="1">IFERROR(__xludf.DUMMYFUNCTION("SUM(FILTER(J:J, H:H=""Tiền mặt"")) - SUM(FILTER(K:K, H:H=""Tiền mặt""))
"),959000)</f>
        <v>959000</v>
      </c>
      <c r="N974" s="6">
        <f ca="1">IFERROR(__xludf.DUMMYFUNCTION("SUM(FILTER(J:J, H:H=""Chuyển khoản"")) - SUM(FILTER(K:K, H:H=""Chuyển khoản""))
"),4468984)</f>
        <v>4468984</v>
      </c>
      <c r="O974" s="5"/>
      <c r="P974" s="5"/>
      <c r="Q974" s="5"/>
      <c r="R974" s="5"/>
      <c r="S974" s="5"/>
    </row>
    <row r="975" spans="1:19" ht="15.75" customHeight="1" x14ac:dyDescent="0.2">
      <c r="A975" s="3">
        <v>46079</v>
      </c>
      <c r="B975" s="4" t="str">
        <f>IF(A975="","","PC-"&amp;TEXT(A975,"mm/yyyy")&amp;"-"&amp;TEXT(COUNTIFS($A$2:A975,"&gt;="&amp;EOMONTH(A975,-1)+1,$A$2:A975,"&lt;="&amp;EOMONTH(A975,0)),"000"))</f>
        <v>PC-02/2026-015</v>
      </c>
      <c r="C975" s="5" t="s">
        <v>576</v>
      </c>
      <c r="D975" s="5" t="s">
        <v>29</v>
      </c>
      <c r="E975" s="5" t="s">
        <v>51</v>
      </c>
      <c r="F975" s="5"/>
      <c r="G975" s="5" t="s">
        <v>52</v>
      </c>
      <c r="H975" s="5" t="s">
        <v>27</v>
      </c>
      <c r="I975" s="6">
        <v>73851</v>
      </c>
      <c r="J975" s="6">
        <f>IF(D975="Thu",I975,0)</f>
        <v>0</v>
      </c>
      <c r="K975" s="6">
        <f>IF(D975="Chi",I975,0)</f>
        <v>73851</v>
      </c>
      <c r="L975" s="6" t="e">
        <f>L974+J975-K975</f>
        <v>#VALUE!</v>
      </c>
      <c r="M975" s="6">
        <f ca="1">IFERROR(__xludf.DUMMYFUNCTION("SUM(FILTER(J:J, H:H=""Tiền mặt"")) - SUM(FILTER(K:K, H:H=""Tiền mặt""))
"),959000)</f>
        <v>959000</v>
      </c>
      <c r="N975" s="6">
        <f ca="1">IFERROR(__xludf.DUMMYFUNCTION("SUM(FILTER(J:J, H:H=""Chuyển khoản"")) - SUM(FILTER(K:K, H:H=""Chuyển khoản""))
"),4468984)</f>
        <v>4468984</v>
      </c>
      <c r="O975" s="5"/>
      <c r="P975" s="5"/>
      <c r="Q975" s="5"/>
      <c r="R975" s="5"/>
      <c r="S975" s="5"/>
    </row>
    <row r="976" spans="1:19" ht="15.75" customHeight="1" x14ac:dyDescent="0.2">
      <c r="A976" s="3">
        <v>46079</v>
      </c>
      <c r="B976" s="4" t="str">
        <f>IF(A976="","","PC-"&amp;TEXT(A976,"mm/yyyy")&amp;"-"&amp;TEXT(COUNTIFS($A$2:A976,"&gt;="&amp;EOMONTH(A976,-1)+1,$A$2:A976,"&lt;="&amp;EOMONTH(A976,0)),"000"))</f>
        <v>PC-02/2026-016</v>
      </c>
      <c r="C976" s="5" t="s">
        <v>577</v>
      </c>
      <c r="D976" s="5" t="s">
        <v>29</v>
      </c>
      <c r="E976" s="5" t="s">
        <v>51</v>
      </c>
      <c r="F976" s="5"/>
      <c r="G976" s="5" t="s">
        <v>52</v>
      </c>
      <c r="H976" s="5" t="s">
        <v>27</v>
      </c>
      <c r="I976" s="6">
        <v>117451</v>
      </c>
      <c r="J976" s="6">
        <f>IF(D976="Thu",I976,0)</f>
        <v>0</v>
      </c>
      <c r="K976" s="6">
        <f>IF(D976="Chi",I976,0)</f>
        <v>117451</v>
      </c>
      <c r="L976" s="6" t="e">
        <f>L975+J976-K976</f>
        <v>#VALUE!</v>
      </c>
      <c r="M976" s="6">
        <f ca="1">IFERROR(__xludf.DUMMYFUNCTION("SUM(FILTER(J:J, H:H=""Tiền mặt"")) - SUM(FILTER(K:K, H:H=""Tiền mặt""))
"),959000)</f>
        <v>959000</v>
      </c>
      <c r="N976" s="6">
        <f ca="1">IFERROR(__xludf.DUMMYFUNCTION("SUM(FILTER(J:J, H:H=""Chuyển khoản"")) - SUM(FILTER(K:K, H:H=""Chuyển khoản""))
"),4468984)</f>
        <v>4468984</v>
      </c>
      <c r="O976" s="5"/>
      <c r="P976" s="5"/>
      <c r="Q976" s="5"/>
      <c r="R976" s="5"/>
      <c r="S976" s="5"/>
    </row>
    <row r="977" spans="1:19" ht="15.75" customHeight="1" x14ac:dyDescent="0.2">
      <c r="A977" s="3">
        <v>46079</v>
      </c>
      <c r="B977" s="4" t="str">
        <f>IF(A977="","","PC-"&amp;TEXT(A977,"mm/yyyy")&amp;"-"&amp;TEXT(COUNTIFS($A$2:A977,"&gt;="&amp;EOMONTH(A977,-1)+1,$A$2:A977,"&lt;="&amp;EOMONTH(A977,0)),"000"))</f>
        <v>PC-02/2026-017</v>
      </c>
      <c r="C977" s="5" t="s">
        <v>578</v>
      </c>
      <c r="D977" s="5" t="s">
        <v>29</v>
      </c>
      <c r="E977" s="5" t="s">
        <v>51</v>
      </c>
      <c r="F977" s="5"/>
      <c r="G977" s="5" t="s">
        <v>52</v>
      </c>
      <c r="H977" s="5" t="s">
        <v>27</v>
      </c>
      <c r="I977" s="6">
        <v>60500</v>
      </c>
      <c r="J977" s="6">
        <f>IF(D977="Thu",I977,0)</f>
        <v>0</v>
      </c>
      <c r="K977" s="6">
        <f>IF(D977="Chi",I977,0)</f>
        <v>60500</v>
      </c>
      <c r="L977" s="6" t="e">
        <f>L976+J977-K977</f>
        <v>#VALUE!</v>
      </c>
      <c r="M977" s="6">
        <f ca="1">IFERROR(__xludf.DUMMYFUNCTION("SUM(FILTER(J:J, H:H=""Tiền mặt"")) - SUM(FILTER(K:K, H:H=""Tiền mặt""))
"),959000)</f>
        <v>959000</v>
      </c>
      <c r="N977" s="6">
        <f ca="1">IFERROR(__xludf.DUMMYFUNCTION("SUM(FILTER(J:J, H:H=""Chuyển khoản"")) - SUM(FILTER(K:K, H:H=""Chuyển khoản""))
"),4468984)</f>
        <v>4468984</v>
      </c>
      <c r="O977" s="5"/>
      <c r="P977" s="5"/>
      <c r="Q977" s="5"/>
      <c r="R977" s="5"/>
      <c r="S977" s="5"/>
    </row>
    <row r="978" spans="1:19" ht="15.75" customHeight="1" x14ac:dyDescent="0.2">
      <c r="A978" s="3">
        <v>46079</v>
      </c>
      <c r="B978" s="4" t="str">
        <f>IF(A978="","","PC-"&amp;TEXT(A978,"mm/yyyy")&amp;"-"&amp;TEXT(COUNTIFS($A$2:A978,"&gt;="&amp;EOMONTH(A978,-1)+1,$A$2:A978,"&lt;="&amp;EOMONTH(A978,0)),"000"))</f>
        <v>PC-02/2026-018</v>
      </c>
      <c r="C978" s="5" t="s">
        <v>579</v>
      </c>
      <c r="D978" s="5" t="s">
        <v>29</v>
      </c>
      <c r="E978" s="5" t="s">
        <v>41</v>
      </c>
      <c r="F978" s="5"/>
      <c r="G978" s="5" t="s">
        <v>82</v>
      </c>
      <c r="H978" s="5" t="s">
        <v>23</v>
      </c>
      <c r="I978" s="6">
        <v>100000</v>
      </c>
      <c r="J978" s="6">
        <f>IF(D978="Thu",I978,0)</f>
        <v>0</v>
      </c>
      <c r="K978" s="6">
        <f>IF(D978="Chi",I978,0)</f>
        <v>100000</v>
      </c>
      <c r="L978" s="6" t="e">
        <f>L977+J978-K978</f>
        <v>#VALUE!</v>
      </c>
      <c r="M978" s="6">
        <f ca="1">IFERROR(__xludf.DUMMYFUNCTION("SUM(FILTER(J:J, H:H=""Tiền mặt"")) - SUM(FILTER(K:K, H:H=""Tiền mặt""))
"),959000)</f>
        <v>959000</v>
      </c>
      <c r="N978" s="6">
        <f ca="1">IFERROR(__xludf.DUMMYFUNCTION("SUM(FILTER(J:J, H:H=""Chuyển khoản"")) - SUM(FILTER(K:K, H:H=""Chuyển khoản""))
"),4468984)</f>
        <v>4468984</v>
      </c>
      <c r="O978" s="5"/>
      <c r="P978" s="5"/>
      <c r="Q978" s="5"/>
      <c r="R978" s="5"/>
      <c r="S978" s="5"/>
    </row>
    <row r="979" spans="1:19" ht="15.75" customHeight="1" x14ac:dyDescent="0.2">
      <c r="A979" s="3">
        <v>46079</v>
      </c>
      <c r="B979" s="4" t="str">
        <f>IF(A979="","","PC-"&amp;TEXT(A979,"mm/yyyy")&amp;"-"&amp;TEXT(COUNTIFS($A$2:A979,"&gt;="&amp;EOMONTH(A979,-1)+1,$A$2:A979,"&lt;="&amp;EOMONTH(A979,0)),"000"))</f>
        <v>PC-02/2026-019</v>
      </c>
      <c r="C979" s="5" t="s">
        <v>580</v>
      </c>
      <c r="D979" s="5" t="s">
        <v>29</v>
      </c>
      <c r="E979" s="5" t="s">
        <v>41</v>
      </c>
      <c r="F979" s="5"/>
      <c r="G979" s="5" t="s">
        <v>82</v>
      </c>
      <c r="H979" s="5" t="s">
        <v>23</v>
      </c>
      <c r="I979" s="6">
        <v>100000</v>
      </c>
      <c r="J979" s="6">
        <f>IF(D979="Thu",I979,0)</f>
        <v>0</v>
      </c>
      <c r="K979" s="6">
        <f>IF(D979="Chi",I979,0)</f>
        <v>100000</v>
      </c>
      <c r="L979" s="6" t="e">
        <f>L978+J979-K979</f>
        <v>#VALUE!</v>
      </c>
      <c r="M979" s="6">
        <f ca="1">IFERROR(__xludf.DUMMYFUNCTION("SUM(FILTER(J:J, H:H=""Tiền mặt"")) - SUM(FILTER(K:K, H:H=""Tiền mặt""))
"),959000)</f>
        <v>959000</v>
      </c>
      <c r="N979" s="6">
        <f ca="1">IFERROR(__xludf.DUMMYFUNCTION("SUM(FILTER(J:J, H:H=""Chuyển khoản"")) - SUM(FILTER(K:K, H:H=""Chuyển khoản""))
"),4468984)</f>
        <v>4468984</v>
      </c>
      <c r="O979" s="5"/>
      <c r="P979" s="5"/>
      <c r="Q979" s="5"/>
      <c r="R979" s="5"/>
      <c r="S979" s="5"/>
    </row>
    <row r="980" spans="1:19" ht="15.75" customHeight="1" x14ac:dyDescent="0.2">
      <c r="A980" s="3">
        <v>46079</v>
      </c>
      <c r="B980" s="4" t="str">
        <f>IF(A980="","","PC-"&amp;TEXT(A980,"mm/yyyy")&amp;"-"&amp;TEXT(COUNTIFS($A$2:A980,"&gt;="&amp;EOMONTH(A980,-1)+1,$A$2:A980,"&lt;="&amp;EOMONTH(A980,0)),"000"))</f>
        <v>PC-02/2026-020</v>
      </c>
      <c r="C980" s="5" t="s">
        <v>581</v>
      </c>
      <c r="D980" s="5" t="s">
        <v>20</v>
      </c>
      <c r="E980" s="5" t="s">
        <v>21</v>
      </c>
      <c r="F980" s="5"/>
      <c r="G980" s="5" t="s">
        <v>22</v>
      </c>
      <c r="H980" s="5" t="s">
        <v>27</v>
      </c>
      <c r="I980" s="6">
        <v>10000000</v>
      </c>
      <c r="J980" s="6">
        <f>IF(D980="Thu",I980,0)</f>
        <v>10000000</v>
      </c>
      <c r="K980" s="6">
        <f>IF(D980="Chi",I980,0)</f>
        <v>0</v>
      </c>
      <c r="L980" s="6" t="e">
        <f>L979+J980-K980</f>
        <v>#VALUE!</v>
      </c>
      <c r="M980" s="6">
        <f ca="1">IFERROR(__xludf.DUMMYFUNCTION("SUM(FILTER(J:J, H:H=""Tiền mặt"")) - SUM(FILTER(K:K, H:H=""Tiền mặt""))
"),959000)</f>
        <v>959000</v>
      </c>
      <c r="N980" s="6">
        <f ca="1">IFERROR(__xludf.DUMMYFUNCTION("SUM(FILTER(J:J, H:H=""Chuyển khoản"")) - SUM(FILTER(K:K, H:H=""Chuyển khoản""))
"),4468984)</f>
        <v>4468984</v>
      </c>
      <c r="O980" s="5"/>
      <c r="P980" s="5"/>
      <c r="Q980" s="5"/>
      <c r="R980" s="5"/>
      <c r="S980" s="5"/>
    </row>
    <row r="981" spans="1:19" ht="15.75" customHeight="1" x14ac:dyDescent="0.2">
      <c r="A981" s="3">
        <v>46079</v>
      </c>
      <c r="B981" s="4" t="str">
        <f>IF(A981="","","PC-"&amp;TEXT(A981,"mm/yyyy")&amp;"-"&amp;TEXT(COUNTIFS($A$2:A981,"&gt;="&amp;EOMONTH(A981,-1)+1,$A$2:A981,"&lt;="&amp;EOMONTH(A981,0)),"000"))</f>
        <v>PC-02/2026-021</v>
      </c>
      <c r="C981" s="5" t="s">
        <v>582</v>
      </c>
      <c r="D981" s="5" t="s">
        <v>29</v>
      </c>
      <c r="E981" s="5" t="s">
        <v>41</v>
      </c>
      <c r="F981" s="5"/>
      <c r="G981" s="5" t="s">
        <v>82</v>
      </c>
      <c r="H981" s="5" t="s">
        <v>23</v>
      </c>
      <c r="I981" s="6">
        <v>100000</v>
      </c>
      <c r="J981" s="6">
        <f>IF(D981="Thu",I981,0)</f>
        <v>0</v>
      </c>
      <c r="K981" s="6">
        <f>IF(D981="Chi",I981,0)</f>
        <v>100000</v>
      </c>
      <c r="L981" s="6" t="e">
        <f>L980+J981-K981</f>
        <v>#VALUE!</v>
      </c>
      <c r="M981" s="6">
        <f ca="1">IFERROR(__xludf.DUMMYFUNCTION("SUM(FILTER(J:J, H:H=""Tiền mặt"")) - SUM(FILTER(K:K, H:H=""Tiền mặt""))
"),959000)</f>
        <v>959000</v>
      </c>
      <c r="N981" s="6">
        <f ca="1">IFERROR(__xludf.DUMMYFUNCTION("SUM(FILTER(J:J, H:H=""Chuyển khoản"")) - SUM(FILTER(K:K, H:H=""Chuyển khoản""))
"),4468984)</f>
        <v>4468984</v>
      </c>
      <c r="O981" s="5"/>
      <c r="P981" s="5"/>
      <c r="Q981" s="5"/>
      <c r="R981" s="5"/>
      <c r="S981" s="5"/>
    </row>
    <row r="982" spans="1:19" ht="15.75" customHeight="1" x14ac:dyDescent="0.2">
      <c r="A982" s="3">
        <v>46079</v>
      </c>
      <c r="B982" s="4" t="str">
        <f>IF(A982="","","PC-"&amp;TEXT(A982,"mm/yyyy")&amp;"-"&amp;TEXT(COUNTIFS($A$2:A982,"&gt;="&amp;EOMONTH(A982,-1)+1,$A$2:A982,"&lt;="&amp;EOMONTH(A982,0)),"000"))</f>
        <v>PC-02/2026-022</v>
      </c>
      <c r="C982" s="5" t="s">
        <v>583</v>
      </c>
      <c r="D982" s="5" t="s">
        <v>20</v>
      </c>
      <c r="E982" s="5" t="s">
        <v>21</v>
      </c>
      <c r="F982" s="5"/>
      <c r="G982" s="5" t="s">
        <v>22</v>
      </c>
      <c r="H982" s="5" t="s">
        <v>23</v>
      </c>
      <c r="I982" s="6">
        <v>2000000</v>
      </c>
      <c r="J982" s="6">
        <f>IF(D982="Thu",I982,0)</f>
        <v>2000000</v>
      </c>
      <c r="K982" s="6">
        <f>IF(D982="Chi",I982,0)</f>
        <v>0</v>
      </c>
      <c r="L982" s="6" t="e">
        <f>L981+J982-K982</f>
        <v>#VALUE!</v>
      </c>
      <c r="M982" s="6">
        <f ca="1">IFERROR(__xludf.DUMMYFUNCTION("SUM(FILTER(J:J, H:H=""Tiền mặt"")) - SUM(FILTER(K:K, H:H=""Tiền mặt""))
"),959000)</f>
        <v>959000</v>
      </c>
      <c r="N982" s="6">
        <f ca="1">IFERROR(__xludf.DUMMYFUNCTION("SUM(FILTER(J:J, H:H=""Chuyển khoản"")) - SUM(FILTER(K:K, H:H=""Chuyển khoản""))
"),4468984)</f>
        <v>4468984</v>
      </c>
      <c r="O982" s="5"/>
      <c r="P982" s="5"/>
      <c r="Q982" s="5"/>
      <c r="R982" s="5"/>
      <c r="S982" s="5"/>
    </row>
    <row r="983" spans="1:19" ht="15.75" customHeight="1" x14ac:dyDescent="0.2">
      <c r="A983" s="3">
        <v>46079</v>
      </c>
      <c r="B983" s="4" t="str">
        <f>IF(A983="","","PC-"&amp;TEXT(A983,"mm/yyyy")&amp;"-"&amp;TEXT(COUNTIFS($A$2:A983,"&gt;="&amp;EOMONTH(A983,-1)+1,$A$2:A983,"&lt;="&amp;EOMONTH(A983,0)),"000"))</f>
        <v>PC-02/2026-023</v>
      </c>
      <c r="C983" s="5" t="s">
        <v>584</v>
      </c>
      <c r="D983" s="5" t="s">
        <v>29</v>
      </c>
      <c r="E983" s="5" t="s">
        <v>64</v>
      </c>
      <c r="F983" s="5"/>
      <c r="G983" s="5" t="s">
        <v>162</v>
      </c>
      <c r="H983" s="5" t="s">
        <v>23</v>
      </c>
      <c r="I983" s="6">
        <v>2000000</v>
      </c>
      <c r="J983" s="6">
        <f>IF(D983="Thu",I983,0)</f>
        <v>0</v>
      </c>
      <c r="K983" s="6">
        <f>IF(D983="Chi",I983,0)</f>
        <v>2000000</v>
      </c>
      <c r="L983" s="6" t="e">
        <f>L982+J983-K983</f>
        <v>#VALUE!</v>
      </c>
      <c r="M983" s="6">
        <f ca="1">IFERROR(__xludf.DUMMYFUNCTION("SUM(FILTER(J:J, H:H=""Tiền mặt"")) - SUM(FILTER(K:K, H:H=""Tiền mặt""))
"),959000)</f>
        <v>959000</v>
      </c>
      <c r="N983" s="6">
        <f ca="1">IFERROR(__xludf.DUMMYFUNCTION("SUM(FILTER(J:J, H:H=""Chuyển khoản"")) - SUM(FILTER(K:K, H:H=""Chuyển khoản""))
"),4468984)</f>
        <v>4468984</v>
      </c>
      <c r="O983" s="5"/>
      <c r="P983" s="5"/>
      <c r="Q983" s="5"/>
      <c r="R983" s="5"/>
      <c r="S983" s="5"/>
    </row>
    <row r="984" spans="1:19" ht="15.75" customHeight="1" x14ac:dyDescent="0.2">
      <c r="A984" s="3">
        <v>46079</v>
      </c>
      <c r="B984" s="4" t="str">
        <f>IF(A984="","","PC-"&amp;TEXT(A984,"mm/yyyy")&amp;"-"&amp;TEXT(COUNTIFS($A$2:A984,"&gt;="&amp;EOMONTH(A984,-1)+1,$A$2:A984,"&lt;="&amp;EOMONTH(A984,0)),"000"))</f>
        <v>PC-02/2026-024</v>
      </c>
      <c r="C984" s="5" t="s">
        <v>585</v>
      </c>
      <c r="D984" s="5" t="s">
        <v>29</v>
      </c>
      <c r="E984" s="5" t="s">
        <v>71</v>
      </c>
      <c r="F984" s="5"/>
      <c r="G984" s="5" t="s">
        <v>586</v>
      </c>
      <c r="H984" s="5" t="s">
        <v>27</v>
      </c>
      <c r="I984" s="6">
        <v>70000</v>
      </c>
      <c r="J984" s="6">
        <f>IF(D984="Thu",I984,0)</f>
        <v>0</v>
      </c>
      <c r="K984" s="6">
        <f>IF(D984="Chi",I984,0)</f>
        <v>70000</v>
      </c>
      <c r="L984" s="6" t="e">
        <f>L983+J984-K984</f>
        <v>#VALUE!</v>
      </c>
      <c r="M984" s="6">
        <f ca="1">IFERROR(__xludf.DUMMYFUNCTION("SUM(FILTER(J:J, H:H=""Tiền mặt"")) - SUM(FILTER(K:K, H:H=""Tiền mặt""))
"),959000)</f>
        <v>959000</v>
      </c>
      <c r="N984" s="6">
        <f ca="1">IFERROR(__xludf.DUMMYFUNCTION("SUM(FILTER(J:J, H:H=""Chuyển khoản"")) - SUM(FILTER(K:K, H:H=""Chuyển khoản""))
"),4468984)</f>
        <v>4468984</v>
      </c>
      <c r="O984" s="5"/>
      <c r="P984" s="5"/>
      <c r="Q984" s="5"/>
      <c r="R984" s="5"/>
      <c r="S984" s="5"/>
    </row>
    <row r="985" spans="1:19" ht="15.75" customHeight="1" x14ac:dyDescent="0.2">
      <c r="A985" s="3">
        <v>46079</v>
      </c>
      <c r="B985" s="4" t="str">
        <f>IF(A985="","","PC-"&amp;TEXT(A985,"mm/yyyy")&amp;"-"&amp;TEXT(COUNTIFS($A$2:A985,"&gt;="&amp;EOMONTH(A985,-1)+1,$A$2:A985,"&lt;="&amp;EOMONTH(A985,0)),"000"))</f>
        <v>PC-02/2026-025</v>
      </c>
      <c r="C985" s="5" t="s">
        <v>587</v>
      </c>
      <c r="D985" s="5" t="s">
        <v>29</v>
      </c>
      <c r="E985" s="5" t="s">
        <v>41</v>
      </c>
      <c r="F985" s="5"/>
      <c r="G985" s="5" t="s">
        <v>42</v>
      </c>
      <c r="H985" s="5" t="s">
        <v>23</v>
      </c>
      <c r="I985" s="6">
        <v>100000</v>
      </c>
      <c r="J985" s="6">
        <f>IF(D985="Thu",I985,0)</f>
        <v>0</v>
      </c>
      <c r="K985" s="6">
        <f>IF(D985="Chi",I985,0)</f>
        <v>100000</v>
      </c>
      <c r="L985" s="6" t="e">
        <f>L984+J985-K985</f>
        <v>#VALUE!</v>
      </c>
      <c r="M985" s="6">
        <f ca="1">IFERROR(__xludf.DUMMYFUNCTION("SUM(FILTER(J:J, H:H=""Tiền mặt"")) - SUM(FILTER(K:K, H:H=""Tiền mặt""))
"),959000)</f>
        <v>959000</v>
      </c>
      <c r="N985" s="6">
        <f ca="1">IFERROR(__xludf.DUMMYFUNCTION("SUM(FILTER(J:J, H:H=""Chuyển khoản"")) - SUM(FILTER(K:K, H:H=""Chuyển khoản""))
"),4468984)</f>
        <v>4468984</v>
      </c>
      <c r="O985" s="5"/>
      <c r="P985" s="5"/>
      <c r="Q985" s="5"/>
      <c r="R985" s="5"/>
      <c r="S985" s="5"/>
    </row>
    <row r="986" spans="1:19" ht="15.75" customHeight="1" x14ac:dyDescent="0.2">
      <c r="A986" s="3">
        <v>46079</v>
      </c>
      <c r="B986" s="4" t="str">
        <f>IF(A986="","","PC-"&amp;TEXT(A986,"mm/yyyy")&amp;"-"&amp;TEXT(COUNTIFS($A$2:A986,"&gt;="&amp;EOMONTH(A986,-1)+1,$A$2:A986,"&lt;="&amp;EOMONTH(A986,0)),"000"))</f>
        <v>PC-02/2026-026</v>
      </c>
      <c r="C986" s="5" t="s">
        <v>588</v>
      </c>
      <c r="D986" s="5" t="s">
        <v>20</v>
      </c>
      <c r="E986" s="5" t="s">
        <v>21</v>
      </c>
      <c r="F986" s="5"/>
      <c r="G986" s="5" t="s">
        <v>22</v>
      </c>
      <c r="H986" s="5" t="s">
        <v>23</v>
      </c>
      <c r="I986" s="6">
        <v>5000000</v>
      </c>
      <c r="J986" s="6">
        <f>IF(D986="Thu",I986,0)</f>
        <v>5000000</v>
      </c>
      <c r="K986" s="6">
        <f>IF(D986="Chi",I986,0)</f>
        <v>0</v>
      </c>
      <c r="L986" s="6" t="e">
        <f>L985+J986-K986</f>
        <v>#VALUE!</v>
      </c>
      <c r="M986" s="6">
        <f ca="1">IFERROR(__xludf.DUMMYFUNCTION("SUM(FILTER(J:J, H:H=""Tiền mặt"")) - SUM(FILTER(K:K, H:H=""Tiền mặt""))
"),959000)</f>
        <v>959000</v>
      </c>
      <c r="N986" s="6">
        <f ca="1">IFERROR(__xludf.DUMMYFUNCTION("SUM(FILTER(J:J, H:H=""Chuyển khoản"")) - SUM(FILTER(K:K, H:H=""Chuyển khoản""))
"),4468984)</f>
        <v>4468984</v>
      </c>
      <c r="O986" s="5"/>
      <c r="P986" s="5"/>
      <c r="Q986" s="5"/>
      <c r="R986" s="5"/>
      <c r="S986" s="5"/>
    </row>
    <row r="987" spans="1:19" ht="15.75" customHeight="1" x14ac:dyDescent="0.2">
      <c r="A987" s="3">
        <v>46079</v>
      </c>
      <c r="B987" s="4" t="str">
        <f>IF(A987="","","PC-"&amp;TEXT(A987,"mm/yyyy")&amp;"-"&amp;TEXT(COUNTIFS($A$2:A987,"&gt;="&amp;EOMONTH(A987,-1)+1,$A$2:A987,"&lt;="&amp;EOMONTH(A987,0)),"000"))</f>
        <v>PC-02/2026-027</v>
      </c>
      <c r="C987" s="7" t="s">
        <v>589</v>
      </c>
      <c r="D987" s="5" t="s">
        <v>29</v>
      </c>
      <c r="E987" s="5" t="s">
        <v>41</v>
      </c>
      <c r="F987" s="5"/>
      <c r="G987" s="5" t="s">
        <v>82</v>
      </c>
      <c r="H987" s="5" t="s">
        <v>23</v>
      </c>
      <c r="I987" s="6">
        <v>100000</v>
      </c>
      <c r="J987" s="6">
        <f>IF(D987="Thu",I987,0)</f>
        <v>0</v>
      </c>
      <c r="K987" s="6">
        <f>IF(D987="Chi",I987,0)</f>
        <v>100000</v>
      </c>
      <c r="L987" s="6" t="e">
        <f>L986+J987-K987</f>
        <v>#VALUE!</v>
      </c>
      <c r="M987" s="6">
        <f ca="1">IFERROR(__xludf.DUMMYFUNCTION("SUM(FILTER(J:J, H:H=""Tiền mặt"")) - SUM(FILTER(K:K, H:H=""Tiền mặt""))
"),959000)</f>
        <v>959000</v>
      </c>
      <c r="N987" s="6">
        <f ca="1">IFERROR(__xludf.DUMMYFUNCTION("SUM(FILTER(J:J, H:H=""Chuyển khoản"")) - SUM(FILTER(K:K, H:H=""Chuyển khoản""))
"),4468984)</f>
        <v>4468984</v>
      </c>
      <c r="O987" s="5"/>
      <c r="P987" s="5"/>
      <c r="Q987" s="5"/>
      <c r="R987" s="5"/>
      <c r="S987" s="5"/>
    </row>
    <row r="988" spans="1:19" ht="15.75" customHeight="1" x14ac:dyDescent="0.2">
      <c r="A988" s="3">
        <v>46079</v>
      </c>
      <c r="B988" s="4" t="str">
        <f>IF(A988="","","PC-"&amp;TEXT(A988,"mm/yyyy")&amp;"-"&amp;TEXT(COUNTIFS($A$2:A988,"&gt;="&amp;EOMONTH(A988,-1)+1,$A$2:A988,"&lt;="&amp;EOMONTH(A988,0)),"000"))</f>
        <v>PC-02/2026-028</v>
      </c>
      <c r="C988" s="5" t="s">
        <v>590</v>
      </c>
      <c r="D988" s="5" t="s">
        <v>29</v>
      </c>
      <c r="E988" s="5" t="s">
        <v>41</v>
      </c>
      <c r="F988" s="5"/>
      <c r="G988" s="5" t="s">
        <v>42</v>
      </c>
      <c r="H988" s="5" t="s">
        <v>23</v>
      </c>
      <c r="I988" s="6">
        <v>100000</v>
      </c>
      <c r="J988" s="6">
        <f>IF(D988="Thu",I988,0)</f>
        <v>0</v>
      </c>
      <c r="K988" s="6">
        <f>IF(D988="Chi",I988,0)</f>
        <v>100000</v>
      </c>
      <c r="L988" s="6" t="e">
        <f>L987+J988-K988</f>
        <v>#VALUE!</v>
      </c>
      <c r="M988" s="6">
        <f ca="1">IFERROR(__xludf.DUMMYFUNCTION("SUM(FILTER(J:J, H:H=""Tiền mặt"")) - SUM(FILTER(K:K, H:H=""Tiền mặt""))
"),959000)</f>
        <v>959000</v>
      </c>
      <c r="N988" s="6">
        <f ca="1">IFERROR(__xludf.DUMMYFUNCTION("SUM(FILTER(J:J, H:H=""Chuyển khoản"")) - SUM(FILTER(K:K, H:H=""Chuyển khoản""))
"),4468984)</f>
        <v>4468984</v>
      </c>
      <c r="O988" s="5"/>
      <c r="P988" s="5"/>
      <c r="Q988" s="5"/>
      <c r="R988" s="5"/>
      <c r="S988" s="5"/>
    </row>
    <row r="989" spans="1:19" ht="15.75" customHeight="1" x14ac:dyDescent="0.2">
      <c r="A989" s="3">
        <v>46063</v>
      </c>
      <c r="B989" s="4" t="str">
        <f>IF(A989="","","PC-"&amp;TEXT(A989,"mm/yyyy")&amp;"-"&amp;TEXT(COUNTIFS($A$2:A989,"&gt;="&amp;EOMONTH(A989,-1)+1,$A$2:A989,"&lt;="&amp;EOMONTH(A989,0)),"000"))</f>
        <v>PC-02/2026-029</v>
      </c>
      <c r="C989" s="5" t="s">
        <v>551</v>
      </c>
      <c r="D989" s="5" t="s">
        <v>29</v>
      </c>
      <c r="E989" s="5" t="s">
        <v>36</v>
      </c>
      <c r="F989" s="5"/>
      <c r="G989" s="5" t="s">
        <v>37</v>
      </c>
      <c r="H989" s="5" t="s">
        <v>23</v>
      </c>
      <c r="I989" s="6">
        <v>150000</v>
      </c>
      <c r="J989" s="6">
        <f>IF(D989="Thu",I989,0)</f>
        <v>0</v>
      </c>
      <c r="K989" s="6">
        <f>IF(D989="Chi",I989,0)</f>
        <v>150000</v>
      </c>
      <c r="L989" s="6" t="e">
        <f>L988+J989-K989</f>
        <v>#VALUE!</v>
      </c>
      <c r="M989" s="6">
        <f ca="1">IFERROR(__xludf.DUMMYFUNCTION("SUM(FILTER(J:J, H:H=""Tiền mặt"")) - SUM(FILTER(K:K, H:H=""Tiền mặt""))
"),959000)</f>
        <v>959000</v>
      </c>
      <c r="N989" s="6">
        <f ca="1">IFERROR(__xludf.DUMMYFUNCTION("SUM(FILTER(J:J, H:H=""Chuyển khoản"")) - SUM(FILTER(K:K, H:H=""Chuyển khoản""))
"),4468984)</f>
        <v>4468984</v>
      </c>
      <c r="O989" s="5"/>
      <c r="P989" s="5"/>
      <c r="Q989" s="5"/>
      <c r="R989" s="5"/>
      <c r="S989" s="5"/>
    </row>
    <row r="990" spans="1:19" ht="15.75" customHeight="1" x14ac:dyDescent="0.2">
      <c r="A990" s="3">
        <v>46063</v>
      </c>
      <c r="B990" s="4" t="str">
        <f>IF(A990="","","PC-"&amp;TEXT(A990,"mm/yyyy")&amp;"-"&amp;TEXT(COUNTIFS($A$2:A990,"&gt;="&amp;EOMONTH(A990,-1)+1,$A$2:A990,"&lt;="&amp;EOMONTH(A990,0)),"000"))</f>
        <v>PC-02/2026-030</v>
      </c>
      <c r="C990" s="7" t="s">
        <v>564</v>
      </c>
      <c r="D990" s="5" t="s">
        <v>29</v>
      </c>
      <c r="E990" s="5" t="s">
        <v>71</v>
      </c>
      <c r="F990" s="5"/>
      <c r="G990" s="5" t="s">
        <v>241</v>
      </c>
      <c r="H990" s="5" t="s">
        <v>27</v>
      </c>
      <c r="I990" s="6">
        <v>105000</v>
      </c>
      <c r="J990" s="6">
        <f>IF(D990="Thu",I990,0)</f>
        <v>0</v>
      </c>
      <c r="K990" s="6">
        <f>IF(D990="Chi",I990,0)</f>
        <v>105000</v>
      </c>
      <c r="L990" s="6" t="e">
        <f>L989+J990-K990</f>
        <v>#VALUE!</v>
      </c>
      <c r="M990" s="6">
        <f ca="1">IFERROR(__xludf.DUMMYFUNCTION("SUM(FILTER(J:J, H:H=""Tiền mặt"")) - SUM(FILTER(K:K, H:H=""Tiền mặt""))
"),959000)</f>
        <v>959000</v>
      </c>
      <c r="N990" s="6">
        <f ca="1">IFERROR(__xludf.DUMMYFUNCTION("SUM(FILTER(J:J, H:H=""Chuyển khoản"")) - SUM(FILTER(K:K, H:H=""Chuyển khoản""))
"),4468984)</f>
        <v>4468984</v>
      </c>
      <c r="O990" s="5"/>
      <c r="P990" s="5"/>
      <c r="Q990" s="5"/>
      <c r="R990" s="5"/>
      <c r="S990" s="5"/>
    </row>
    <row r="991" spans="1:19" ht="15.75" customHeight="1" x14ac:dyDescent="0.2">
      <c r="A991" s="3">
        <v>46063</v>
      </c>
      <c r="B991" s="4" t="str">
        <f>IF(A991="","","PC-"&amp;TEXT(A991,"mm/yyyy")&amp;"-"&amp;TEXT(COUNTIFS($A$2:A991,"&gt;="&amp;EOMONTH(A991,-1)+1,$A$2:A991,"&lt;="&amp;EOMONTH(A991,0)),"000"))</f>
        <v>PC-02/2026-031</v>
      </c>
      <c r="C991" s="5" t="s">
        <v>565</v>
      </c>
      <c r="D991" s="5" t="s">
        <v>29</v>
      </c>
      <c r="E991" s="5" t="s">
        <v>64</v>
      </c>
      <c r="F991" s="5"/>
      <c r="G991" s="5" t="s">
        <v>241</v>
      </c>
      <c r="H991" s="5" t="s">
        <v>23</v>
      </c>
      <c r="I991" s="6">
        <v>50000</v>
      </c>
      <c r="J991" s="6">
        <f>IF(D991="Thu",I991,0)</f>
        <v>0</v>
      </c>
      <c r="K991" s="6">
        <f>IF(D991="Chi",I991,0)</f>
        <v>50000</v>
      </c>
      <c r="L991" s="6" t="e">
        <f>L990+J991-K991</f>
        <v>#VALUE!</v>
      </c>
      <c r="M991" s="6">
        <f ca="1">IFERROR(__xludf.DUMMYFUNCTION("SUM(FILTER(J:J, H:H=""Tiền mặt"")) - SUM(FILTER(K:K, H:H=""Tiền mặt""))
"),959000)</f>
        <v>959000</v>
      </c>
      <c r="N991" s="6">
        <f ca="1">IFERROR(__xludf.DUMMYFUNCTION("SUM(FILTER(J:J, H:H=""Chuyển khoản"")) - SUM(FILTER(K:K, H:H=""Chuyển khoản""))
"),4468984)</f>
        <v>4468984</v>
      </c>
      <c r="O991" s="5"/>
      <c r="P991" s="5"/>
      <c r="Q991" s="5"/>
      <c r="R991" s="5"/>
      <c r="S991" s="5"/>
    </row>
    <row r="992" spans="1:19" ht="15.75" customHeight="1" x14ac:dyDescent="0.2">
      <c r="A992" s="3">
        <v>46063</v>
      </c>
      <c r="B992" s="4" t="str">
        <f>IF(A992="","","PC-"&amp;TEXT(A992,"mm/yyyy")&amp;"-"&amp;TEXT(COUNTIFS($A$2:A992,"&gt;="&amp;EOMONTH(A992,-1)+1,$A$2:A992,"&lt;="&amp;EOMONTH(A992,0)),"000"))</f>
        <v>PC-02/2026-032</v>
      </c>
      <c r="C992" s="5" t="s">
        <v>554</v>
      </c>
      <c r="D992" s="5" t="s">
        <v>29</v>
      </c>
      <c r="E992" s="5" t="s">
        <v>153</v>
      </c>
      <c r="F992" s="5"/>
      <c r="G992" s="5" t="s">
        <v>154</v>
      </c>
      <c r="H992" s="5" t="s">
        <v>27</v>
      </c>
      <c r="I992" s="6">
        <v>385000</v>
      </c>
      <c r="J992" s="6">
        <f>IF(D992="Thu",I992,0)</f>
        <v>0</v>
      </c>
      <c r="K992" s="6">
        <f>IF(D992="Chi",I992,0)</f>
        <v>385000</v>
      </c>
      <c r="L992" s="6" t="e">
        <f>L991+J992-K992</f>
        <v>#VALUE!</v>
      </c>
      <c r="M992" s="6">
        <f ca="1">IFERROR(__xludf.DUMMYFUNCTION("SUM(FILTER(J:J, H:H=""Tiền mặt"")) - SUM(FILTER(K:K, H:H=""Tiền mặt""))
"),959000)</f>
        <v>959000</v>
      </c>
      <c r="N992" s="6">
        <f ca="1">IFERROR(__xludf.DUMMYFUNCTION("SUM(FILTER(J:J, H:H=""Chuyển khoản"")) - SUM(FILTER(K:K, H:H=""Chuyển khoản""))
"),4468984)</f>
        <v>4468984</v>
      </c>
      <c r="O992" s="5"/>
      <c r="P992" s="5"/>
      <c r="Q992" s="5"/>
      <c r="R992" s="5"/>
      <c r="S992" s="5"/>
    </row>
    <row r="993" spans="1:19" ht="15.75" customHeight="1" x14ac:dyDescent="0.2">
      <c r="A993" s="3">
        <v>46063</v>
      </c>
      <c r="B993" s="4" t="str">
        <f>IF(A993="","","PC-"&amp;TEXT(A993,"mm/yyyy")&amp;"-"&amp;TEXT(COUNTIFS($A$2:A993,"&gt;="&amp;EOMONTH(A993,-1)+1,$A$2:A993,"&lt;="&amp;EOMONTH(A993,0)),"000"))</f>
        <v>PC-02/2026-033</v>
      </c>
      <c r="C993" s="5" t="s">
        <v>566</v>
      </c>
      <c r="D993" s="5" t="s">
        <v>29</v>
      </c>
      <c r="E993" s="5" t="s">
        <v>41</v>
      </c>
      <c r="F993" s="5"/>
      <c r="G993" s="5" t="s">
        <v>82</v>
      </c>
      <c r="H993" s="5" t="s">
        <v>23</v>
      </c>
      <c r="I993" s="6">
        <v>100000</v>
      </c>
      <c r="J993" s="6">
        <f>IF(D993="Thu",I993,0)</f>
        <v>0</v>
      </c>
      <c r="K993" s="6">
        <f>IF(D993="Chi",I993,0)</f>
        <v>100000</v>
      </c>
      <c r="L993" s="6" t="e">
        <f>L992+J993-K993</f>
        <v>#VALUE!</v>
      </c>
      <c r="M993" s="6">
        <f ca="1">IFERROR(__xludf.DUMMYFUNCTION("SUM(FILTER(J:J, H:H=""Tiền mặt"")) - SUM(FILTER(K:K, H:H=""Tiền mặt""))
"),959000)</f>
        <v>959000</v>
      </c>
      <c r="N993" s="6">
        <f ca="1">IFERROR(__xludf.DUMMYFUNCTION("SUM(FILTER(J:J, H:H=""Chuyển khoản"")) - SUM(FILTER(K:K, H:H=""Chuyển khoản""))
"),4468984)</f>
        <v>4468984</v>
      </c>
      <c r="O993" s="5"/>
      <c r="P993" s="5"/>
      <c r="Q993" s="5"/>
      <c r="R993" s="5"/>
      <c r="S993" s="5"/>
    </row>
    <row r="994" spans="1:19" ht="15.75" customHeight="1" x14ac:dyDescent="0.2">
      <c r="A994" s="3">
        <v>46063</v>
      </c>
      <c r="B994" s="4" t="str">
        <f>IF(A994="","","PC-"&amp;TEXT(A994,"mm/yyyy")&amp;"-"&amp;TEXT(COUNTIFS($A$2:A994,"&gt;="&amp;EOMONTH(A994,-1)+1,$A$2:A994,"&lt;="&amp;EOMONTH(A994,0)),"000"))</f>
        <v>PC-02/2026-034</v>
      </c>
      <c r="C994" s="7" t="s">
        <v>567</v>
      </c>
      <c r="D994" s="5" t="s">
        <v>29</v>
      </c>
      <c r="E994" s="5" t="s">
        <v>47</v>
      </c>
      <c r="F994" s="5"/>
      <c r="G994" s="5" t="s">
        <v>48</v>
      </c>
      <c r="H994" s="5" t="s">
        <v>23</v>
      </c>
      <c r="I994" s="6">
        <v>50000</v>
      </c>
      <c r="J994" s="6">
        <f>IF(D994="Thu",I994,0)</f>
        <v>0</v>
      </c>
      <c r="K994" s="6">
        <f>IF(D994="Chi",I994,0)</f>
        <v>50000</v>
      </c>
      <c r="L994" s="6" t="e">
        <f>L993+J994-K994</f>
        <v>#VALUE!</v>
      </c>
      <c r="M994" s="6">
        <f ca="1">IFERROR(__xludf.DUMMYFUNCTION("SUM(FILTER(J:J, H:H=""Tiền mặt"")) - SUM(FILTER(K:K, H:H=""Tiền mặt""))
"),959000)</f>
        <v>959000</v>
      </c>
      <c r="N994" s="6">
        <f ca="1">IFERROR(__xludf.DUMMYFUNCTION("SUM(FILTER(J:J, H:H=""Chuyển khoản"")) - SUM(FILTER(K:K, H:H=""Chuyển khoản""))
"),4468984)</f>
        <v>4468984</v>
      </c>
      <c r="O994" s="5"/>
      <c r="P994" s="5"/>
      <c r="Q994" s="5"/>
      <c r="R994" s="5"/>
      <c r="S994" s="5"/>
    </row>
    <row r="995" spans="1:19" ht="15.75" customHeight="1" x14ac:dyDescent="0.2">
      <c r="A995" s="3">
        <v>46063</v>
      </c>
      <c r="B995" s="4" t="str">
        <f>IF(A995="","","PC-"&amp;TEXT(A995,"mm/yyyy")&amp;"-"&amp;TEXT(COUNTIFS($A$2:A995,"&gt;="&amp;EOMONTH(A995,-1)+1,$A$2:A995,"&lt;="&amp;EOMONTH(A995,0)),"000"))</f>
        <v>PC-02/2026-035</v>
      </c>
      <c r="C995" s="5" t="s">
        <v>568</v>
      </c>
      <c r="D995" s="5" t="s">
        <v>29</v>
      </c>
      <c r="E995" s="5" t="s">
        <v>44</v>
      </c>
      <c r="F995" s="5"/>
      <c r="G995" s="5" t="s">
        <v>374</v>
      </c>
      <c r="H995" s="5" t="s">
        <v>23</v>
      </c>
      <c r="I995" s="6">
        <v>1500000</v>
      </c>
      <c r="J995" s="6">
        <f>IF(D995="Thu",I995,0)</f>
        <v>0</v>
      </c>
      <c r="K995" s="6">
        <f>IF(D995="Chi",I995,0)</f>
        <v>1500000</v>
      </c>
      <c r="L995" s="6" t="e">
        <f>L994+J995-K995</f>
        <v>#VALUE!</v>
      </c>
      <c r="M995" s="6">
        <f ca="1">IFERROR(__xludf.DUMMYFUNCTION("SUM(FILTER(J:J, H:H=""Tiền mặt"")) - SUM(FILTER(K:K, H:H=""Tiền mặt""))
"),959000)</f>
        <v>959000</v>
      </c>
      <c r="N995" s="6">
        <f ca="1">IFERROR(__xludf.DUMMYFUNCTION("SUM(FILTER(J:J, H:H=""Chuyển khoản"")) - SUM(FILTER(K:K, H:H=""Chuyển khoản""))
"),4468984)</f>
        <v>4468984</v>
      </c>
      <c r="O995" s="5"/>
      <c r="P995" s="5"/>
      <c r="Q995" s="5"/>
      <c r="R995" s="5"/>
      <c r="S995" s="5"/>
    </row>
    <row r="996" spans="1:19" ht="15.75" customHeight="1" x14ac:dyDescent="0.2">
      <c r="A996" s="3">
        <v>46063</v>
      </c>
      <c r="B996" s="4" t="str">
        <f>IF(A996="","","PC-"&amp;TEXT(A996,"mm/yyyy")&amp;"-"&amp;TEXT(COUNTIFS($A$2:A996,"&gt;="&amp;EOMONTH(A996,-1)+1,$A$2:A996,"&lt;="&amp;EOMONTH(A996,0)),"000"))</f>
        <v>PC-02/2026-036</v>
      </c>
      <c r="C996" s="5" t="s">
        <v>569</v>
      </c>
      <c r="D996" s="5" t="s">
        <v>29</v>
      </c>
      <c r="E996" s="5" t="s">
        <v>47</v>
      </c>
      <c r="F996" s="5"/>
      <c r="G996" s="5" t="s">
        <v>48</v>
      </c>
      <c r="H996" s="5" t="s">
        <v>23</v>
      </c>
      <c r="I996" s="6">
        <v>50000</v>
      </c>
      <c r="J996" s="6">
        <f>IF(D996="Thu",I996,0)</f>
        <v>0</v>
      </c>
      <c r="K996" s="6">
        <f>IF(D996="Chi",I996,0)</f>
        <v>50000</v>
      </c>
      <c r="L996" s="6" t="e">
        <f>L995+J996-K996</f>
        <v>#VALUE!</v>
      </c>
      <c r="M996" s="6">
        <f ca="1">IFERROR(__xludf.DUMMYFUNCTION("SUM(FILTER(J:J, H:H=""Tiền mặt"")) - SUM(FILTER(K:K, H:H=""Tiền mặt""))
"),959000)</f>
        <v>959000</v>
      </c>
      <c r="N996" s="6">
        <f ca="1">IFERROR(__xludf.DUMMYFUNCTION("SUM(FILTER(J:J, H:H=""Chuyển khoản"")) - SUM(FILTER(K:K, H:H=""Chuyển khoản""))
"),4468984)</f>
        <v>4468984</v>
      </c>
      <c r="O996" s="5"/>
      <c r="P996" s="5"/>
      <c r="Q996" s="5"/>
      <c r="R996" s="5"/>
      <c r="S996" s="5"/>
    </row>
    <row r="997" spans="1:19" ht="15.75" customHeight="1" x14ac:dyDescent="0.2">
      <c r="A997" s="3">
        <v>46063</v>
      </c>
      <c r="B997" s="4" t="str">
        <f>IF(A997="","","PC-"&amp;TEXT(A997,"mm/yyyy")&amp;"-"&amp;TEXT(COUNTIFS($A$2:A997,"&gt;="&amp;EOMONTH(A997,-1)+1,$A$2:A997,"&lt;="&amp;EOMONTH(A997,0)),"000"))</f>
        <v>PC-02/2026-037</v>
      </c>
      <c r="C997" s="5" t="s">
        <v>570</v>
      </c>
      <c r="D997" s="5" t="s">
        <v>29</v>
      </c>
      <c r="E997" s="5" t="s">
        <v>36</v>
      </c>
      <c r="F997" s="5"/>
      <c r="G997" s="5" t="s">
        <v>571</v>
      </c>
      <c r="H997" s="5" t="s">
        <v>23</v>
      </c>
      <c r="I997" s="6">
        <v>25000</v>
      </c>
      <c r="J997" s="6">
        <f>IF(D997="Thu",I997,0)</f>
        <v>0</v>
      </c>
      <c r="K997" s="6">
        <f>IF(D997="Chi",I997,0)</f>
        <v>25000</v>
      </c>
      <c r="L997" s="6" t="e">
        <f>L996+J997-K997</f>
        <v>#VALUE!</v>
      </c>
      <c r="M997" s="6">
        <f ca="1">IFERROR(__xludf.DUMMYFUNCTION("SUM(FILTER(J:J, H:H=""Tiền mặt"")) - SUM(FILTER(K:K, H:H=""Tiền mặt""))
"),959000)</f>
        <v>959000</v>
      </c>
      <c r="N997" s="6">
        <f ca="1">IFERROR(__xludf.DUMMYFUNCTION("SUM(FILTER(J:J, H:H=""Chuyển khoản"")) - SUM(FILTER(K:K, H:H=""Chuyển khoản""))
"),4468984)</f>
        <v>4468984</v>
      </c>
      <c r="O997" s="5"/>
      <c r="P997" s="5"/>
      <c r="Q997" s="5"/>
      <c r="R997" s="5"/>
      <c r="S997" s="5"/>
    </row>
    <row r="998" spans="1:19" ht="15.75" customHeight="1" x14ac:dyDescent="0.2">
      <c r="A998" s="3">
        <v>46063</v>
      </c>
      <c r="B998" s="4" t="str">
        <f>IF(A998="","","PC-"&amp;TEXT(A998,"mm/yyyy")&amp;"-"&amp;TEXT(COUNTIFS($A$2:A998,"&gt;="&amp;EOMONTH(A998,-1)+1,$A$2:A998,"&lt;="&amp;EOMONTH(A998,0)),"000"))</f>
        <v>PC-02/2026-038</v>
      </c>
      <c r="C998" s="5" t="s">
        <v>572</v>
      </c>
      <c r="D998" s="5" t="s">
        <v>29</v>
      </c>
      <c r="E998" s="5" t="s">
        <v>51</v>
      </c>
      <c r="F998" s="5"/>
      <c r="G998" s="5" t="s">
        <v>52</v>
      </c>
      <c r="H998" s="5" t="s">
        <v>27</v>
      </c>
      <c r="I998" s="6">
        <v>97240</v>
      </c>
      <c r="J998" s="6">
        <f>IF(D998="Thu",I998,0)</f>
        <v>0</v>
      </c>
      <c r="K998" s="6">
        <f>IF(D998="Chi",I998,0)</f>
        <v>97240</v>
      </c>
      <c r="L998" s="6" t="e">
        <f>L997+J998-K998</f>
        <v>#VALUE!</v>
      </c>
      <c r="M998" s="6">
        <f ca="1">IFERROR(__xludf.DUMMYFUNCTION("SUM(FILTER(J:J, H:H=""Tiền mặt"")) - SUM(FILTER(K:K, H:H=""Tiền mặt""))
"),959000)</f>
        <v>959000</v>
      </c>
      <c r="N998" s="6">
        <f ca="1">IFERROR(__xludf.DUMMYFUNCTION("SUM(FILTER(J:J, H:H=""Chuyển khoản"")) - SUM(FILTER(K:K, H:H=""Chuyển khoản""))
"),4468984)</f>
        <v>4468984</v>
      </c>
      <c r="O998" s="5"/>
      <c r="P998" s="5"/>
      <c r="Q998" s="5"/>
      <c r="R998" s="5"/>
      <c r="S998" s="5"/>
    </row>
    <row r="999" spans="1:19" ht="15.75" customHeight="1" x14ac:dyDescent="0.2">
      <c r="A999" s="3">
        <v>46063</v>
      </c>
      <c r="B999" s="4" t="str">
        <f>IF(A999="","","PC-"&amp;TEXT(A999,"mm/yyyy")&amp;"-"&amp;TEXT(COUNTIFS($A$2:A999,"&gt;="&amp;EOMONTH(A999,-1)+1,$A$2:A999,"&lt;="&amp;EOMONTH(A999,0)),"000"))</f>
        <v>PC-02/2026-039</v>
      </c>
      <c r="C999" s="5" t="s">
        <v>573</v>
      </c>
      <c r="D999" s="5" t="s">
        <v>29</v>
      </c>
      <c r="E999" s="5" t="s">
        <v>51</v>
      </c>
      <c r="F999" s="5"/>
      <c r="G999" s="5" t="s">
        <v>52</v>
      </c>
      <c r="H999" s="5" t="s">
        <v>27</v>
      </c>
      <c r="I999" s="6">
        <v>110561</v>
      </c>
      <c r="J999" s="6">
        <f>IF(D999="Thu",I999,0)</f>
        <v>0</v>
      </c>
      <c r="K999" s="6">
        <f>IF(D999="Chi",I999,0)</f>
        <v>110561</v>
      </c>
      <c r="L999" s="6" t="e">
        <f>L998+J999-K999</f>
        <v>#VALUE!</v>
      </c>
      <c r="M999" s="6">
        <f ca="1">IFERROR(__xludf.DUMMYFUNCTION("SUM(FILTER(J:J, H:H=""Tiền mặt"")) - SUM(FILTER(K:K, H:H=""Tiền mặt""))
"),959000)</f>
        <v>959000</v>
      </c>
      <c r="N999" s="6">
        <f ca="1">IFERROR(__xludf.DUMMYFUNCTION("SUM(FILTER(J:J, H:H=""Chuyển khoản"")) - SUM(FILTER(K:K, H:H=""Chuyển khoản""))
"),4468984)</f>
        <v>4468984</v>
      </c>
      <c r="O999" s="5"/>
      <c r="P999" s="5"/>
      <c r="Q999" s="5"/>
      <c r="R999" s="5"/>
      <c r="S999" s="5"/>
    </row>
    <row r="1000" spans="1:19" ht="15.75" customHeight="1" x14ac:dyDescent="0.2">
      <c r="A1000" s="3">
        <v>46062</v>
      </c>
      <c r="B1000" s="4" t="str">
        <f>IF(A1000="","","PC-"&amp;TEXT(A1000,"mm/yyyy")&amp;"-"&amp;TEXT(COUNTIFS($A$2:A1000,"&gt;="&amp;EOMONTH(A1000,-1)+1,$A$2:A1000,"&lt;="&amp;EOMONTH(A1000,0)),"000"))</f>
        <v>PC-02/2026-040</v>
      </c>
      <c r="C1000" s="5" t="s">
        <v>555</v>
      </c>
      <c r="D1000" s="5" t="s">
        <v>29</v>
      </c>
      <c r="E1000" s="5" t="s">
        <v>61</v>
      </c>
      <c r="F1000" s="5"/>
      <c r="G1000" s="5" t="s">
        <v>52</v>
      </c>
      <c r="H1000" s="5" t="s">
        <v>27</v>
      </c>
      <c r="I1000" s="6">
        <v>200000</v>
      </c>
      <c r="J1000" s="6">
        <f>IF(D1000="Thu",I1000,0)</f>
        <v>0</v>
      </c>
      <c r="K1000" s="6">
        <f>IF(D1000="Chi",I1000,0)</f>
        <v>200000</v>
      </c>
      <c r="L1000" s="6" t="e">
        <f>L999+J1000-K1000</f>
        <v>#VALUE!</v>
      </c>
      <c r="M1000" s="6">
        <f ca="1">IFERROR(__xludf.DUMMYFUNCTION("SUM(FILTER(J:J, H:H=""Tiền mặt"")) - SUM(FILTER(K:K, H:H=""Tiền mặt""))
"),959000)</f>
        <v>959000</v>
      </c>
      <c r="N1000" s="6">
        <f ca="1">IFERROR(__xludf.DUMMYFUNCTION("SUM(FILTER(J:J, H:H=""Chuyển khoản"")) - SUM(FILTER(K:K, H:H=""Chuyển khoản""))
"),4468984)</f>
        <v>4468984</v>
      </c>
      <c r="O1000" s="5"/>
      <c r="P1000" s="5"/>
      <c r="Q1000" s="5"/>
      <c r="R1000" s="5"/>
      <c r="S1000" s="5"/>
    </row>
    <row r="1001" spans="1:19" ht="15.75" customHeight="1" x14ac:dyDescent="0.2">
      <c r="A1001" s="3">
        <v>46062</v>
      </c>
      <c r="B1001" s="4" t="str">
        <f>IF(A1001="","","PC-"&amp;TEXT(A1001,"mm/yyyy")&amp;"-"&amp;TEXT(COUNTIFS($A$2:A1001,"&gt;="&amp;EOMONTH(A1001,-1)+1,$A$2:A1001,"&lt;="&amp;EOMONTH(A1001,0)),"000"))</f>
        <v>PC-02/2026-041</v>
      </c>
      <c r="C1001" s="5" t="s">
        <v>556</v>
      </c>
      <c r="D1001" s="5" t="s">
        <v>20</v>
      </c>
      <c r="E1001" s="5" t="s">
        <v>21</v>
      </c>
      <c r="F1001" s="5"/>
      <c r="G1001" s="5" t="s">
        <v>22</v>
      </c>
      <c r="H1001" s="5" t="s">
        <v>23</v>
      </c>
      <c r="I1001" s="6">
        <v>5000000</v>
      </c>
      <c r="J1001" s="6">
        <f>IF(D1001="Thu",I1001,0)</f>
        <v>5000000</v>
      </c>
      <c r="K1001" s="6">
        <f>IF(D1001="Chi",I1001,0)</f>
        <v>0</v>
      </c>
      <c r="L1001" s="6" t="e">
        <f>L1000+J1001-K1001</f>
        <v>#VALUE!</v>
      </c>
      <c r="M1001" s="6">
        <f ca="1">IFERROR(__xludf.DUMMYFUNCTION("SUM(FILTER(J:J, H:H=""Tiền mặt"")) - SUM(FILTER(K:K, H:H=""Tiền mặt""))
"),959000)</f>
        <v>959000</v>
      </c>
      <c r="N1001" s="6">
        <f ca="1">IFERROR(__xludf.DUMMYFUNCTION("SUM(FILTER(J:J, H:H=""Chuyển khoản"")) - SUM(FILTER(K:K, H:H=""Chuyển khoản""))
"),4468984)</f>
        <v>4468984</v>
      </c>
      <c r="O1001" s="5"/>
      <c r="P1001" s="5"/>
      <c r="Q1001" s="5"/>
      <c r="R1001" s="5"/>
      <c r="S1001" s="5"/>
    </row>
    <row r="1002" spans="1:19" ht="15.75" customHeight="1" x14ac:dyDescent="0.2">
      <c r="A1002" s="3">
        <v>46062</v>
      </c>
      <c r="B1002" s="4" t="str">
        <f>IF(A1002="","","PC-"&amp;TEXT(A1002,"mm/yyyy")&amp;"-"&amp;TEXT(COUNTIFS($A$2:A1002,"&gt;="&amp;EOMONTH(A1002,-1)+1,$A$2:A1002,"&lt;="&amp;EOMONTH(A1002,0)),"000"))</f>
        <v>PC-02/2026-042</v>
      </c>
      <c r="C1002" s="7" t="s">
        <v>557</v>
      </c>
      <c r="D1002" s="5" t="s">
        <v>29</v>
      </c>
      <c r="E1002" s="5" t="s">
        <v>88</v>
      </c>
      <c r="F1002" s="5"/>
      <c r="G1002" s="5" t="s">
        <v>89</v>
      </c>
      <c r="H1002" s="5" t="s">
        <v>23</v>
      </c>
      <c r="I1002" s="6">
        <v>569000</v>
      </c>
      <c r="J1002" s="6">
        <f>IF(D1002="Thu",I1002,0)</f>
        <v>0</v>
      </c>
      <c r="K1002" s="6">
        <f>IF(D1002="Chi",I1002,0)</f>
        <v>569000</v>
      </c>
      <c r="L1002" s="6" t="e">
        <f>L1001+J1002-K1002</f>
        <v>#VALUE!</v>
      </c>
      <c r="M1002" s="6">
        <f ca="1">IFERROR(__xludf.DUMMYFUNCTION("SUM(FILTER(J:J, H:H=""Tiền mặt"")) - SUM(FILTER(K:K, H:H=""Tiền mặt""))
"),959000)</f>
        <v>959000</v>
      </c>
      <c r="N1002" s="6">
        <f ca="1">IFERROR(__xludf.DUMMYFUNCTION("SUM(FILTER(J:J, H:H=""Chuyển khoản"")) - SUM(FILTER(K:K, H:H=""Chuyển khoản""))
"),4468984)</f>
        <v>4468984</v>
      </c>
      <c r="O1002" s="5"/>
      <c r="P1002" s="5"/>
      <c r="Q1002" s="5"/>
      <c r="R1002" s="5"/>
      <c r="S1002" s="5"/>
    </row>
    <row r="1003" spans="1:19" ht="15.75" customHeight="1" x14ac:dyDescent="0.2">
      <c r="A1003" s="3">
        <v>46062</v>
      </c>
      <c r="B1003" s="4" t="str">
        <f>IF(A1003="","","PC-"&amp;TEXT(A1003,"mm/yyyy")&amp;"-"&amp;TEXT(COUNTIFS($A$2:A1003,"&gt;="&amp;EOMONTH(A1003,-1)+1,$A$2:A1003,"&lt;="&amp;EOMONTH(A1003,0)),"000"))</f>
        <v>PC-02/2026-043</v>
      </c>
      <c r="C1003" s="5" t="s">
        <v>558</v>
      </c>
      <c r="D1003" s="5" t="s">
        <v>20</v>
      </c>
      <c r="E1003" s="5" t="s">
        <v>21</v>
      </c>
      <c r="F1003" s="5"/>
      <c r="G1003" s="5" t="s">
        <v>22</v>
      </c>
      <c r="H1003" s="5" t="s">
        <v>23</v>
      </c>
      <c r="I1003" s="6">
        <v>1000000</v>
      </c>
      <c r="J1003" s="6">
        <f>IF(D1003="Thu",I1003,0)</f>
        <v>1000000</v>
      </c>
      <c r="K1003" s="6">
        <f>IF(D1003="Chi",I1003,0)</f>
        <v>0</v>
      </c>
      <c r="L1003" s="6" t="e">
        <f>L1002+J1003-K1003</f>
        <v>#VALUE!</v>
      </c>
      <c r="M1003" s="6">
        <f ca="1">IFERROR(__xludf.DUMMYFUNCTION("SUM(FILTER(J:J, H:H=""Tiền mặt"")) - SUM(FILTER(K:K, H:H=""Tiền mặt""))
"),959000)</f>
        <v>959000</v>
      </c>
      <c r="N1003" s="6">
        <f ca="1">IFERROR(__xludf.DUMMYFUNCTION("SUM(FILTER(J:J, H:H=""Chuyển khoản"")) - SUM(FILTER(K:K, H:H=""Chuyển khoản""))
"),4468984)</f>
        <v>4468984</v>
      </c>
      <c r="O1003" s="5"/>
      <c r="P1003" s="5"/>
      <c r="Q1003" s="5"/>
      <c r="R1003" s="5"/>
      <c r="S1003" s="5"/>
    </row>
    <row r="1004" spans="1:19" ht="15.75" customHeight="1" x14ac:dyDescent="0.2">
      <c r="A1004" s="3">
        <v>46062</v>
      </c>
      <c r="B1004" s="4" t="str">
        <f>IF(A1004="","","PC-"&amp;TEXT(A1004,"mm/yyyy")&amp;"-"&amp;TEXT(COUNTIFS($A$2:A1004,"&gt;="&amp;EOMONTH(A1004,-1)+1,$A$2:A1004,"&lt;="&amp;EOMONTH(A1004,0)),"000"))</f>
        <v>PC-02/2026-044</v>
      </c>
      <c r="C1004" s="5" t="s">
        <v>559</v>
      </c>
      <c r="D1004" s="5" t="s">
        <v>29</v>
      </c>
      <c r="E1004" s="5" t="s">
        <v>41</v>
      </c>
      <c r="F1004" s="5"/>
      <c r="G1004" s="5" t="s">
        <v>560</v>
      </c>
      <c r="H1004" s="5" t="s">
        <v>23</v>
      </c>
      <c r="I1004" s="6">
        <v>1000000</v>
      </c>
      <c r="J1004" s="6">
        <f>IF(D1004="Thu",I1004,0)</f>
        <v>0</v>
      </c>
      <c r="K1004" s="6">
        <f>IF(D1004="Chi",I1004,0)</f>
        <v>1000000</v>
      </c>
      <c r="L1004" s="6" t="e">
        <f>L1003+J1004-K1004</f>
        <v>#VALUE!</v>
      </c>
      <c r="M1004" s="6">
        <f ca="1">IFERROR(__xludf.DUMMYFUNCTION("SUM(FILTER(J:J, H:H=""Tiền mặt"")) - SUM(FILTER(K:K, H:H=""Tiền mặt""))
"),959000)</f>
        <v>959000</v>
      </c>
      <c r="N1004" s="6">
        <f ca="1">IFERROR(__xludf.DUMMYFUNCTION("SUM(FILTER(J:J, H:H=""Chuyển khoản"")) - SUM(FILTER(K:K, H:H=""Chuyển khoản""))
"),4468984)</f>
        <v>4468984</v>
      </c>
      <c r="O1004" s="5"/>
      <c r="P1004" s="5"/>
      <c r="Q1004" s="5"/>
      <c r="R1004" s="5"/>
      <c r="S1004" s="5"/>
    </row>
    <row r="1005" spans="1:19" ht="15.75" customHeight="1" x14ac:dyDescent="0.2">
      <c r="A1005" s="3">
        <v>46062</v>
      </c>
      <c r="B1005" s="4" t="str">
        <f>IF(A1005="","","PC-"&amp;TEXT(A1005,"mm/yyyy")&amp;"-"&amp;TEXT(COUNTIFS($A$2:A1005,"&gt;="&amp;EOMONTH(A1005,-1)+1,$A$2:A1005,"&lt;="&amp;EOMONTH(A1005,0)),"000"))</f>
        <v>PC-02/2026-045</v>
      </c>
      <c r="C1005" s="5" t="s">
        <v>561</v>
      </c>
      <c r="D1005" s="5" t="s">
        <v>29</v>
      </c>
      <c r="E1005" s="5" t="s">
        <v>41</v>
      </c>
      <c r="F1005" s="5"/>
      <c r="G1005" s="5" t="s">
        <v>82</v>
      </c>
      <c r="H1005" s="5" t="s">
        <v>23</v>
      </c>
      <c r="I1005" s="6">
        <v>100000</v>
      </c>
      <c r="J1005" s="6">
        <f>IF(D1005="Thu",I1005,0)</f>
        <v>0</v>
      </c>
      <c r="K1005" s="6">
        <f>IF(D1005="Chi",I1005,0)</f>
        <v>100000</v>
      </c>
      <c r="L1005" s="6" t="e">
        <f>L1004+J1005-K1005</f>
        <v>#VALUE!</v>
      </c>
      <c r="M1005" s="6">
        <f ca="1">IFERROR(__xludf.DUMMYFUNCTION("SUM(FILTER(J:J, H:H=""Tiền mặt"")) - SUM(FILTER(K:K, H:H=""Tiền mặt""))
"),959000)</f>
        <v>959000</v>
      </c>
      <c r="N1005" s="6">
        <f ca="1">IFERROR(__xludf.DUMMYFUNCTION("SUM(FILTER(J:J, H:H=""Chuyển khoản"")) - SUM(FILTER(K:K, H:H=""Chuyển khoản""))
"),4468984)</f>
        <v>4468984</v>
      </c>
      <c r="O1005" s="5"/>
      <c r="P1005" s="5"/>
      <c r="Q1005" s="5"/>
      <c r="R1005" s="5"/>
      <c r="S1005" s="5"/>
    </row>
    <row r="1006" spans="1:19" ht="15.75" customHeight="1" x14ac:dyDescent="0.2">
      <c r="A1006" s="3">
        <v>46062</v>
      </c>
      <c r="B1006" s="4" t="str">
        <f>IF(A1006="","","PC-"&amp;TEXT(A1006,"mm/yyyy")&amp;"-"&amp;TEXT(COUNTIFS($A$2:A1006,"&gt;="&amp;EOMONTH(A1006,-1)+1,$A$2:A1006,"&lt;="&amp;EOMONTH(A1006,0)),"000"))</f>
        <v>PC-02/2026-046</v>
      </c>
      <c r="C1006" s="5" t="s">
        <v>562</v>
      </c>
      <c r="D1006" s="5" t="s">
        <v>29</v>
      </c>
      <c r="E1006" s="5" t="s">
        <v>41</v>
      </c>
      <c r="F1006" s="5"/>
      <c r="G1006" s="5" t="s">
        <v>82</v>
      </c>
      <c r="H1006" s="5" t="s">
        <v>23</v>
      </c>
      <c r="I1006" s="6">
        <v>100000</v>
      </c>
      <c r="J1006" s="6">
        <f>IF(D1006="Thu",I1006,0)</f>
        <v>0</v>
      </c>
      <c r="K1006" s="6">
        <f>IF(D1006="Chi",I1006,0)</f>
        <v>100000</v>
      </c>
      <c r="L1006" s="6" t="e">
        <f>L1005+J1006-K1006</f>
        <v>#VALUE!</v>
      </c>
      <c r="M1006" s="6">
        <f ca="1">IFERROR(__xludf.DUMMYFUNCTION("SUM(FILTER(J:J, H:H=""Tiền mặt"")) - SUM(FILTER(K:K, H:H=""Tiền mặt""))
"),959000)</f>
        <v>959000</v>
      </c>
      <c r="N1006" s="6">
        <f ca="1">IFERROR(__xludf.DUMMYFUNCTION("SUM(FILTER(J:J, H:H=""Chuyển khoản"")) - SUM(FILTER(K:K, H:H=""Chuyển khoản""))
"),4468984)</f>
        <v>4468984</v>
      </c>
      <c r="O1006" s="5"/>
      <c r="P1006" s="5"/>
      <c r="Q1006" s="5"/>
      <c r="R1006" s="5"/>
      <c r="S1006" s="5"/>
    </row>
    <row r="1007" spans="1:19" ht="15.75" customHeight="1" x14ac:dyDescent="0.2">
      <c r="A1007" s="3">
        <v>46062</v>
      </c>
      <c r="B1007" s="4" t="str">
        <f>IF(A1007="","","PC-"&amp;TEXT(A1007,"mm/yyyy")&amp;"-"&amp;TEXT(COUNTIFS($A$2:A1007,"&gt;="&amp;EOMONTH(A1007,-1)+1,$A$2:A1007,"&lt;="&amp;EOMONTH(A1007,0)),"000"))</f>
        <v>PC-02/2026-047</v>
      </c>
      <c r="C1007" s="5" t="s">
        <v>563</v>
      </c>
      <c r="D1007" s="5" t="s">
        <v>29</v>
      </c>
      <c r="E1007" s="5" t="s">
        <v>64</v>
      </c>
      <c r="F1007" s="5"/>
      <c r="G1007" s="5" t="s">
        <v>162</v>
      </c>
      <c r="H1007" s="5" t="s">
        <v>23</v>
      </c>
      <c r="I1007" s="6">
        <v>2000000</v>
      </c>
      <c r="J1007" s="6">
        <f>IF(D1007="Thu",I1007,0)</f>
        <v>0</v>
      </c>
      <c r="K1007" s="6">
        <f>IF(D1007="Chi",I1007,0)</f>
        <v>2000000</v>
      </c>
      <c r="L1007" s="6" t="e">
        <f>L1006+J1007-K1007</f>
        <v>#VALUE!</v>
      </c>
      <c r="M1007" s="6">
        <f ca="1">IFERROR(__xludf.DUMMYFUNCTION("SUM(FILTER(J:J, H:H=""Tiền mặt"")) - SUM(FILTER(K:K, H:H=""Tiền mặt""))
"),959000)</f>
        <v>959000</v>
      </c>
      <c r="N1007" s="6">
        <f ca="1">IFERROR(__xludf.DUMMYFUNCTION("SUM(FILTER(J:J, H:H=""Chuyển khoản"")) - SUM(FILTER(K:K, H:H=""Chuyển khoản""))
"),4468984)</f>
        <v>4468984</v>
      </c>
      <c r="O1007" s="5"/>
      <c r="P1007" s="5"/>
      <c r="Q1007" s="5"/>
      <c r="R1007" s="5"/>
      <c r="S1007" s="5"/>
    </row>
    <row r="1008" spans="1:19" ht="15.75" customHeight="1" x14ac:dyDescent="0.2">
      <c r="A1008" s="3">
        <v>46060</v>
      </c>
      <c r="B1008" s="4" t="str">
        <f>IF(A1008="","","PC-"&amp;TEXT(A1008,"mm/yyyy")&amp;"-"&amp;TEXT(COUNTIFS($A$2:A1008,"&gt;="&amp;EOMONTH(A1008,-1)+1,$A$2:A1008,"&lt;="&amp;EOMONTH(A1008,0)),"000"))</f>
        <v>PC-02/2026-048</v>
      </c>
      <c r="C1008" s="5" t="s">
        <v>549</v>
      </c>
      <c r="D1008" s="5" t="s">
        <v>29</v>
      </c>
      <c r="E1008" s="5" t="s">
        <v>44</v>
      </c>
      <c r="F1008" s="5"/>
      <c r="G1008" s="5" t="s">
        <v>353</v>
      </c>
      <c r="H1008" s="5" t="s">
        <v>23</v>
      </c>
      <c r="I1008" s="6">
        <v>1500000</v>
      </c>
      <c r="J1008" s="6">
        <f>IF(D1008="Thu",I1008,0)</f>
        <v>0</v>
      </c>
      <c r="K1008" s="6">
        <f>IF(D1008="Chi",I1008,0)</f>
        <v>1500000</v>
      </c>
      <c r="L1008" s="6" t="e">
        <f>L1007+J1008-K1008</f>
        <v>#VALUE!</v>
      </c>
      <c r="M1008" s="6">
        <f ca="1">IFERROR(__xludf.DUMMYFUNCTION("SUM(FILTER(J:J, H:H=""Tiền mặt"")) - SUM(FILTER(K:K, H:H=""Tiền mặt""))
"),959000)</f>
        <v>959000</v>
      </c>
      <c r="N1008" s="6">
        <f ca="1">IFERROR(__xludf.DUMMYFUNCTION("SUM(FILTER(J:J, H:H=""Chuyển khoản"")) - SUM(FILTER(K:K, H:H=""Chuyển khoản""))
"),4468984)</f>
        <v>4468984</v>
      </c>
      <c r="O1008" s="5"/>
      <c r="P1008" s="5"/>
      <c r="Q1008" s="5"/>
      <c r="R1008" s="5"/>
      <c r="S1008" s="5"/>
    </row>
    <row r="1009" spans="1:19" ht="15.75" customHeight="1" x14ac:dyDescent="0.2">
      <c r="A1009" s="3">
        <v>46060</v>
      </c>
      <c r="B1009" s="4" t="str">
        <f>IF(A1009="","","PC-"&amp;TEXT(A1009,"mm/yyyy")&amp;"-"&amp;TEXT(COUNTIFS($A$2:A1009,"&gt;="&amp;EOMONTH(A1009,-1)+1,$A$2:A1009,"&lt;="&amp;EOMONTH(A1009,0)),"000"))</f>
        <v>PC-02/2026-049</v>
      </c>
      <c r="C1009" s="5" t="s">
        <v>550</v>
      </c>
      <c r="D1009" s="5" t="s">
        <v>29</v>
      </c>
      <c r="E1009" s="5" t="s">
        <v>47</v>
      </c>
      <c r="F1009" s="5"/>
      <c r="G1009" s="5" t="s">
        <v>48</v>
      </c>
      <c r="H1009" s="5" t="s">
        <v>23</v>
      </c>
      <c r="I1009" s="6">
        <v>50000</v>
      </c>
      <c r="J1009" s="6">
        <f>IF(D1009="Thu",I1009,0)</f>
        <v>0</v>
      </c>
      <c r="K1009" s="6">
        <f>IF(D1009="Chi",I1009,0)</f>
        <v>50000</v>
      </c>
      <c r="L1009" s="6" t="e">
        <f>L1008+J1009-K1009</f>
        <v>#VALUE!</v>
      </c>
      <c r="M1009" s="6">
        <f ca="1">IFERROR(__xludf.DUMMYFUNCTION("SUM(FILTER(J:J, H:H=""Tiền mặt"")) - SUM(FILTER(K:K, H:H=""Tiền mặt""))
"),959000)</f>
        <v>959000</v>
      </c>
      <c r="N1009" s="6">
        <f ca="1">IFERROR(__xludf.DUMMYFUNCTION("SUM(FILTER(J:J, H:H=""Chuyển khoản"")) - SUM(FILTER(K:K, H:H=""Chuyển khoản""))
"),4468984)</f>
        <v>4468984</v>
      </c>
      <c r="O1009" s="5"/>
      <c r="P1009" s="5"/>
      <c r="Q1009" s="5"/>
      <c r="R1009" s="5"/>
      <c r="S1009" s="5"/>
    </row>
    <row r="1010" spans="1:19" ht="15.75" customHeight="1" x14ac:dyDescent="0.2">
      <c r="A1010" s="3">
        <v>46060</v>
      </c>
      <c r="B1010" s="4" t="str">
        <f>IF(A1010="","","PC-"&amp;TEXT(A1010,"mm/yyyy")&amp;"-"&amp;TEXT(COUNTIFS($A$2:A1010,"&gt;="&amp;EOMONTH(A1010,-1)+1,$A$2:A1010,"&lt;="&amp;EOMONTH(A1010,0)),"000"))</f>
        <v>PC-02/2026-050</v>
      </c>
      <c r="C1010" s="5" t="s">
        <v>551</v>
      </c>
      <c r="D1010" s="5" t="s">
        <v>29</v>
      </c>
      <c r="E1010" s="5" t="s">
        <v>36</v>
      </c>
      <c r="F1010" s="5"/>
      <c r="G1010" s="5" t="s">
        <v>37</v>
      </c>
      <c r="H1010" s="5" t="s">
        <v>23</v>
      </c>
      <c r="I1010" s="6">
        <v>70000</v>
      </c>
      <c r="J1010" s="6">
        <f>IF(D1010="Thu",I1010,0)</f>
        <v>0</v>
      </c>
      <c r="K1010" s="6">
        <f>IF(D1010="Chi",I1010,0)</f>
        <v>70000</v>
      </c>
      <c r="L1010" s="6" t="e">
        <f>L1009+J1010-K1010</f>
        <v>#VALUE!</v>
      </c>
      <c r="M1010" s="6">
        <f ca="1">IFERROR(__xludf.DUMMYFUNCTION("SUM(FILTER(J:J, H:H=""Tiền mặt"")) - SUM(FILTER(K:K, H:H=""Tiền mặt""))
"),959000)</f>
        <v>959000</v>
      </c>
      <c r="N1010" s="6">
        <f ca="1">IFERROR(__xludf.DUMMYFUNCTION("SUM(FILTER(J:J, H:H=""Chuyển khoản"")) - SUM(FILTER(K:K, H:H=""Chuyển khoản""))
"),4468984)</f>
        <v>4468984</v>
      </c>
      <c r="O1010" s="5"/>
      <c r="P1010" s="5"/>
      <c r="Q1010" s="5"/>
      <c r="R1010" s="5"/>
      <c r="S1010" s="5"/>
    </row>
    <row r="1011" spans="1:19" ht="15.75" customHeight="1" x14ac:dyDescent="0.2">
      <c r="A1011" s="3">
        <v>46060</v>
      </c>
      <c r="B1011" s="4" t="str">
        <f>IF(A1011="","","PC-"&amp;TEXT(A1011,"mm/yyyy")&amp;"-"&amp;TEXT(COUNTIFS($A$2:A1011,"&gt;="&amp;EOMONTH(A1011,-1)+1,$A$2:A1011,"&lt;="&amp;EOMONTH(A1011,0)),"000"))</f>
        <v>PC-02/2026-051</v>
      </c>
      <c r="C1011" s="5" t="s">
        <v>552</v>
      </c>
      <c r="D1011" s="5" t="s">
        <v>29</v>
      </c>
      <c r="E1011" s="5" t="s">
        <v>41</v>
      </c>
      <c r="F1011" s="5"/>
      <c r="G1011" s="5" t="s">
        <v>82</v>
      </c>
      <c r="H1011" s="5" t="s">
        <v>23</v>
      </c>
      <c r="I1011" s="6">
        <v>200000</v>
      </c>
      <c r="J1011" s="6">
        <f>IF(D1011="Thu",I1011,0)</f>
        <v>0</v>
      </c>
      <c r="K1011" s="6">
        <f>IF(D1011="Chi",I1011,0)</f>
        <v>200000</v>
      </c>
      <c r="L1011" s="6" t="e">
        <f>L1010+J1011-K1011</f>
        <v>#VALUE!</v>
      </c>
      <c r="M1011" s="6">
        <f ca="1">IFERROR(__xludf.DUMMYFUNCTION("SUM(FILTER(J:J, H:H=""Tiền mặt"")) - SUM(FILTER(K:K, H:H=""Tiền mặt""))
"),959000)</f>
        <v>959000</v>
      </c>
      <c r="N1011" s="6">
        <f ca="1">IFERROR(__xludf.DUMMYFUNCTION("SUM(FILTER(J:J, H:H=""Chuyển khoản"")) - SUM(FILTER(K:K, H:H=""Chuyển khoản""))
"),4468984)</f>
        <v>4468984</v>
      </c>
      <c r="O1011" s="5"/>
      <c r="P1011" s="5"/>
      <c r="Q1011" s="5"/>
      <c r="R1011" s="5"/>
      <c r="S1011" s="5"/>
    </row>
    <row r="1012" spans="1:19" ht="15.75" customHeight="1" x14ac:dyDescent="0.2">
      <c r="A1012" s="3">
        <v>46060</v>
      </c>
      <c r="B1012" s="4" t="str">
        <f>IF(A1012="","","PC-"&amp;TEXT(A1012,"mm/yyyy")&amp;"-"&amp;TEXT(COUNTIFS($A$2:A1012,"&gt;="&amp;EOMONTH(A1012,-1)+1,$A$2:A1012,"&lt;="&amp;EOMONTH(A1012,0)),"000"))</f>
        <v>PC-02/2026-052</v>
      </c>
      <c r="C1012" s="5" t="s">
        <v>553</v>
      </c>
      <c r="D1012" s="5" t="s">
        <v>29</v>
      </c>
      <c r="E1012" s="5" t="s">
        <v>41</v>
      </c>
      <c r="F1012" s="5"/>
      <c r="G1012" s="5" t="s">
        <v>192</v>
      </c>
      <c r="H1012" s="5" t="s">
        <v>23</v>
      </c>
      <c r="I1012" s="6">
        <v>100000</v>
      </c>
      <c r="J1012" s="6">
        <f>IF(D1012="Thu",I1012,0)</f>
        <v>0</v>
      </c>
      <c r="K1012" s="6">
        <f>IF(D1012="Chi",I1012,0)</f>
        <v>100000</v>
      </c>
      <c r="L1012" s="6" t="e">
        <f>L1011+J1012-K1012</f>
        <v>#VALUE!</v>
      </c>
      <c r="M1012" s="6">
        <f ca="1">IFERROR(__xludf.DUMMYFUNCTION("SUM(FILTER(J:J, H:H=""Tiền mặt"")) - SUM(FILTER(K:K, H:H=""Tiền mặt""))
"),959000)</f>
        <v>959000</v>
      </c>
      <c r="N1012" s="6">
        <f ca="1">IFERROR(__xludf.DUMMYFUNCTION("SUM(FILTER(J:J, H:H=""Chuyển khoản"")) - SUM(FILTER(K:K, H:H=""Chuyển khoản""))
"),4468984)</f>
        <v>4468984</v>
      </c>
      <c r="O1012" s="5"/>
      <c r="P1012" s="5"/>
      <c r="Q1012" s="5"/>
      <c r="R1012" s="5"/>
      <c r="S1012" s="5"/>
    </row>
    <row r="1013" spans="1:19" ht="15.75" customHeight="1" x14ac:dyDescent="0.2">
      <c r="A1013" s="3">
        <v>46060</v>
      </c>
      <c r="B1013" s="4" t="str">
        <f>IF(A1013="","","PC-"&amp;TEXT(A1013,"mm/yyyy")&amp;"-"&amp;TEXT(COUNTIFS($A$2:A1013,"&gt;="&amp;EOMONTH(A1013,-1)+1,$A$2:A1013,"&lt;="&amp;EOMONTH(A1013,0)),"000"))</f>
        <v>PC-02/2026-053</v>
      </c>
      <c r="C1013" s="5" t="s">
        <v>554</v>
      </c>
      <c r="D1013" s="5" t="s">
        <v>29</v>
      </c>
      <c r="E1013" s="5" t="s">
        <v>153</v>
      </c>
      <c r="F1013" s="5"/>
      <c r="G1013" s="5" t="s">
        <v>154</v>
      </c>
      <c r="H1013" s="5" t="s">
        <v>27</v>
      </c>
      <c r="I1013" s="6">
        <v>1365000</v>
      </c>
      <c r="J1013" s="6">
        <f>IF(D1013="Thu",I1013,0)</f>
        <v>0</v>
      </c>
      <c r="K1013" s="6">
        <f>IF(D1013="Chi",I1013,0)</f>
        <v>1365000</v>
      </c>
      <c r="L1013" s="6" t="e">
        <f>L1012+J1013-K1013</f>
        <v>#VALUE!</v>
      </c>
      <c r="M1013" s="6">
        <f ca="1">IFERROR(__xludf.DUMMYFUNCTION("SUM(FILTER(J:J, H:H=""Tiền mặt"")) - SUM(FILTER(K:K, H:H=""Tiền mặt""))
"),959000)</f>
        <v>959000</v>
      </c>
      <c r="N1013" s="6">
        <f ca="1">IFERROR(__xludf.DUMMYFUNCTION("SUM(FILTER(J:J, H:H=""Chuyển khoản"")) - SUM(FILTER(K:K, H:H=""Chuyển khoản""))
"),4468984)</f>
        <v>4468984</v>
      </c>
      <c r="O1013" s="5"/>
      <c r="P1013" s="5"/>
      <c r="Q1013" s="5"/>
      <c r="R1013" s="5"/>
      <c r="S1013" s="5"/>
    </row>
    <row r="1014" spans="1:19" ht="15.75" customHeight="1" x14ac:dyDescent="0.2">
      <c r="A1014" s="3">
        <v>46059</v>
      </c>
      <c r="B1014" s="4" t="str">
        <f>IF(A1014="","","PC-"&amp;TEXT(A1014,"mm/yyyy")&amp;"-"&amp;TEXT(COUNTIFS($A$2:A1014,"&gt;="&amp;EOMONTH(A1014,-1)+1,$A$2:A1014,"&lt;="&amp;EOMONTH(A1014,0)),"000"))</f>
        <v>PC-02/2026-054</v>
      </c>
      <c r="C1014" s="5" t="s">
        <v>528</v>
      </c>
      <c r="D1014" s="5" t="s">
        <v>29</v>
      </c>
      <c r="E1014" s="5" t="s">
        <v>36</v>
      </c>
      <c r="F1014" s="5"/>
      <c r="G1014" s="5" t="s">
        <v>37</v>
      </c>
      <c r="H1014" s="5" t="s">
        <v>23</v>
      </c>
      <c r="I1014" s="6">
        <v>55000</v>
      </c>
      <c r="J1014" s="6">
        <f>IF(D1014="Thu",I1014,0)</f>
        <v>0</v>
      </c>
      <c r="K1014" s="6">
        <f>IF(D1014="Chi",I1014,0)</f>
        <v>55000</v>
      </c>
      <c r="L1014" s="6" t="e">
        <f>L1013+J1014-K1014</f>
        <v>#VALUE!</v>
      </c>
      <c r="M1014" s="6">
        <f ca="1">IFERROR(__xludf.DUMMYFUNCTION("SUM(FILTER(J:J, H:H=""Tiền mặt"")) - SUM(FILTER(K:K, H:H=""Tiền mặt""))
"),959000)</f>
        <v>959000</v>
      </c>
      <c r="N1014" s="6">
        <f ca="1">IFERROR(__xludf.DUMMYFUNCTION("SUM(FILTER(J:J, H:H=""Chuyển khoản"")) - SUM(FILTER(K:K, H:H=""Chuyển khoản""))
"),4468984)</f>
        <v>4468984</v>
      </c>
      <c r="O1014" s="5"/>
      <c r="P1014" s="5"/>
      <c r="Q1014" s="5"/>
      <c r="R1014" s="5"/>
      <c r="S1014" s="5"/>
    </row>
    <row r="1015" spans="1:19" ht="15.75" customHeight="1" x14ac:dyDescent="0.2">
      <c r="A1015" s="3">
        <v>46059</v>
      </c>
      <c r="B1015" s="4" t="str">
        <f>IF(A1015="","","PC-"&amp;TEXT(A1015,"mm/yyyy")&amp;"-"&amp;TEXT(COUNTIFS($A$2:A1015,"&gt;="&amp;EOMONTH(A1015,-1)+1,$A$2:A1015,"&lt;="&amp;EOMONTH(A1015,0)),"000"))</f>
        <v>PC-02/2026-055</v>
      </c>
      <c r="C1015" s="5" t="s">
        <v>529</v>
      </c>
      <c r="D1015" s="5" t="s">
        <v>29</v>
      </c>
      <c r="E1015" s="5" t="s">
        <v>64</v>
      </c>
      <c r="F1015" s="5"/>
      <c r="G1015" s="5" t="s">
        <v>530</v>
      </c>
      <c r="H1015" s="5" t="s">
        <v>23</v>
      </c>
      <c r="I1015" s="6">
        <v>300000</v>
      </c>
      <c r="J1015" s="6">
        <f>IF(D1015="Thu",I1015,0)</f>
        <v>0</v>
      </c>
      <c r="K1015" s="6">
        <f>IF(D1015="Chi",I1015,0)</f>
        <v>300000</v>
      </c>
      <c r="L1015" s="6" t="e">
        <f>L1014+J1015-K1015</f>
        <v>#VALUE!</v>
      </c>
      <c r="M1015" s="6">
        <f ca="1">IFERROR(__xludf.DUMMYFUNCTION("SUM(FILTER(J:J, H:H=""Tiền mặt"")) - SUM(FILTER(K:K, H:H=""Tiền mặt""))
"),959000)</f>
        <v>959000</v>
      </c>
      <c r="N1015" s="6">
        <f ca="1">IFERROR(__xludf.DUMMYFUNCTION("SUM(FILTER(J:J, H:H=""Chuyển khoản"")) - SUM(FILTER(K:K, H:H=""Chuyển khoản""))
"),4468984)</f>
        <v>4468984</v>
      </c>
      <c r="O1015" s="5"/>
      <c r="P1015" s="5"/>
      <c r="Q1015" s="5"/>
      <c r="R1015" s="5"/>
      <c r="S1015" s="5"/>
    </row>
    <row r="1016" spans="1:19" ht="15.75" customHeight="1" x14ac:dyDescent="0.2">
      <c r="A1016" s="3">
        <v>46059</v>
      </c>
      <c r="B1016" s="4" t="str">
        <f>IF(A1016="","","PC-"&amp;TEXT(A1016,"mm/yyyy")&amp;"-"&amp;TEXT(COUNTIFS($A$2:A1016,"&gt;="&amp;EOMONTH(A1016,-1)+1,$A$2:A1016,"&lt;="&amp;EOMONTH(A1016,0)),"000"))</f>
        <v>PC-02/2026-056</v>
      </c>
      <c r="C1016" s="7" t="s">
        <v>531</v>
      </c>
      <c r="D1016" s="5" t="s">
        <v>29</v>
      </c>
      <c r="E1016" s="5" t="s">
        <v>88</v>
      </c>
      <c r="F1016" s="5"/>
      <c r="G1016" s="5" t="s">
        <v>482</v>
      </c>
      <c r="H1016" s="5" t="s">
        <v>23</v>
      </c>
      <c r="I1016" s="6">
        <v>300000</v>
      </c>
      <c r="J1016" s="6">
        <f>IF(D1016="Thu",I1016,0)</f>
        <v>0</v>
      </c>
      <c r="K1016" s="6">
        <f>IF(D1016="Chi",I1016,0)</f>
        <v>300000</v>
      </c>
      <c r="L1016" s="6" t="e">
        <f>L1015+J1016-K1016</f>
        <v>#VALUE!</v>
      </c>
      <c r="M1016" s="6">
        <f ca="1">IFERROR(__xludf.DUMMYFUNCTION("SUM(FILTER(J:J, H:H=""Tiền mặt"")) - SUM(FILTER(K:K, H:H=""Tiền mặt""))
"),959000)</f>
        <v>959000</v>
      </c>
      <c r="N1016" s="6">
        <f ca="1">IFERROR(__xludf.DUMMYFUNCTION("SUM(FILTER(J:J, H:H=""Chuyển khoản"")) - SUM(FILTER(K:K, H:H=""Chuyển khoản""))
"),4468984)</f>
        <v>4468984</v>
      </c>
      <c r="O1016" s="5"/>
      <c r="P1016" s="5"/>
      <c r="Q1016" s="5"/>
      <c r="R1016" s="5"/>
      <c r="S1016" s="5"/>
    </row>
    <row r="1017" spans="1:19" ht="15.75" customHeight="1" x14ac:dyDescent="0.2">
      <c r="A1017" s="3">
        <v>46059</v>
      </c>
      <c r="B1017" s="4" t="str">
        <f>IF(A1017="","","PC-"&amp;TEXT(A1017,"mm/yyyy")&amp;"-"&amp;TEXT(COUNTIFS($A$2:A1017,"&gt;="&amp;EOMONTH(A1017,-1)+1,$A$2:A1017,"&lt;="&amp;EOMONTH(A1017,0)),"000"))</f>
        <v>PC-02/2026-057</v>
      </c>
      <c r="C1017" s="5" t="s">
        <v>532</v>
      </c>
      <c r="D1017" s="5" t="s">
        <v>29</v>
      </c>
      <c r="E1017" s="5" t="s">
        <v>71</v>
      </c>
      <c r="F1017" s="5"/>
      <c r="G1017" s="5" t="s">
        <v>122</v>
      </c>
      <c r="H1017" s="5" t="s">
        <v>27</v>
      </c>
      <c r="I1017" s="6">
        <v>75000</v>
      </c>
      <c r="J1017" s="6">
        <f>IF(D1017="Thu",I1017,0)</f>
        <v>0</v>
      </c>
      <c r="K1017" s="6">
        <f>IF(D1017="Chi",I1017,0)</f>
        <v>75000</v>
      </c>
      <c r="L1017" s="6" t="e">
        <f>L1016+J1017-K1017</f>
        <v>#VALUE!</v>
      </c>
      <c r="M1017" s="6">
        <f ca="1">IFERROR(__xludf.DUMMYFUNCTION("SUM(FILTER(J:J, H:H=""Tiền mặt"")) - SUM(FILTER(K:K, H:H=""Tiền mặt""))
"),959000)</f>
        <v>959000</v>
      </c>
      <c r="N1017" s="6">
        <f ca="1">IFERROR(__xludf.DUMMYFUNCTION("SUM(FILTER(J:J, H:H=""Chuyển khoản"")) - SUM(FILTER(K:K, H:H=""Chuyển khoản""))
"),4468984)</f>
        <v>4468984</v>
      </c>
      <c r="O1017" s="5"/>
      <c r="P1017" s="5"/>
      <c r="Q1017" s="5"/>
      <c r="R1017" s="5"/>
      <c r="S1017" s="5"/>
    </row>
    <row r="1018" spans="1:19" ht="15.75" customHeight="1" x14ac:dyDescent="0.2">
      <c r="A1018" s="3">
        <v>46059</v>
      </c>
      <c r="B1018" s="4" t="str">
        <f>IF(A1018="","","PC-"&amp;TEXT(A1018,"mm/yyyy")&amp;"-"&amp;TEXT(COUNTIFS($A$2:A1018,"&gt;="&amp;EOMONTH(A1018,-1)+1,$A$2:A1018,"&lt;="&amp;EOMONTH(A1018,0)),"000"))</f>
        <v>PC-02/2026-058</v>
      </c>
      <c r="C1018" s="5" t="s">
        <v>533</v>
      </c>
      <c r="D1018" s="5" t="s">
        <v>20</v>
      </c>
      <c r="E1018" s="5" t="s">
        <v>21</v>
      </c>
      <c r="F1018" s="5"/>
      <c r="G1018" s="5" t="s">
        <v>534</v>
      </c>
      <c r="H1018" s="5" t="s">
        <v>23</v>
      </c>
      <c r="I1018" s="6">
        <v>200000</v>
      </c>
      <c r="J1018" s="6">
        <f>IF(D1018="Thu",I1018,0)</f>
        <v>200000</v>
      </c>
      <c r="K1018" s="6">
        <f>IF(D1018="Chi",I1018,0)</f>
        <v>0</v>
      </c>
      <c r="L1018" s="6" t="e">
        <f>L1017+J1018-K1018</f>
        <v>#VALUE!</v>
      </c>
      <c r="M1018" s="6">
        <f ca="1">IFERROR(__xludf.DUMMYFUNCTION("SUM(FILTER(J:J, H:H=""Tiền mặt"")) - SUM(FILTER(K:K, H:H=""Tiền mặt""))
"),959000)</f>
        <v>959000</v>
      </c>
      <c r="N1018" s="6">
        <f ca="1">IFERROR(__xludf.DUMMYFUNCTION("SUM(FILTER(J:J, H:H=""Chuyển khoản"")) - SUM(FILTER(K:K, H:H=""Chuyển khoản""))
"),4468984)</f>
        <v>4468984</v>
      </c>
      <c r="O1018" s="5"/>
      <c r="P1018" s="5"/>
      <c r="Q1018" s="5"/>
      <c r="R1018" s="5"/>
      <c r="S1018" s="5"/>
    </row>
    <row r="1019" spans="1:19" ht="15.75" customHeight="1" x14ac:dyDescent="0.2">
      <c r="A1019" s="3">
        <v>46059</v>
      </c>
      <c r="B1019" s="4" t="str">
        <f>IF(A1019="","","PC-"&amp;TEXT(A1019,"mm/yyyy")&amp;"-"&amp;TEXT(COUNTIFS($A$2:A1019,"&gt;="&amp;EOMONTH(A1019,-1)+1,$A$2:A1019,"&lt;="&amp;EOMONTH(A1019,0)),"000"))</f>
        <v>PC-02/2026-059</v>
      </c>
      <c r="C1019" s="5" t="s">
        <v>535</v>
      </c>
      <c r="D1019" s="5" t="s">
        <v>29</v>
      </c>
      <c r="E1019" s="5" t="s">
        <v>64</v>
      </c>
      <c r="F1019" s="5"/>
      <c r="G1019" s="5" t="s">
        <v>217</v>
      </c>
      <c r="H1019" s="5" t="s">
        <v>27</v>
      </c>
      <c r="I1019" s="6">
        <v>450000</v>
      </c>
      <c r="J1019" s="6">
        <f>IF(D1019="Thu",I1019,0)</f>
        <v>0</v>
      </c>
      <c r="K1019" s="6">
        <f>IF(D1019="Chi",I1019,0)</f>
        <v>450000</v>
      </c>
      <c r="L1019" s="6" t="e">
        <f>L1018+J1019-K1019</f>
        <v>#VALUE!</v>
      </c>
      <c r="M1019" s="6">
        <f ca="1">IFERROR(__xludf.DUMMYFUNCTION("SUM(FILTER(J:J, H:H=""Tiền mặt"")) - SUM(FILTER(K:K, H:H=""Tiền mặt""))
"),959000)</f>
        <v>959000</v>
      </c>
      <c r="N1019" s="6">
        <f ca="1">IFERROR(__xludf.DUMMYFUNCTION("SUM(FILTER(J:J, H:H=""Chuyển khoản"")) - SUM(FILTER(K:K, H:H=""Chuyển khoản""))
"),4468984)</f>
        <v>4468984</v>
      </c>
      <c r="O1019" s="5"/>
      <c r="P1019" s="5"/>
      <c r="Q1019" s="5"/>
      <c r="R1019" s="5"/>
      <c r="S1019" s="5"/>
    </row>
    <row r="1020" spans="1:19" ht="15.75" customHeight="1" x14ac:dyDescent="0.2">
      <c r="A1020" s="3">
        <v>46059</v>
      </c>
      <c r="B1020" s="4" t="str">
        <f>IF(A1020="","","PC-"&amp;TEXT(A1020,"mm/yyyy")&amp;"-"&amp;TEXT(COUNTIFS($A$2:A1020,"&gt;="&amp;EOMONTH(A1020,-1)+1,$A$2:A1020,"&lt;="&amp;EOMONTH(A1020,0)),"000"))</f>
        <v>PC-02/2026-060</v>
      </c>
      <c r="C1020" s="5" t="s">
        <v>536</v>
      </c>
      <c r="D1020" s="5" t="s">
        <v>29</v>
      </c>
      <c r="E1020" s="5" t="s">
        <v>41</v>
      </c>
      <c r="F1020" s="5"/>
      <c r="G1020" s="5" t="s">
        <v>537</v>
      </c>
      <c r="H1020" s="5" t="s">
        <v>23</v>
      </c>
      <c r="I1020" s="6">
        <v>100000</v>
      </c>
      <c r="J1020" s="6">
        <f>IF(D1020="Thu",I1020,0)</f>
        <v>0</v>
      </c>
      <c r="K1020" s="6">
        <f>IF(D1020="Chi",I1020,0)</f>
        <v>100000</v>
      </c>
      <c r="L1020" s="6" t="e">
        <f>L1019+J1020-K1020</f>
        <v>#VALUE!</v>
      </c>
      <c r="M1020" s="6">
        <f ca="1">IFERROR(__xludf.DUMMYFUNCTION("SUM(FILTER(J:J, H:H=""Tiền mặt"")) - SUM(FILTER(K:K, H:H=""Tiền mặt""))
"),959000)</f>
        <v>959000</v>
      </c>
      <c r="N1020" s="6">
        <f ca="1">IFERROR(__xludf.DUMMYFUNCTION("SUM(FILTER(J:J, H:H=""Chuyển khoản"")) - SUM(FILTER(K:K, H:H=""Chuyển khoản""))
"),4468984)</f>
        <v>4468984</v>
      </c>
      <c r="O1020" s="5"/>
      <c r="P1020" s="5"/>
      <c r="Q1020" s="5"/>
      <c r="R1020" s="5"/>
      <c r="S1020" s="5"/>
    </row>
    <row r="1021" spans="1:19" ht="15.75" customHeight="1" x14ac:dyDescent="0.2">
      <c r="A1021" s="3">
        <v>46059</v>
      </c>
      <c r="B1021" s="4" t="str">
        <f>IF(A1021="","","PC-"&amp;TEXT(A1021,"mm/yyyy")&amp;"-"&amp;TEXT(COUNTIFS($A$2:A1021,"&gt;="&amp;EOMONTH(A1021,-1)+1,$A$2:A1021,"&lt;="&amp;EOMONTH(A1021,0)),"000"))</f>
        <v>PC-02/2026-061</v>
      </c>
      <c r="C1021" s="5" t="s">
        <v>538</v>
      </c>
      <c r="D1021" s="5" t="s">
        <v>29</v>
      </c>
      <c r="E1021" s="5" t="s">
        <v>41</v>
      </c>
      <c r="F1021" s="5"/>
      <c r="G1021" s="5" t="s">
        <v>539</v>
      </c>
      <c r="H1021" s="5" t="s">
        <v>23</v>
      </c>
      <c r="I1021" s="6">
        <v>100000</v>
      </c>
      <c r="J1021" s="6">
        <f>IF(D1021="Thu",I1021,0)</f>
        <v>0</v>
      </c>
      <c r="K1021" s="6">
        <f>IF(D1021="Chi",I1021,0)</f>
        <v>100000</v>
      </c>
      <c r="L1021" s="6" t="e">
        <f>L1020+J1021-K1021</f>
        <v>#VALUE!</v>
      </c>
      <c r="M1021" s="6">
        <f ca="1">IFERROR(__xludf.DUMMYFUNCTION("SUM(FILTER(J:J, H:H=""Tiền mặt"")) - SUM(FILTER(K:K, H:H=""Tiền mặt""))
"),959000)</f>
        <v>959000</v>
      </c>
      <c r="N1021" s="6">
        <f ca="1">IFERROR(__xludf.DUMMYFUNCTION("SUM(FILTER(J:J, H:H=""Chuyển khoản"")) - SUM(FILTER(K:K, H:H=""Chuyển khoản""))
"),4468984)</f>
        <v>4468984</v>
      </c>
      <c r="O1021" s="5"/>
      <c r="P1021" s="5"/>
      <c r="Q1021" s="5"/>
      <c r="R1021" s="5"/>
      <c r="S1021" s="5"/>
    </row>
    <row r="1022" spans="1:19" ht="15.75" customHeight="1" x14ac:dyDescent="0.2">
      <c r="A1022" s="3">
        <v>46059</v>
      </c>
      <c r="B1022" s="4" t="str">
        <f>IF(A1022="","","PC-"&amp;TEXT(A1022,"mm/yyyy")&amp;"-"&amp;TEXT(COUNTIFS($A$2:A1022,"&gt;="&amp;EOMONTH(A1022,-1)+1,$A$2:A1022,"&lt;="&amp;EOMONTH(A1022,0)),"000"))</f>
        <v>PC-02/2026-062</v>
      </c>
      <c r="C1022" s="5" t="s">
        <v>540</v>
      </c>
      <c r="D1022" s="5" t="s">
        <v>29</v>
      </c>
      <c r="E1022" s="5" t="s">
        <v>88</v>
      </c>
      <c r="F1022" s="5"/>
      <c r="G1022" s="5" t="s">
        <v>338</v>
      </c>
      <c r="H1022" s="5" t="s">
        <v>23</v>
      </c>
      <c r="I1022" s="6">
        <v>2000000</v>
      </c>
      <c r="J1022" s="6">
        <f>IF(D1022="Thu",I1022,0)</f>
        <v>0</v>
      </c>
      <c r="K1022" s="6">
        <f>IF(D1022="Chi",I1022,0)</f>
        <v>2000000</v>
      </c>
      <c r="L1022" s="6" t="e">
        <f>L1021+J1022-K1022</f>
        <v>#VALUE!</v>
      </c>
      <c r="M1022" s="6">
        <f ca="1">IFERROR(__xludf.DUMMYFUNCTION("SUM(FILTER(J:J, H:H=""Tiền mặt"")) - SUM(FILTER(K:K, H:H=""Tiền mặt""))
"),959000)</f>
        <v>959000</v>
      </c>
      <c r="N1022" s="6">
        <f ca="1">IFERROR(__xludf.DUMMYFUNCTION("SUM(FILTER(J:J, H:H=""Chuyển khoản"")) - SUM(FILTER(K:K, H:H=""Chuyển khoản""))
"),4468984)</f>
        <v>4468984</v>
      </c>
      <c r="O1022" s="5"/>
      <c r="P1022" s="5"/>
      <c r="Q1022" s="5"/>
      <c r="R1022" s="5"/>
      <c r="S1022" s="5"/>
    </row>
    <row r="1023" spans="1:19" ht="15.75" customHeight="1" x14ac:dyDescent="0.2">
      <c r="A1023" s="3">
        <v>46059</v>
      </c>
      <c r="B1023" s="4" t="str">
        <f>IF(A1023="","","PC-"&amp;TEXT(A1023,"mm/yyyy")&amp;"-"&amp;TEXT(COUNTIFS($A$2:A1023,"&gt;="&amp;EOMONTH(A1023,-1)+1,$A$2:A1023,"&lt;="&amp;EOMONTH(A1023,0)),"000"))</f>
        <v>PC-02/2026-063</v>
      </c>
      <c r="C1023" s="5" t="s">
        <v>541</v>
      </c>
      <c r="D1023" s="5" t="s">
        <v>29</v>
      </c>
      <c r="E1023" s="5" t="s">
        <v>88</v>
      </c>
      <c r="F1023" s="5"/>
      <c r="G1023" s="5" t="s">
        <v>426</v>
      </c>
      <c r="H1023" s="5" t="s">
        <v>23</v>
      </c>
      <c r="I1023" s="6">
        <v>300000</v>
      </c>
      <c r="J1023" s="6">
        <f>IF(D1023="Thu",I1023,0)</f>
        <v>0</v>
      </c>
      <c r="K1023" s="6">
        <f>IF(D1023="Chi",I1023,0)</f>
        <v>300000</v>
      </c>
      <c r="L1023" s="6" t="e">
        <f>L1022+J1023-K1023</f>
        <v>#VALUE!</v>
      </c>
      <c r="M1023" s="6">
        <f ca="1">IFERROR(__xludf.DUMMYFUNCTION("SUM(FILTER(J:J, H:H=""Tiền mặt"")) - SUM(FILTER(K:K, H:H=""Tiền mặt""))
"),959000)</f>
        <v>959000</v>
      </c>
      <c r="N1023" s="6">
        <f ca="1">IFERROR(__xludf.DUMMYFUNCTION("SUM(FILTER(J:J, H:H=""Chuyển khoản"")) - SUM(FILTER(K:K, H:H=""Chuyển khoản""))
"),4468984)</f>
        <v>4468984</v>
      </c>
      <c r="O1023" s="5"/>
      <c r="P1023" s="5"/>
      <c r="Q1023" s="5"/>
      <c r="R1023" s="5"/>
      <c r="S1023" s="5"/>
    </row>
    <row r="1024" spans="1:19" ht="15.75" customHeight="1" x14ac:dyDescent="0.2">
      <c r="A1024" s="3">
        <v>46059</v>
      </c>
      <c r="B1024" s="4" t="str">
        <f>IF(A1024="","","PC-"&amp;TEXT(A1024,"mm/yyyy")&amp;"-"&amp;TEXT(COUNTIFS($A$2:A1024,"&gt;="&amp;EOMONTH(A1024,-1)+1,$A$2:A1024,"&lt;="&amp;EOMONTH(A1024,0)),"000"))</f>
        <v>PC-02/2026-064</v>
      </c>
      <c r="C1024" s="5" t="s">
        <v>542</v>
      </c>
      <c r="D1024" s="5" t="s">
        <v>29</v>
      </c>
      <c r="E1024" s="5" t="s">
        <v>51</v>
      </c>
      <c r="F1024" s="5"/>
      <c r="G1024" s="5" t="s">
        <v>52</v>
      </c>
      <c r="H1024" s="5" t="s">
        <v>27</v>
      </c>
      <c r="I1024" s="6">
        <v>109760</v>
      </c>
      <c r="J1024" s="6">
        <f>IF(D1024="Thu",I1024,0)</f>
        <v>0</v>
      </c>
      <c r="K1024" s="6">
        <f>IF(D1024="Chi",I1024,0)</f>
        <v>109760</v>
      </c>
      <c r="L1024" s="6" t="e">
        <f>L1023+J1024-K1024</f>
        <v>#VALUE!</v>
      </c>
      <c r="M1024" s="6">
        <f ca="1">IFERROR(__xludf.DUMMYFUNCTION("SUM(FILTER(J:J, H:H=""Tiền mặt"")) - SUM(FILTER(K:K, H:H=""Tiền mặt""))
"),959000)</f>
        <v>959000</v>
      </c>
      <c r="N1024" s="6">
        <f ca="1">IFERROR(__xludf.DUMMYFUNCTION("SUM(FILTER(J:J, H:H=""Chuyển khoản"")) - SUM(FILTER(K:K, H:H=""Chuyển khoản""))
"),4468984)</f>
        <v>4468984</v>
      </c>
      <c r="O1024" s="5"/>
      <c r="P1024" s="5"/>
      <c r="Q1024" s="5"/>
      <c r="R1024" s="5"/>
      <c r="S1024" s="5"/>
    </row>
    <row r="1025" spans="1:19" ht="15.75" customHeight="1" x14ac:dyDescent="0.2">
      <c r="A1025" s="3">
        <v>46059</v>
      </c>
      <c r="B1025" s="4" t="str">
        <f>IF(A1025="","","PC-"&amp;TEXT(A1025,"mm/yyyy")&amp;"-"&amp;TEXT(COUNTIFS($A$2:A1025,"&gt;="&amp;EOMONTH(A1025,-1)+1,$A$2:A1025,"&lt;="&amp;EOMONTH(A1025,0)),"000"))</f>
        <v>PC-02/2026-065</v>
      </c>
      <c r="C1025" s="5" t="s">
        <v>543</v>
      </c>
      <c r="D1025" s="5" t="s">
        <v>29</v>
      </c>
      <c r="E1025" s="5" t="s">
        <v>51</v>
      </c>
      <c r="F1025" s="5"/>
      <c r="G1025" s="5" t="s">
        <v>52</v>
      </c>
      <c r="H1025" s="5" t="s">
        <v>27</v>
      </c>
      <c r="I1025" s="6">
        <v>299790</v>
      </c>
      <c r="J1025" s="6">
        <f>IF(D1025="Thu",I1025,0)</f>
        <v>0</v>
      </c>
      <c r="K1025" s="6">
        <f>IF(D1025="Chi",I1025,0)</f>
        <v>299790</v>
      </c>
      <c r="L1025" s="6" t="e">
        <f>L1024+J1025-K1025</f>
        <v>#VALUE!</v>
      </c>
      <c r="M1025" s="6">
        <f ca="1">IFERROR(__xludf.DUMMYFUNCTION("SUM(FILTER(J:J, H:H=""Tiền mặt"")) - SUM(FILTER(K:K, H:H=""Tiền mặt""))
"),959000)</f>
        <v>959000</v>
      </c>
      <c r="N1025" s="6">
        <f ca="1">IFERROR(__xludf.DUMMYFUNCTION("SUM(FILTER(J:J, H:H=""Chuyển khoản"")) - SUM(FILTER(K:K, H:H=""Chuyển khoản""))
"),4468984)</f>
        <v>4468984</v>
      </c>
      <c r="O1025" s="5"/>
      <c r="P1025" s="5"/>
      <c r="Q1025" s="5"/>
      <c r="R1025" s="5"/>
      <c r="S1025" s="5"/>
    </row>
    <row r="1026" spans="1:19" ht="15.75" customHeight="1" x14ac:dyDescent="0.2">
      <c r="A1026" s="3">
        <v>46059</v>
      </c>
      <c r="B1026" s="4" t="str">
        <f>IF(A1026="","","PC-"&amp;TEXT(A1026,"mm/yyyy")&amp;"-"&amp;TEXT(COUNTIFS($A$2:A1026,"&gt;="&amp;EOMONTH(A1026,-1)+1,$A$2:A1026,"&lt;="&amp;EOMONTH(A1026,0)),"000"))</f>
        <v>PC-02/2026-066</v>
      </c>
      <c r="C1026" s="5" t="s">
        <v>544</v>
      </c>
      <c r="D1026" s="5" t="s">
        <v>29</v>
      </c>
      <c r="E1026" s="5" t="s">
        <v>51</v>
      </c>
      <c r="F1026" s="5"/>
      <c r="G1026" s="5" t="s">
        <v>52</v>
      </c>
      <c r="H1026" s="5" t="s">
        <v>27</v>
      </c>
      <c r="I1026" s="6">
        <v>117710</v>
      </c>
      <c r="J1026" s="6">
        <f>IF(D1026="Thu",I1026,0)</f>
        <v>0</v>
      </c>
      <c r="K1026" s="6">
        <f>IF(D1026="Chi",I1026,0)</f>
        <v>117710</v>
      </c>
      <c r="L1026" s="6" t="e">
        <f>L1025+J1026-K1026</f>
        <v>#VALUE!</v>
      </c>
      <c r="M1026" s="6">
        <f ca="1">IFERROR(__xludf.DUMMYFUNCTION("SUM(FILTER(J:J, H:H=""Tiền mặt"")) - SUM(FILTER(K:K, H:H=""Tiền mặt""))
"),959000)</f>
        <v>959000</v>
      </c>
      <c r="N1026" s="6">
        <f ca="1">IFERROR(__xludf.DUMMYFUNCTION("SUM(FILTER(J:J, H:H=""Chuyển khoản"")) - SUM(FILTER(K:K, H:H=""Chuyển khoản""))
"),4468984)</f>
        <v>4468984</v>
      </c>
      <c r="O1026" s="5"/>
      <c r="P1026" s="5"/>
      <c r="Q1026" s="5"/>
      <c r="R1026" s="5"/>
      <c r="S1026" s="5"/>
    </row>
    <row r="1027" spans="1:19" ht="15.75" customHeight="1" x14ac:dyDescent="0.2">
      <c r="A1027" s="3">
        <v>46059</v>
      </c>
      <c r="B1027" s="4" t="str">
        <f>IF(A1027="","","PC-"&amp;TEXT(A1027,"mm/yyyy")&amp;"-"&amp;TEXT(COUNTIFS($A$2:A1027,"&gt;="&amp;EOMONTH(A1027,-1)+1,$A$2:A1027,"&lt;="&amp;EOMONTH(A1027,0)),"000"))</f>
        <v>PC-02/2026-067</v>
      </c>
      <c r="C1027" s="5" t="s">
        <v>545</v>
      </c>
      <c r="D1027" s="5" t="s">
        <v>29</v>
      </c>
      <c r="E1027" s="5" t="s">
        <v>44</v>
      </c>
      <c r="F1027" s="5"/>
      <c r="G1027" s="5" t="s">
        <v>432</v>
      </c>
      <c r="H1027" s="5" t="s">
        <v>23</v>
      </c>
      <c r="I1027" s="6">
        <v>1500000</v>
      </c>
      <c r="J1027" s="6">
        <f>IF(D1027="Thu",I1027,0)</f>
        <v>0</v>
      </c>
      <c r="K1027" s="6">
        <f>IF(D1027="Chi",I1027,0)</f>
        <v>1500000</v>
      </c>
      <c r="L1027" s="6" t="e">
        <f>L1026+J1027-K1027</f>
        <v>#VALUE!</v>
      </c>
      <c r="M1027" s="6">
        <f ca="1">IFERROR(__xludf.DUMMYFUNCTION("SUM(FILTER(J:J, H:H=""Tiền mặt"")) - SUM(FILTER(K:K, H:H=""Tiền mặt""))
"),959000)</f>
        <v>959000</v>
      </c>
      <c r="N1027" s="6">
        <f ca="1">IFERROR(__xludf.DUMMYFUNCTION("SUM(FILTER(J:J, H:H=""Chuyển khoản"")) - SUM(FILTER(K:K, H:H=""Chuyển khoản""))
"),4468984)</f>
        <v>4468984</v>
      </c>
      <c r="O1027" s="5"/>
      <c r="P1027" s="5"/>
      <c r="Q1027" s="5"/>
      <c r="R1027" s="5"/>
      <c r="S1027" s="5"/>
    </row>
    <row r="1028" spans="1:19" ht="15.75" customHeight="1" x14ac:dyDescent="0.2">
      <c r="A1028" s="3">
        <v>46059</v>
      </c>
      <c r="B1028" s="4" t="str">
        <f>IF(A1028="","","PC-"&amp;TEXT(A1028,"mm/yyyy")&amp;"-"&amp;TEXT(COUNTIFS($A$2:A1028,"&gt;="&amp;EOMONTH(A1028,-1)+1,$A$2:A1028,"&lt;="&amp;EOMONTH(A1028,0)),"000"))</f>
        <v>PC-02/2026-068</v>
      </c>
      <c r="C1028" s="5" t="s">
        <v>546</v>
      </c>
      <c r="D1028" s="5" t="s">
        <v>29</v>
      </c>
      <c r="E1028" s="5" t="s">
        <v>47</v>
      </c>
      <c r="F1028" s="5"/>
      <c r="G1028" s="5" t="s">
        <v>48</v>
      </c>
      <c r="H1028" s="5" t="s">
        <v>23</v>
      </c>
      <c r="I1028" s="6">
        <v>50000</v>
      </c>
      <c r="J1028" s="6">
        <f>IF(D1028="Thu",I1028,0)</f>
        <v>0</v>
      </c>
      <c r="K1028" s="6">
        <f>IF(D1028="Chi",I1028,0)</f>
        <v>50000</v>
      </c>
      <c r="L1028" s="6" t="e">
        <f>L1027+J1028-K1028</f>
        <v>#VALUE!</v>
      </c>
      <c r="M1028" s="6">
        <f ca="1">IFERROR(__xludf.DUMMYFUNCTION("SUM(FILTER(J:J, H:H=""Tiền mặt"")) - SUM(FILTER(K:K, H:H=""Tiền mặt""))
"),959000)</f>
        <v>959000</v>
      </c>
      <c r="N1028" s="6">
        <f ca="1">IFERROR(__xludf.DUMMYFUNCTION("SUM(FILTER(J:J, H:H=""Chuyển khoản"")) - SUM(FILTER(K:K, H:H=""Chuyển khoản""))
"),4468984)</f>
        <v>4468984</v>
      </c>
      <c r="O1028" s="5"/>
      <c r="P1028" s="5"/>
      <c r="Q1028" s="5"/>
      <c r="R1028" s="5"/>
      <c r="S1028" s="5"/>
    </row>
    <row r="1029" spans="1:19" ht="15.75" customHeight="1" x14ac:dyDescent="0.2">
      <c r="A1029" s="3">
        <v>46059</v>
      </c>
      <c r="B1029" s="4" t="str">
        <f>IF(A1029="","","PC-"&amp;TEXT(A1029,"mm/yyyy")&amp;"-"&amp;TEXT(COUNTIFS($A$2:A1029,"&gt;="&amp;EOMONTH(A1029,-1)+1,$A$2:A1029,"&lt;="&amp;EOMONTH(A1029,0)),"000"))</f>
        <v>PC-02/2026-069</v>
      </c>
      <c r="C1029" s="7" t="s">
        <v>547</v>
      </c>
      <c r="D1029" s="5" t="s">
        <v>29</v>
      </c>
      <c r="E1029" s="5" t="s">
        <v>71</v>
      </c>
      <c r="F1029" s="5"/>
      <c r="G1029" s="5" t="s">
        <v>241</v>
      </c>
      <c r="H1029" s="5" t="s">
        <v>27</v>
      </c>
      <c r="I1029" s="6">
        <v>60000</v>
      </c>
      <c r="J1029" s="6">
        <f>IF(D1029="Thu",I1029,0)</f>
        <v>0</v>
      </c>
      <c r="K1029" s="6">
        <f>IF(D1029="Chi",I1029,0)</f>
        <v>60000</v>
      </c>
      <c r="L1029" s="6" t="e">
        <f>L1028+J1029-K1029</f>
        <v>#VALUE!</v>
      </c>
      <c r="M1029" s="6">
        <f ca="1">IFERROR(__xludf.DUMMYFUNCTION("SUM(FILTER(J:J, H:H=""Tiền mặt"")) - SUM(FILTER(K:K, H:H=""Tiền mặt""))
"),959000)</f>
        <v>959000</v>
      </c>
      <c r="N1029" s="6">
        <f ca="1">IFERROR(__xludf.DUMMYFUNCTION("SUM(FILTER(J:J, H:H=""Chuyển khoản"")) - SUM(FILTER(K:K, H:H=""Chuyển khoản""))
"),4468984)</f>
        <v>4468984</v>
      </c>
      <c r="O1029" s="5"/>
      <c r="P1029" s="5"/>
      <c r="Q1029" s="5"/>
      <c r="R1029" s="5"/>
      <c r="S1029" s="5"/>
    </row>
    <row r="1030" spans="1:19" ht="15.75" customHeight="1" x14ac:dyDescent="0.2">
      <c r="A1030" s="3">
        <v>46059</v>
      </c>
      <c r="B1030" s="4" t="str">
        <f>IF(A1030="","","PC-"&amp;TEXT(A1030,"mm/yyyy")&amp;"-"&amp;TEXT(COUNTIFS($A$2:A1030,"&gt;="&amp;EOMONTH(A1030,-1)+1,$A$2:A1030,"&lt;="&amp;EOMONTH(A1030,0)),"000"))</f>
        <v>PC-02/2026-070</v>
      </c>
      <c r="C1030" s="5" t="s">
        <v>548</v>
      </c>
      <c r="D1030" s="5" t="s">
        <v>29</v>
      </c>
      <c r="E1030" s="5" t="s">
        <v>41</v>
      </c>
      <c r="F1030" s="5"/>
      <c r="G1030" s="5" t="s">
        <v>143</v>
      </c>
      <c r="H1030" s="5" t="s">
        <v>23</v>
      </c>
      <c r="I1030" s="6">
        <v>200000</v>
      </c>
      <c r="J1030" s="6">
        <f>IF(D1030="Thu",I1030,0)</f>
        <v>0</v>
      </c>
      <c r="K1030" s="6">
        <f>IF(D1030="Chi",I1030,0)</f>
        <v>200000</v>
      </c>
      <c r="L1030" s="6" t="e">
        <f>L1029+J1030-K1030</f>
        <v>#VALUE!</v>
      </c>
      <c r="M1030" s="6">
        <f ca="1">IFERROR(__xludf.DUMMYFUNCTION("SUM(FILTER(J:J, H:H=""Tiền mặt"")) - SUM(FILTER(K:K, H:H=""Tiền mặt""))
"),959000)</f>
        <v>959000</v>
      </c>
      <c r="N1030" s="6">
        <f ca="1">IFERROR(__xludf.DUMMYFUNCTION("SUM(FILTER(J:J, H:H=""Chuyển khoản"")) - SUM(FILTER(K:K, H:H=""Chuyển khoản""))
"),4468984)</f>
        <v>4468984</v>
      </c>
      <c r="O1030" s="5"/>
      <c r="P1030" s="5"/>
      <c r="Q1030" s="5"/>
      <c r="R1030" s="5"/>
      <c r="S1030" s="5"/>
    </row>
    <row r="1031" spans="1:19" ht="15.75" customHeight="1" x14ac:dyDescent="0.2">
      <c r="A1031" s="3">
        <v>46058</v>
      </c>
      <c r="B1031" s="4" t="str">
        <f>IF(A1031="","","PC-"&amp;TEXT(A1031,"mm/yyyy")&amp;"-"&amp;TEXT(COUNTIFS($A$2:A1031,"&gt;="&amp;EOMONTH(A1031,-1)+1,$A$2:A1031,"&lt;="&amp;EOMONTH(A1031,0)),"000"))</f>
        <v>PC-02/2026-071</v>
      </c>
      <c r="C1031" s="10" t="s">
        <v>518</v>
      </c>
      <c r="D1031" s="5" t="s">
        <v>29</v>
      </c>
      <c r="E1031" s="5" t="s">
        <v>41</v>
      </c>
      <c r="F1031" s="5"/>
      <c r="G1031" s="4" t="s">
        <v>82</v>
      </c>
      <c r="H1031" s="5" t="s">
        <v>23</v>
      </c>
      <c r="I1031" s="6">
        <v>100000</v>
      </c>
      <c r="J1031" s="6">
        <f>IF(D1031="Thu",I1031,0)</f>
        <v>0</v>
      </c>
      <c r="K1031" s="6">
        <f>IF(D1031="Chi",I1031,0)</f>
        <v>100000</v>
      </c>
      <c r="L1031" s="6" t="e">
        <f>L1030+J1031-K1031</f>
        <v>#VALUE!</v>
      </c>
      <c r="M1031" s="6">
        <f ca="1">IFERROR(__xludf.DUMMYFUNCTION("SUM(FILTER(J:J, H:H=""Tiền mặt"")) - SUM(FILTER(K:K, H:H=""Tiền mặt""))
"),959000)</f>
        <v>959000</v>
      </c>
      <c r="N1031" s="6">
        <f ca="1">IFERROR(__xludf.DUMMYFUNCTION("SUM(FILTER(J:J, H:H=""Chuyển khoản"")) - SUM(FILTER(K:K, H:H=""Chuyển khoản""))
"),4468984)</f>
        <v>4468984</v>
      </c>
      <c r="O1031" s="5"/>
      <c r="P1031" s="5"/>
      <c r="Q1031" s="5"/>
      <c r="R1031" s="5"/>
      <c r="S1031" s="5"/>
    </row>
    <row r="1032" spans="1:19" ht="15.75" customHeight="1" x14ac:dyDescent="0.2">
      <c r="A1032" s="3">
        <v>46058</v>
      </c>
      <c r="B1032" s="4" t="str">
        <f>IF(A1032="","","PC-"&amp;TEXT(A1032,"mm/yyyy")&amp;"-"&amp;TEXT(COUNTIFS($A$2:A1032,"&gt;="&amp;EOMONTH(A1032,-1)+1,$A$2:A1032,"&lt;="&amp;EOMONTH(A1032,0)),"000"))</f>
        <v>PC-02/2026-072</v>
      </c>
      <c r="C1032" s="5" t="s">
        <v>519</v>
      </c>
      <c r="D1032" s="5" t="s">
        <v>29</v>
      </c>
      <c r="E1032" s="5" t="s">
        <v>41</v>
      </c>
      <c r="F1032" s="5"/>
      <c r="G1032" s="5" t="s">
        <v>192</v>
      </c>
      <c r="H1032" s="5" t="s">
        <v>23</v>
      </c>
      <c r="I1032" s="6">
        <v>100000</v>
      </c>
      <c r="J1032" s="6">
        <f>IF(D1032="Thu",I1032,0)</f>
        <v>0</v>
      </c>
      <c r="K1032" s="6">
        <f>IF(D1032="Chi",I1032,0)</f>
        <v>100000</v>
      </c>
      <c r="L1032" s="6" t="e">
        <f>L1031+J1032-K1032</f>
        <v>#VALUE!</v>
      </c>
      <c r="M1032" s="6">
        <f ca="1">IFERROR(__xludf.DUMMYFUNCTION("SUM(FILTER(J:J, H:H=""Tiền mặt"")) - SUM(FILTER(K:K, H:H=""Tiền mặt""))
"),959000)</f>
        <v>959000</v>
      </c>
      <c r="N1032" s="6">
        <f ca="1">IFERROR(__xludf.DUMMYFUNCTION("SUM(FILTER(J:J, H:H=""Chuyển khoản"")) - SUM(FILTER(K:K, H:H=""Chuyển khoản""))
"),4468984)</f>
        <v>4468984</v>
      </c>
      <c r="O1032" s="5"/>
      <c r="P1032" s="5"/>
      <c r="Q1032" s="5"/>
      <c r="R1032" s="5"/>
      <c r="S1032" s="5"/>
    </row>
    <row r="1033" spans="1:19" ht="15.75" customHeight="1" x14ac:dyDescent="0.2">
      <c r="A1033" s="3">
        <v>46058</v>
      </c>
      <c r="B1033" s="4" t="str">
        <f>IF(A1033="","","PC-"&amp;TEXT(A1033,"mm/yyyy")&amp;"-"&amp;TEXT(COUNTIFS($A$2:A1033,"&gt;="&amp;EOMONTH(A1033,-1)+1,$A$2:A1033,"&lt;="&amp;EOMONTH(A1033,0)),"000"))</f>
        <v>PC-02/2026-073</v>
      </c>
      <c r="C1033" s="5" t="s">
        <v>520</v>
      </c>
      <c r="D1033" s="5" t="s">
        <v>29</v>
      </c>
      <c r="E1033" s="5" t="s">
        <v>44</v>
      </c>
      <c r="F1033" s="5"/>
      <c r="G1033" s="5" t="s">
        <v>413</v>
      </c>
      <c r="H1033" s="5" t="s">
        <v>23</v>
      </c>
      <c r="I1033" s="6">
        <v>1500000</v>
      </c>
      <c r="J1033" s="6">
        <f>IF(D1033="Thu",I1033,0)</f>
        <v>0</v>
      </c>
      <c r="K1033" s="6">
        <f>IF(D1033="Chi",I1033,0)</f>
        <v>1500000</v>
      </c>
      <c r="L1033" s="6" t="e">
        <f>L1032+J1033-K1033</f>
        <v>#VALUE!</v>
      </c>
      <c r="M1033" s="6">
        <f ca="1">IFERROR(__xludf.DUMMYFUNCTION("SUM(FILTER(J:J, H:H=""Tiền mặt"")) - SUM(FILTER(K:K, H:H=""Tiền mặt""))
"),959000)</f>
        <v>959000</v>
      </c>
      <c r="N1033" s="6">
        <f ca="1">IFERROR(__xludf.DUMMYFUNCTION("SUM(FILTER(J:J, H:H=""Chuyển khoản"")) - SUM(FILTER(K:K, H:H=""Chuyển khoản""))
"),4468984)</f>
        <v>4468984</v>
      </c>
      <c r="O1033" s="5"/>
      <c r="P1033" s="5"/>
      <c r="Q1033" s="5"/>
      <c r="R1033" s="5"/>
      <c r="S1033" s="5"/>
    </row>
    <row r="1034" spans="1:19" ht="15.75" customHeight="1" x14ac:dyDescent="0.2">
      <c r="A1034" s="3">
        <v>46058</v>
      </c>
      <c r="B1034" s="4" t="str">
        <f>IF(A1034="","","PC-"&amp;TEXT(A1034,"mm/yyyy")&amp;"-"&amp;TEXT(COUNTIFS($A$2:A1034,"&gt;="&amp;EOMONTH(A1034,-1)+1,$A$2:A1034,"&lt;="&amp;EOMONTH(A1034,0)),"000"))</f>
        <v>PC-02/2026-074</v>
      </c>
      <c r="C1034" s="5" t="s">
        <v>521</v>
      </c>
      <c r="D1034" s="5" t="s">
        <v>29</v>
      </c>
      <c r="E1034" s="5" t="s">
        <v>44</v>
      </c>
      <c r="F1034" s="5"/>
      <c r="G1034" s="5" t="s">
        <v>413</v>
      </c>
      <c r="H1034" s="5" t="s">
        <v>23</v>
      </c>
      <c r="I1034" s="6">
        <v>1500000</v>
      </c>
      <c r="J1034" s="6">
        <f>IF(D1034="Thu",I1034,0)</f>
        <v>0</v>
      </c>
      <c r="K1034" s="6">
        <f>IF(D1034="Chi",I1034,0)</f>
        <v>1500000</v>
      </c>
      <c r="L1034" s="6" t="e">
        <f>L1033+J1034-K1034</f>
        <v>#VALUE!</v>
      </c>
      <c r="M1034" s="6">
        <f ca="1">IFERROR(__xludf.DUMMYFUNCTION("SUM(FILTER(J:J, H:H=""Tiền mặt"")) - SUM(FILTER(K:K, H:H=""Tiền mặt""))
"),959000)</f>
        <v>959000</v>
      </c>
      <c r="N1034" s="6">
        <f ca="1">IFERROR(__xludf.DUMMYFUNCTION("SUM(FILTER(J:J, H:H=""Chuyển khoản"")) - SUM(FILTER(K:K, H:H=""Chuyển khoản""))
"),4468984)</f>
        <v>4468984</v>
      </c>
      <c r="O1034" s="5"/>
      <c r="P1034" s="5"/>
      <c r="Q1034" s="5"/>
      <c r="R1034" s="5"/>
      <c r="S1034" s="5"/>
    </row>
    <row r="1035" spans="1:19" ht="15.75" customHeight="1" x14ac:dyDescent="0.2">
      <c r="A1035" s="3">
        <v>46058</v>
      </c>
      <c r="B1035" s="4" t="str">
        <f>IF(A1035="","","PC-"&amp;TEXT(A1035,"mm/yyyy")&amp;"-"&amp;TEXT(COUNTIFS($A$2:A1035,"&gt;="&amp;EOMONTH(A1035,-1)+1,$A$2:A1035,"&lt;="&amp;EOMONTH(A1035,0)),"000"))</f>
        <v>PC-02/2026-075</v>
      </c>
      <c r="C1035" s="5" t="s">
        <v>522</v>
      </c>
      <c r="D1035" s="5" t="s">
        <v>29</v>
      </c>
      <c r="E1035" s="5" t="s">
        <v>47</v>
      </c>
      <c r="F1035" s="5"/>
      <c r="G1035" s="5" t="s">
        <v>48</v>
      </c>
      <c r="H1035" s="5" t="s">
        <v>23</v>
      </c>
      <c r="I1035" s="6">
        <v>50000</v>
      </c>
      <c r="J1035" s="6">
        <f>IF(D1035="Thu",I1035,0)</f>
        <v>0</v>
      </c>
      <c r="K1035" s="6">
        <f>IF(D1035="Chi",I1035,0)</f>
        <v>50000</v>
      </c>
      <c r="L1035" s="6" t="e">
        <f>L1034+J1035-K1035</f>
        <v>#VALUE!</v>
      </c>
      <c r="M1035" s="6">
        <f ca="1">IFERROR(__xludf.DUMMYFUNCTION("SUM(FILTER(J:J, H:H=""Tiền mặt"")) - SUM(FILTER(K:K, H:H=""Tiền mặt""))
"),959000)</f>
        <v>959000</v>
      </c>
      <c r="N1035" s="6">
        <f ca="1">IFERROR(__xludf.DUMMYFUNCTION("SUM(FILTER(J:J, H:H=""Chuyển khoản"")) - SUM(FILTER(K:K, H:H=""Chuyển khoản""))
"),4468984)</f>
        <v>4468984</v>
      </c>
      <c r="O1035" s="5"/>
      <c r="P1035" s="5"/>
      <c r="Q1035" s="5"/>
      <c r="R1035" s="5"/>
      <c r="S1035" s="5"/>
    </row>
    <row r="1036" spans="1:19" ht="15.75" customHeight="1" x14ac:dyDescent="0.2">
      <c r="A1036" s="3">
        <v>46058</v>
      </c>
      <c r="B1036" s="4" t="str">
        <f>IF(A1036="","","PC-"&amp;TEXT(A1036,"mm/yyyy")&amp;"-"&amp;TEXT(COUNTIFS($A$2:A1036,"&gt;="&amp;EOMONTH(A1036,-1)+1,$A$2:A1036,"&lt;="&amp;EOMONTH(A1036,0)),"000"))</f>
        <v>PC-02/2026-076</v>
      </c>
      <c r="C1036" s="5" t="s">
        <v>523</v>
      </c>
      <c r="D1036" s="5" t="s">
        <v>29</v>
      </c>
      <c r="E1036" s="5" t="s">
        <v>47</v>
      </c>
      <c r="F1036" s="5"/>
      <c r="G1036" s="5" t="s">
        <v>48</v>
      </c>
      <c r="H1036" s="5" t="s">
        <v>23</v>
      </c>
      <c r="I1036" s="6">
        <v>40000</v>
      </c>
      <c r="J1036" s="6">
        <f>IF(D1036="Thu",I1036,0)</f>
        <v>0</v>
      </c>
      <c r="K1036" s="6">
        <f>IF(D1036="Chi",I1036,0)</f>
        <v>40000</v>
      </c>
      <c r="L1036" s="6" t="e">
        <f>L1035+J1036-K1036</f>
        <v>#VALUE!</v>
      </c>
      <c r="M1036" s="6">
        <f ca="1">IFERROR(__xludf.DUMMYFUNCTION("SUM(FILTER(J:J, H:H=""Tiền mặt"")) - SUM(FILTER(K:K, H:H=""Tiền mặt""))
"),959000)</f>
        <v>959000</v>
      </c>
      <c r="N1036" s="6">
        <f ca="1">IFERROR(__xludf.DUMMYFUNCTION("SUM(FILTER(J:J, H:H=""Chuyển khoản"")) - SUM(FILTER(K:K, H:H=""Chuyển khoản""))
"),4468984)</f>
        <v>4468984</v>
      </c>
      <c r="O1036" s="5"/>
      <c r="P1036" s="5"/>
      <c r="Q1036" s="5"/>
      <c r="R1036" s="5"/>
      <c r="S1036" s="5"/>
    </row>
    <row r="1037" spans="1:19" ht="15.75" customHeight="1" x14ac:dyDescent="0.2">
      <c r="A1037" s="3">
        <v>46058</v>
      </c>
      <c r="B1037" s="4" t="str">
        <f>IF(A1037="","","PC-"&amp;TEXT(A1037,"mm/yyyy")&amp;"-"&amp;TEXT(COUNTIFS($A$2:A1037,"&gt;="&amp;EOMONTH(A1037,-1)+1,$A$2:A1037,"&lt;="&amp;EOMONTH(A1037,0)),"000"))</f>
        <v>PC-02/2026-077</v>
      </c>
      <c r="C1037" s="5" t="s">
        <v>524</v>
      </c>
      <c r="D1037" s="5" t="s">
        <v>29</v>
      </c>
      <c r="E1037" s="5" t="s">
        <v>64</v>
      </c>
      <c r="F1037" s="5"/>
      <c r="G1037" s="5" t="s">
        <v>525</v>
      </c>
      <c r="H1037" s="5" t="s">
        <v>27</v>
      </c>
      <c r="I1037" s="6">
        <v>150000</v>
      </c>
      <c r="J1037" s="6">
        <f>IF(D1037="Thu",I1037,0)</f>
        <v>0</v>
      </c>
      <c r="K1037" s="6">
        <f>IF(D1037="Chi",I1037,0)</f>
        <v>150000</v>
      </c>
      <c r="L1037" s="6" t="e">
        <f>L1036+J1037-K1037</f>
        <v>#VALUE!</v>
      </c>
      <c r="M1037" s="6">
        <f ca="1">IFERROR(__xludf.DUMMYFUNCTION("SUM(FILTER(J:J, H:H=""Tiền mặt"")) - SUM(FILTER(K:K, H:H=""Tiền mặt""))
"),959000)</f>
        <v>959000</v>
      </c>
      <c r="N1037" s="6">
        <f ca="1">IFERROR(__xludf.DUMMYFUNCTION("SUM(FILTER(J:J, H:H=""Chuyển khoản"")) - SUM(FILTER(K:K, H:H=""Chuyển khoản""))
"),4468984)</f>
        <v>4468984</v>
      </c>
      <c r="O1037" s="5"/>
      <c r="P1037" s="5"/>
      <c r="Q1037" s="5"/>
      <c r="R1037" s="5"/>
      <c r="S1037" s="5"/>
    </row>
    <row r="1038" spans="1:19" ht="15.75" customHeight="1" x14ac:dyDescent="0.2">
      <c r="A1038" s="3">
        <v>46058</v>
      </c>
      <c r="B1038" s="4" t="str">
        <f>IF(A1038="","","PC-"&amp;TEXT(A1038,"mm/yyyy")&amp;"-"&amp;TEXT(COUNTIFS($A$2:A1038,"&gt;="&amp;EOMONTH(A1038,-1)+1,$A$2:A1038,"&lt;="&amp;EOMONTH(A1038,0)),"000"))</f>
        <v>PC-02/2026-078</v>
      </c>
      <c r="C1038" s="7" t="s">
        <v>526</v>
      </c>
      <c r="D1038" s="5" t="s">
        <v>20</v>
      </c>
      <c r="E1038" s="5" t="s">
        <v>21</v>
      </c>
      <c r="F1038" s="5"/>
      <c r="G1038" s="5" t="s">
        <v>248</v>
      </c>
      <c r="H1038" s="5" t="s">
        <v>23</v>
      </c>
      <c r="I1038" s="6">
        <v>200000</v>
      </c>
      <c r="J1038" s="6">
        <f>IF(D1038="Thu",I1038,0)</f>
        <v>200000</v>
      </c>
      <c r="K1038" s="6">
        <f>IF(D1038="Chi",I1038,0)</f>
        <v>0</v>
      </c>
      <c r="L1038" s="6" t="e">
        <f>L1037+J1038-K1038</f>
        <v>#VALUE!</v>
      </c>
      <c r="M1038" s="6">
        <f ca="1">IFERROR(__xludf.DUMMYFUNCTION("SUM(FILTER(J:J, H:H=""Tiền mặt"")) - SUM(FILTER(K:K, H:H=""Tiền mặt""))
"),959000)</f>
        <v>959000</v>
      </c>
      <c r="N1038" s="6">
        <f ca="1">IFERROR(__xludf.DUMMYFUNCTION("SUM(FILTER(J:J, H:H=""Chuyển khoản"")) - SUM(FILTER(K:K, H:H=""Chuyển khoản""))
"),4468984)</f>
        <v>4468984</v>
      </c>
      <c r="O1038" s="5"/>
      <c r="P1038" s="5"/>
      <c r="Q1038" s="5"/>
      <c r="R1038" s="5"/>
      <c r="S1038" s="5"/>
    </row>
    <row r="1039" spans="1:19" ht="15.75" customHeight="1" x14ac:dyDescent="0.2">
      <c r="A1039" s="3">
        <v>46058</v>
      </c>
      <c r="B1039" s="4" t="str">
        <f>IF(A1039="","","PC-"&amp;TEXT(A1039,"mm/yyyy")&amp;"-"&amp;TEXT(COUNTIFS($A$2:A1039,"&gt;="&amp;EOMONTH(A1039,-1)+1,$A$2:A1039,"&lt;="&amp;EOMONTH(A1039,0)),"000"))</f>
        <v>PC-02/2026-079</v>
      </c>
      <c r="C1039" s="5" t="s">
        <v>368</v>
      </c>
      <c r="D1039" s="5" t="s">
        <v>29</v>
      </c>
      <c r="E1039" s="5" t="s">
        <v>71</v>
      </c>
      <c r="F1039" s="5"/>
      <c r="G1039" s="5" t="s">
        <v>241</v>
      </c>
      <c r="H1039" s="5" t="s">
        <v>27</v>
      </c>
      <c r="I1039" s="6">
        <v>75000</v>
      </c>
      <c r="J1039" s="6">
        <f>IF(D1039="Thu",I1039,0)</f>
        <v>0</v>
      </c>
      <c r="K1039" s="6">
        <f>IF(D1039="Chi",I1039,0)</f>
        <v>75000</v>
      </c>
      <c r="L1039" s="6" t="e">
        <f>L1038+J1039-K1039</f>
        <v>#VALUE!</v>
      </c>
      <c r="M1039" s="6">
        <f ca="1">IFERROR(__xludf.DUMMYFUNCTION("SUM(FILTER(J:J, H:H=""Tiền mặt"")) - SUM(FILTER(K:K, H:H=""Tiền mặt""))
"),959000)</f>
        <v>959000</v>
      </c>
      <c r="N1039" s="6">
        <f ca="1">IFERROR(__xludf.DUMMYFUNCTION("SUM(FILTER(J:J, H:H=""Chuyển khoản"")) - SUM(FILTER(K:K, H:H=""Chuyển khoản""))
"),4468984)</f>
        <v>4468984</v>
      </c>
      <c r="O1039" s="5"/>
      <c r="P1039" s="5"/>
      <c r="Q1039" s="5"/>
      <c r="R1039" s="5"/>
      <c r="S1039" s="5"/>
    </row>
    <row r="1040" spans="1:19" ht="15.75" customHeight="1" x14ac:dyDescent="0.2">
      <c r="A1040" s="3">
        <v>46058</v>
      </c>
      <c r="B1040" s="4" t="str">
        <f>IF(A1040="","","PC-"&amp;TEXT(A1040,"mm/yyyy")&amp;"-"&amp;TEXT(COUNTIFS($A$2:A1040,"&gt;="&amp;EOMONTH(A1040,-1)+1,$A$2:A1040,"&lt;="&amp;EOMONTH(A1040,0)),"000"))</f>
        <v>PC-02/2026-080</v>
      </c>
      <c r="C1040" s="5" t="s">
        <v>527</v>
      </c>
      <c r="D1040" s="5" t="s">
        <v>29</v>
      </c>
      <c r="E1040" s="5" t="s">
        <v>71</v>
      </c>
      <c r="F1040" s="5"/>
      <c r="G1040" s="5" t="s">
        <v>241</v>
      </c>
      <c r="H1040" s="5" t="s">
        <v>27</v>
      </c>
      <c r="I1040" s="6">
        <v>60000</v>
      </c>
      <c r="J1040" s="6">
        <f>IF(D1040="Thu",I1040,0)</f>
        <v>0</v>
      </c>
      <c r="K1040" s="6">
        <f>IF(D1040="Chi",I1040,0)</f>
        <v>60000</v>
      </c>
      <c r="L1040" s="6" t="e">
        <f>L1039+J1040-K1040</f>
        <v>#VALUE!</v>
      </c>
      <c r="M1040" s="6">
        <f ca="1">IFERROR(__xludf.DUMMYFUNCTION("SUM(FILTER(J:J, H:H=""Tiền mặt"")) - SUM(FILTER(K:K, H:H=""Tiền mặt""))
"),959000)</f>
        <v>959000</v>
      </c>
      <c r="N1040" s="6">
        <f ca="1">IFERROR(__xludf.DUMMYFUNCTION("SUM(FILTER(J:J, H:H=""Chuyển khoản"")) - SUM(FILTER(K:K, H:H=""Chuyển khoản""))
"),4468984)</f>
        <v>4468984</v>
      </c>
      <c r="O1040" s="5"/>
      <c r="P1040" s="5"/>
      <c r="Q1040" s="5"/>
      <c r="R1040" s="5"/>
      <c r="S1040" s="5"/>
    </row>
    <row r="1041" spans="1:19" ht="15.75" customHeight="1" x14ac:dyDescent="0.2">
      <c r="A1041" s="3">
        <v>46057</v>
      </c>
      <c r="B1041" s="4" t="str">
        <f>IF(A1041="","","PC-"&amp;TEXT(A1041,"mm/yyyy")&amp;"-"&amp;TEXT(COUNTIFS($A$2:A1041,"&gt;="&amp;EOMONTH(A1041,-1)+1,$A$2:A1041,"&lt;="&amp;EOMONTH(A1041,0)),"000"))</f>
        <v>PC-02/2026-081</v>
      </c>
      <c r="C1041" s="5" t="s">
        <v>494</v>
      </c>
      <c r="D1041" s="5" t="s">
        <v>29</v>
      </c>
      <c r="E1041" s="5" t="s">
        <v>61</v>
      </c>
      <c r="F1041" s="5"/>
      <c r="G1041" s="5" t="s">
        <v>52</v>
      </c>
      <c r="H1041" s="5" t="s">
        <v>27</v>
      </c>
      <c r="I1041" s="6">
        <v>200000</v>
      </c>
      <c r="J1041" s="6">
        <f>IF(D1041="Thu",I1041,0)</f>
        <v>0</v>
      </c>
      <c r="K1041" s="6">
        <f>IF(D1041="Chi",I1041,0)</f>
        <v>200000</v>
      </c>
      <c r="L1041" s="6" t="e">
        <f>L1040+J1041-K1041</f>
        <v>#VALUE!</v>
      </c>
      <c r="M1041" s="6">
        <f ca="1">IFERROR(__xludf.DUMMYFUNCTION("SUM(FILTER(J:J, H:H=""Tiền mặt"")) - SUM(FILTER(K:K, H:H=""Tiền mặt""))
"),959000)</f>
        <v>959000</v>
      </c>
      <c r="N1041" s="6">
        <f ca="1">IFERROR(__xludf.DUMMYFUNCTION("SUM(FILTER(J:J, H:H=""Chuyển khoản"")) - SUM(FILTER(K:K, H:H=""Chuyển khoản""))
"),4468984)</f>
        <v>4468984</v>
      </c>
      <c r="O1041" s="5"/>
      <c r="P1041" s="5"/>
      <c r="Q1041" s="5"/>
      <c r="R1041" s="5"/>
      <c r="S1041" s="5"/>
    </row>
    <row r="1042" spans="1:19" ht="15.75" customHeight="1" x14ac:dyDescent="0.2">
      <c r="A1042" s="3">
        <v>46057</v>
      </c>
      <c r="B1042" s="4" t="str">
        <f>IF(A1042="","","PC-"&amp;TEXT(A1042,"mm/yyyy")&amp;"-"&amp;TEXT(COUNTIFS($A$2:A1042,"&gt;="&amp;EOMONTH(A1042,-1)+1,$A$2:A1042,"&lt;="&amp;EOMONTH(A1042,0)),"000"))</f>
        <v>PC-02/2026-082</v>
      </c>
      <c r="C1042" s="5" t="s">
        <v>495</v>
      </c>
      <c r="D1042" s="5" t="s">
        <v>29</v>
      </c>
      <c r="E1042" s="5" t="s">
        <v>61</v>
      </c>
      <c r="F1042" s="5"/>
      <c r="G1042" s="5" t="s">
        <v>52</v>
      </c>
      <c r="H1042" s="5" t="s">
        <v>27</v>
      </c>
      <c r="I1042" s="6">
        <v>200000</v>
      </c>
      <c r="J1042" s="6">
        <f>IF(D1042="Thu",I1042,0)</f>
        <v>0</v>
      </c>
      <c r="K1042" s="6">
        <f>IF(D1042="Chi",I1042,0)</f>
        <v>200000</v>
      </c>
      <c r="L1042" s="6" t="e">
        <f>L1041+J1042-K1042</f>
        <v>#VALUE!</v>
      </c>
      <c r="M1042" s="6">
        <f ca="1">IFERROR(__xludf.DUMMYFUNCTION("SUM(FILTER(J:J, H:H=""Tiền mặt"")) - SUM(FILTER(K:K, H:H=""Tiền mặt""))
"),959000)</f>
        <v>959000</v>
      </c>
      <c r="N1042" s="6">
        <f ca="1">IFERROR(__xludf.DUMMYFUNCTION("SUM(FILTER(J:J, H:H=""Chuyển khoản"")) - SUM(FILTER(K:K, H:H=""Chuyển khoản""))
"),4468984)</f>
        <v>4468984</v>
      </c>
      <c r="O1042" s="5"/>
      <c r="P1042" s="5"/>
      <c r="Q1042" s="5"/>
      <c r="R1042" s="5"/>
      <c r="S1042" s="5"/>
    </row>
    <row r="1043" spans="1:19" ht="15.75" customHeight="1" x14ac:dyDescent="0.2">
      <c r="A1043" s="3">
        <v>46057</v>
      </c>
      <c r="B1043" s="4" t="str">
        <f>IF(A1043="","","PC-"&amp;TEXT(A1043,"mm/yyyy")&amp;"-"&amp;TEXT(COUNTIFS($A$2:A1043,"&gt;="&amp;EOMONTH(A1043,-1)+1,$A$2:A1043,"&lt;="&amp;EOMONTH(A1043,0)),"000"))</f>
        <v>PC-02/2026-083</v>
      </c>
      <c r="C1043" s="5" t="s">
        <v>496</v>
      </c>
      <c r="D1043" s="5" t="s">
        <v>29</v>
      </c>
      <c r="E1043" s="5" t="s">
        <v>61</v>
      </c>
      <c r="F1043" s="5"/>
      <c r="G1043" s="5" t="s">
        <v>52</v>
      </c>
      <c r="H1043" s="5" t="s">
        <v>27</v>
      </c>
      <c r="I1043" s="6">
        <v>200000</v>
      </c>
      <c r="J1043" s="6">
        <f>IF(D1043="Thu",I1043,0)</f>
        <v>0</v>
      </c>
      <c r="K1043" s="6">
        <f>IF(D1043="Chi",I1043,0)</f>
        <v>200000</v>
      </c>
      <c r="L1043" s="6" t="e">
        <f>L1042+J1043-K1043</f>
        <v>#VALUE!</v>
      </c>
      <c r="M1043" s="6">
        <f ca="1">IFERROR(__xludf.DUMMYFUNCTION("SUM(FILTER(J:J, H:H=""Tiền mặt"")) - SUM(FILTER(K:K, H:H=""Tiền mặt""))
"),959000)</f>
        <v>959000</v>
      </c>
      <c r="N1043" s="6">
        <f ca="1">IFERROR(__xludf.DUMMYFUNCTION("SUM(FILTER(J:J, H:H=""Chuyển khoản"")) - SUM(FILTER(K:K, H:H=""Chuyển khoản""))
"),4468984)</f>
        <v>4468984</v>
      </c>
      <c r="O1043" s="5"/>
      <c r="P1043" s="5"/>
      <c r="Q1043" s="5"/>
      <c r="R1043" s="5"/>
      <c r="S1043" s="5"/>
    </row>
    <row r="1044" spans="1:19" ht="15.75" customHeight="1" x14ac:dyDescent="0.2">
      <c r="A1044" s="3">
        <v>46057</v>
      </c>
      <c r="B1044" s="4" t="str">
        <f>IF(A1044="","","PC-"&amp;TEXT(A1044,"mm/yyyy")&amp;"-"&amp;TEXT(COUNTIFS($A$2:A1044,"&gt;="&amp;EOMONTH(A1044,-1)+1,$A$2:A1044,"&lt;="&amp;EOMONTH(A1044,0)),"000"))</f>
        <v>PC-02/2026-084</v>
      </c>
      <c r="C1044" s="7" t="s">
        <v>497</v>
      </c>
      <c r="D1044" s="5" t="s">
        <v>20</v>
      </c>
      <c r="E1044" s="5" t="s">
        <v>21</v>
      </c>
      <c r="F1044" s="5"/>
      <c r="G1044" s="5" t="s">
        <v>498</v>
      </c>
      <c r="H1044" s="5" t="s">
        <v>23</v>
      </c>
      <c r="I1044" s="6">
        <v>500000</v>
      </c>
      <c r="J1044" s="6">
        <f>IF(D1044="Thu",I1044,0)</f>
        <v>500000</v>
      </c>
      <c r="K1044" s="6">
        <f>IF(D1044="Chi",I1044,0)</f>
        <v>0</v>
      </c>
      <c r="L1044" s="6" t="e">
        <f>L1043+J1044-K1044</f>
        <v>#VALUE!</v>
      </c>
      <c r="M1044" s="6">
        <f ca="1">IFERROR(__xludf.DUMMYFUNCTION("SUM(FILTER(J:J, H:H=""Tiền mặt"")) - SUM(FILTER(K:K, H:H=""Tiền mặt""))
"),959000)</f>
        <v>959000</v>
      </c>
      <c r="N1044" s="6">
        <f ca="1">IFERROR(__xludf.DUMMYFUNCTION("SUM(FILTER(J:J, H:H=""Chuyển khoản"")) - SUM(FILTER(K:K, H:H=""Chuyển khoản""))
"),4468984)</f>
        <v>4468984</v>
      </c>
      <c r="O1044" s="5"/>
      <c r="P1044" s="5"/>
      <c r="Q1044" s="5"/>
      <c r="R1044" s="5"/>
      <c r="S1044" s="5"/>
    </row>
    <row r="1045" spans="1:19" ht="15.75" customHeight="1" x14ac:dyDescent="0.2">
      <c r="A1045" s="3">
        <v>46057</v>
      </c>
      <c r="B1045" s="4" t="str">
        <f>IF(A1045="","","PC-"&amp;TEXT(A1045,"mm/yyyy")&amp;"-"&amp;TEXT(COUNTIFS($A$2:A1045,"&gt;="&amp;EOMONTH(A1045,-1)+1,$A$2:A1045,"&lt;="&amp;EOMONTH(A1045,0)),"000"))</f>
        <v>PC-02/2026-085</v>
      </c>
      <c r="C1045" s="7" t="s">
        <v>499</v>
      </c>
      <c r="D1045" s="5" t="s">
        <v>29</v>
      </c>
      <c r="E1045" s="5" t="s">
        <v>41</v>
      </c>
      <c r="F1045" s="5"/>
      <c r="G1045" s="5" t="s">
        <v>82</v>
      </c>
      <c r="H1045" s="5" t="s">
        <v>23</v>
      </c>
      <c r="I1045" s="6">
        <v>100000</v>
      </c>
      <c r="J1045" s="6">
        <f>IF(D1045="Thu",I1045,0)</f>
        <v>0</v>
      </c>
      <c r="K1045" s="6">
        <f>IF(D1045="Chi",I1045,0)</f>
        <v>100000</v>
      </c>
      <c r="L1045" s="6" t="e">
        <f>L1044+J1045-K1045</f>
        <v>#VALUE!</v>
      </c>
      <c r="M1045" s="6">
        <f ca="1">IFERROR(__xludf.DUMMYFUNCTION("SUM(FILTER(J:J, H:H=""Tiền mặt"")) - SUM(FILTER(K:K, H:H=""Tiền mặt""))
"),959000)</f>
        <v>959000</v>
      </c>
      <c r="N1045" s="6">
        <f ca="1">IFERROR(__xludf.DUMMYFUNCTION("SUM(FILTER(J:J, H:H=""Chuyển khoản"")) - SUM(FILTER(K:K, H:H=""Chuyển khoản""))
"),4468984)</f>
        <v>4468984</v>
      </c>
      <c r="O1045" s="5"/>
      <c r="P1045" s="5"/>
      <c r="Q1045" s="5"/>
      <c r="R1045" s="5"/>
      <c r="S1045" s="5"/>
    </row>
    <row r="1046" spans="1:19" ht="15.75" customHeight="1" x14ac:dyDescent="0.2">
      <c r="A1046" s="3">
        <v>46057</v>
      </c>
      <c r="B1046" s="4" t="str">
        <f>IF(A1046="","","PC-"&amp;TEXT(A1046,"mm/yyyy")&amp;"-"&amp;TEXT(COUNTIFS($A$2:A1046,"&gt;="&amp;EOMONTH(A1046,-1)+1,$A$2:A1046,"&lt;="&amp;EOMONTH(A1046,0)),"000"))</f>
        <v>PC-02/2026-086</v>
      </c>
      <c r="C1046" s="5" t="s">
        <v>500</v>
      </c>
      <c r="D1046" s="5" t="s">
        <v>29</v>
      </c>
      <c r="E1046" s="5" t="s">
        <v>51</v>
      </c>
      <c r="F1046" s="5"/>
      <c r="G1046" s="5" t="s">
        <v>52</v>
      </c>
      <c r="H1046" s="5" t="s">
        <v>27</v>
      </c>
      <c r="I1046" s="6">
        <v>140671</v>
      </c>
      <c r="J1046" s="6">
        <f>IF(D1046="Thu",I1046,0)</f>
        <v>0</v>
      </c>
      <c r="K1046" s="6">
        <f>IF(D1046="Chi",I1046,0)</f>
        <v>140671</v>
      </c>
      <c r="L1046" s="6" t="e">
        <f>L1045+J1046-K1046</f>
        <v>#VALUE!</v>
      </c>
      <c r="M1046" s="6">
        <f ca="1">IFERROR(__xludf.DUMMYFUNCTION("SUM(FILTER(J:J, H:H=""Tiền mặt"")) - SUM(FILTER(K:K, H:H=""Tiền mặt""))
"),959000)</f>
        <v>959000</v>
      </c>
      <c r="N1046" s="6">
        <f ca="1">IFERROR(__xludf.DUMMYFUNCTION("SUM(FILTER(J:J, H:H=""Chuyển khoản"")) - SUM(FILTER(K:K, H:H=""Chuyển khoản""))
"),4468984)</f>
        <v>4468984</v>
      </c>
      <c r="O1046" s="5"/>
      <c r="P1046" s="5"/>
      <c r="Q1046" s="5"/>
      <c r="R1046" s="5"/>
      <c r="S1046" s="5"/>
    </row>
    <row r="1047" spans="1:19" ht="15.75" customHeight="1" x14ac:dyDescent="0.2">
      <c r="A1047" s="3">
        <v>46057</v>
      </c>
      <c r="B1047" s="4" t="str">
        <f>IF(A1047="","","PC-"&amp;TEXT(A1047,"mm/yyyy")&amp;"-"&amp;TEXT(COUNTIFS($A$2:A1047,"&gt;="&amp;EOMONTH(A1047,-1)+1,$A$2:A1047,"&lt;="&amp;EOMONTH(A1047,0)),"000"))</f>
        <v>PC-02/2026-087</v>
      </c>
      <c r="C1047" s="5" t="s">
        <v>501</v>
      </c>
      <c r="D1047" s="5" t="s">
        <v>29</v>
      </c>
      <c r="E1047" s="5" t="s">
        <v>346</v>
      </c>
      <c r="F1047" s="5"/>
      <c r="G1047" s="5" t="s">
        <v>347</v>
      </c>
      <c r="H1047" s="5" t="s">
        <v>27</v>
      </c>
      <c r="I1047" s="6">
        <v>1000000</v>
      </c>
      <c r="J1047" s="6">
        <f>IF(D1047="Thu",I1047,0)</f>
        <v>0</v>
      </c>
      <c r="K1047" s="6">
        <f>IF(D1047="Chi",I1047,0)</f>
        <v>1000000</v>
      </c>
      <c r="L1047" s="6" t="e">
        <f>L1046+J1047-K1047</f>
        <v>#VALUE!</v>
      </c>
      <c r="M1047" s="6">
        <f ca="1">IFERROR(__xludf.DUMMYFUNCTION("SUM(FILTER(J:J, H:H=""Tiền mặt"")) - SUM(FILTER(K:K, H:H=""Tiền mặt""))
"),959000)</f>
        <v>959000</v>
      </c>
      <c r="N1047" s="6">
        <f ca="1">IFERROR(__xludf.DUMMYFUNCTION("SUM(FILTER(J:J, H:H=""Chuyển khoản"")) - SUM(FILTER(K:K, H:H=""Chuyển khoản""))
"),4468984)</f>
        <v>4468984</v>
      </c>
      <c r="O1047" s="5"/>
      <c r="P1047" s="5"/>
      <c r="Q1047" s="5"/>
      <c r="R1047" s="5"/>
      <c r="S1047" s="5"/>
    </row>
    <row r="1048" spans="1:19" ht="15.75" customHeight="1" x14ac:dyDescent="0.2">
      <c r="A1048" s="3">
        <v>46057</v>
      </c>
      <c r="B1048" s="4" t="str">
        <f>IF(A1048="","","PC-"&amp;TEXT(A1048,"mm/yyyy")&amp;"-"&amp;TEXT(COUNTIFS($A$2:A1048,"&gt;="&amp;EOMONTH(A1048,-1)+1,$A$2:A1048,"&lt;="&amp;EOMONTH(A1048,0)),"000"))</f>
        <v>PC-02/2026-088</v>
      </c>
      <c r="C1048" s="5" t="s">
        <v>502</v>
      </c>
      <c r="D1048" s="5" t="s">
        <v>29</v>
      </c>
      <c r="E1048" s="5" t="s">
        <v>41</v>
      </c>
      <c r="F1048" s="5"/>
      <c r="G1048" s="5" t="s">
        <v>192</v>
      </c>
      <c r="H1048" s="5" t="s">
        <v>23</v>
      </c>
      <c r="I1048" s="6">
        <v>100000</v>
      </c>
      <c r="J1048" s="6">
        <f>IF(D1048="Thu",I1048,0)</f>
        <v>0</v>
      </c>
      <c r="K1048" s="6">
        <f>IF(D1048="Chi",I1048,0)</f>
        <v>100000</v>
      </c>
      <c r="L1048" s="6" t="e">
        <f>L1047+J1048-K1048</f>
        <v>#VALUE!</v>
      </c>
      <c r="M1048" s="6">
        <f ca="1">IFERROR(__xludf.DUMMYFUNCTION("SUM(FILTER(J:J, H:H=""Tiền mặt"")) - SUM(FILTER(K:K, H:H=""Tiền mặt""))
"),959000)</f>
        <v>959000</v>
      </c>
      <c r="N1048" s="6">
        <f ca="1">IFERROR(__xludf.DUMMYFUNCTION("SUM(FILTER(J:J, H:H=""Chuyển khoản"")) - SUM(FILTER(K:K, H:H=""Chuyển khoản""))
"),4468984)</f>
        <v>4468984</v>
      </c>
      <c r="O1048" s="5"/>
      <c r="P1048" s="5"/>
      <c r="Q1048" s="5"/>
      <c r="R1048" s="5"/>
      <c r="S1048" s="5"/>
    </row>
    <row r="1049" spans="1:19" ht="15.75" customHeight="1" x14ac:dyDescent="0.2">
      <c r="A1049" s="3">
        <v>46057</v>
      </c>
      <c r="B1049" s="4" t="str">
        <f>IF(A1049="","","PC-"&amp;TEXT(A1049,"mm/yyyy")&amp;"-"&amp;TEXT(COUNTIFS($A$2:A1049,"&gt;="&amp;EOMONTH(A1049,-1)+1,$A$2:A1049,"&lt;="&amp;EOMONTH(A1049,0)),"000"))</f>
        <v>PC-02/2026-089</v>
      </c>
      <c r="C1049" s="5" t="s">
        <v>503</v>
      </c>
      <c r="D1049" s="5" t="s">
        <v>29</v>
      </c>
      <c r="E1049" s="5" t="s">
        <v>44</v>
      </c>
      <c r="F1049" s="5"/>
      <c r="G1049" s="5" t="s">
        <v>45</v>
      </c>
      <c r="H1049" s="5" t="s">
        <v>23</v>
      </c>
      <c r="I1049" s="6">
        <v>1500000</v>
      </c>
      <c r="J1049" s="6">
        <f>IF(D1049="Thu",I1049,0)</f>
        <v>0</v>
      </c>
      <c r="K1049" s="6">
        <f>IF(D1049="Chi",I1049,0)</f>
        <v>1500000</v>
      </c>
      <c r="L1049" s="6" t="e">
        <f>L1048+J1049-K1049</f>
        <v>#VALUE!</v>
      </c>
      <c r="M1049" s="6">
        <f ca="1">IFERROR(__xludf.DUMMYFUNCTION("SUM(FILTER(J:J, H:H=""Tiền mặt"")) - SUM(FILTER(K:K, H:H=""Tiền mặt""))
"),959000)</f>
        <v>959000</v>
      </c>
      <c r="N1049" s="6">
        <f ca="1">IFERROR(__xludf.DUMMYFUNCTION("SUM(FILTER(J:J, H:H=""Chuyển khoản"")) - SUM(FILTER(K:K, H:H=""Chuyển khoản""))
"),4468984)</f>
        <v>4468984</v>
      </c>
      <c r="O1049" s="5"/>
      <c r="P1049" s="5"/>
      <c r="Q1049" s="5"/>
      <c r="R1049" s="5"/>
      <c r="S1049" s="5"/>
    </row>
    <row r="1050" spans="1:19" ht="15.75" customHeight="1" x14ac:dyDescent="0.2">
      <c r="A1050" s="3">
        <v>46057</v>
      </c>
      <c r="B1050" s="4" t="str">
        <f>IF(A1050="","","PC-"&amp;TEXT(A1050,"mm/yyyy")&amp;"-"&amp;TEXT(COUNTIFS($A$2:A1050,"&gt;="&amp;EOMONTH(A1050,-1)+1,$A$2:A1050,"&lt;="&amp;EOMONTH(A1050,0)),"000"))</f>
        <v>PC-02/2026-090</v>
      </c>
      <c r="C1050" s="5" t="s">
        <v>504</v>
      </c>
      <c r="D1050" s="5" t="s">
        <v>29</v>
      </c>
      <c r="E1050" s="5" t="s">
        <v>47</v>
      </c>
      <c r="F1050" s="5"/>
      <c r="G1050" s="5" t="s">
        <v>48</v>
      </c>
      <c r="H1050" s="5" t="s">
        <v>23</v>
      </c>
      <c r="I1050" s="6">
        <v>50000</v>
      </c>
      <c r="J1050" s="6">
        <f>IF(D1050="Thu",I1050,0)</f>
        <v>0</v>
      </c>
      <c r="K1050" s="6">
        <f>IF(D1050="Chi",I1050,0)</f>
        <v>50000</v>
      </c>
      <c r="L1050" s="6" t="e">
        <f>L1049+J1050-K1050</f>
        <v>#VALUE!</v>
      </c>
      <c r="M1050" s="6">
        <f ca="1">IFERROR(__xludf.DUMMYFUNCTION("SUM(FILTER(J:J, H:H=""Tiền mặt"")) - SUM(FILTER(K:K, H:H=""Tiền mặt""))
"),959000)</f>
        <v>959000</v>
      </c>
      <c r="N1050" s="6">
        <f ca="1">IFERROR(__xludf.DUMMYFUNCTION("SUM(FILTER(J:J, H:H=""Chuyển khoản"")) - SUM(FILTER(K:K, H:H=""Chuyển khoản""))
"),4468984)</f>
        <v>4468984</v>
      </c>
      <c r="O1050" s="5"/>
      <c r="P1050" s="5"/>
      <c r="Q1050" s="5"/>
      <c r="R1050" s="5"/>
      <c r="S1050" s="5"/>
    </row>
    <row r="1051" spans="1:19" ht="15.75" customHeight="1" x14ac:dyDescent="0.2">
      <c r="A1051" s="3">
        <v>46057</v>
      </c>
      <c r="B1051" s="4" t="str">
        <f>IF(A1051="","","PC-"&amp;TEXT(A1051,"mm/yyyy")&amp;"-"&amp;TEXT(COUNTIFS($A$2:A1051,"&gt;="&amp;EOMONTH(A1051,-1)+1,$A$2:A1051,"&lt;="&amp;EOMONTH(A1051,0)),"000"))</f>
        <v>PC-02/2026-091</v>
      </c>
      <c r="C1051" s="5" t="s">
        <v>505</v>
      </c>
      <c r="D1051" s="5" t="s">
        <v>29</v>
      </c>
      <c r="E1051" s="5" t="s">
        <v>78</v>
      </c>
      <c r="F1051" s="5"/>
      <c r="G1051" s="5" t="s">
        <v>72</v>
      </c>
      <c r="H1051" s="5" t="s">
        <v>27</v>
      </c>
      <c r="I1051" s="6">
        <v>112000</v>
      </c>
      <c r="J1051" s="6">
        <f>IF(D1051="Thu",I1051,0)</f>
        <v>0</v>
      </c>
      <c r="K1051" s="6">
        <f>IF(D1051="Chi",I1051,0)</f>
        <v>112000</v>
      </c>
      <c r="L1051" s="6" t="e">
        <f>L1050+J1051-K1051</f>
        <v>#VALUE!</v>
      </c>
      <c r="M1051" s="6">
        <f ca="1">IFERROR(__xludf.DUMMYFUNCTION("SUM(FILTER(J:J, H:H=""Tiền mặt"")) - SUM(FILTER(K:K, H:H=""Tiền mặt""))
"),959000)</f>
        <v>959000</v>
      </c>
      <c r="N1051" s="6">
        <f ca="1">IFERROR(__xludf.DUMMYFUNCTION("SUM(FILTER(J:J, H:H=""Chuyển khoản"")) - SUM(FILTER(K:K, H:H=""Chuyển khoản""))
"),4468984)</f>
        <v>4468984</v>
      </c>
      <c r="O1051" s="5"/>
      <c r="P1051" s="5"/>
      <c r="Q1051" s="5"/>
      <c r="R1051" s="5"/>
      <c r="S1051" s="5"/>
    </row>
    <row r="1052" spans="1:19" ht="15.75" customHeight="1" x14ac:dyDescent="0.2">
      <c r="A1052" s="3">
        <v>46057</v>
      </c>
      <c r="B1052" s="4" t="str">
        <f>IF(A1052="","","PC-"&amp;TEXT(A1052,"mm/yyyy")&amp;"-"&amp;TEXT(COUNTIFS($A$2:A1052,"&gt;="&amp;EOMONTH(A1052,-1)+1,$A$2:A1052,"&lt;="&amp;EOMONTH(A1052,0)),"000"))</f>
        <v>PC-02/2026-092</v>
      </c>
      <c r="C1052" s="5" t="s">
        <v>506</v>
      </c>
      <c r="D1052" s="5" t="s">
        <v>29</v>
      </c>
      <c r="E1052" s="5" t="s">
        <v>44</v>
      </c>
      <c r="F1052" s="5"/>
      <c r="G1052" s="5" t="s">
        <v>45</v>
      </c>
      <c r="H1052" s="5" t="s">
        <v>23</v>
      </c>
      <c r="I1052" s="6">
        <v>1500000</v>
      </c>
      <c r="J1052" s="6">
        <f>IF(D1052="Thu",I1052,0)</f>
        <v>0</v>
      </c>
      <c r="K1052" s="6">
        <f>IF(D1052="Chi",I1052,0)</f>
        <v>1500000</v>
      </c>
      <c r="L1052" s="6" t="e">
        <f>L1051+J1052-K1052</f>
        <v>#VALUE!</v>
      </c>
      <c r="M1052" s="6">
        <f ca="1">IFERROR(__xludf.DUMMYFUNCTION("SUM(FILTER(J:J, H:H=""Tiền mặt"")) - SUM(FILTER(K:K, H:H=""Tiền mặt""))
"),959000)</f>
        <v>959000</v>
      </c>
      <c r="N1052" s="6">
        <f ca="1">IFERROR(__xludf.DUMMYFUNCTION("SUM(FILTER(J:J, H:H=""Chuyển khoản"")) - SUM(FILTER(K:K, H:H=""Chuyển khoản""))
"),4468984)</f>
        <v>4468984</v>
      </c>
      <c r="O1052" s="5"/>
      <c r="P1052" s="5"/>
      <c r="Q1052" s="5"/>
      <c r="R1052" s="5"/>
      <c r="S1052" s="5"/>
    </row>
    <row r="1053" spans="1:19" ht="15.75" customHeight="1" x14ac:dyDescent="0.2">
      <c r="A1053" s="3">
        <v>46057</v>
      </c>
      <c r="B1053" s="4" t="str">
        <f>IF(A1053="","","PC-"&amp;TEXT(A1053,"mm/yyyy")&amp;"-"&amp;TEXT(COUNTIFS($A$2:A1053,"&gt;="&amp;EOMONTH(A1053,-1)+1,$A$2:A1053,"&lt;="&amp;EOMONTH(A1053,0)),"000"))</f>
        <v>PC-02/2026-093</v>
      </c>
      <c r="C1053" s="5" t="s">
        <v>507</v>
      </c>
      <c r="D1053" s="5" t="s">
        <v>29</v>
      </c>
      <c r="E1053" s="5" t="s">
        <v>64</v>
      </c>
      <c r="F1053" s="5"/>
      <c r="G1053" s="5" t="s">
        <v>217</v>
      </c>
      <c r="H1053" s="5" t="s">
        <v>27</v>
      </c>
      <c r="I1053" s="6">
        <v>120000</v>
      </c>
      <c r="J1053" s="6">
        <f>IF(D1053="Thu",I1053,0)</f>
        <v>0</v>
      </c>
      <c r="K1053" s="6">
        <f>IF(D1053="Chi",I1053,0)</f>
        <v>120000</v>
      </c>
      <c r="L1053" s="6" t="e">
        <f>L1052+J1053-K1053</f>
        <v>#VALUE!</v>
      </c>
      <c r="M1053" s="6">
        <f ca="1">IFERROR(__xludf.DUMMYFUNCTION("SUM(FILTER(J:J, H:H=""Tiền mặt"")) - SUM(FILTER(K:K, H:H=""Tiền mặt""))
"),959000)</f>
        <v>959000</v>
      </c>
      <c r="N1053" s="6">
        <f ca="1">IFERROR(__xludf.DUMMYFUNCTION("SUM(FILTER(J:J, H:H=""Chuyển khoản"")) - SUM(FILTER(K:K, H:H=""Chuyển khoản""))
"),4468984)</f>
        <v>4468984</v>
      </c>
      <c r="O1053" s="5"/>
      <c r="P1053" s="5"/>
      <c r="Q1053" s="5"/>
      <c r="R1053" s="5"/>
      <c r="S1053" s="5"/>
    </row>
    <row r="1054" spans="1:19" ht="15.75" customHeight="1" x14ac:dyDescent="0.2">
      <c r="A1054" s="3">
        <v>46057</v>
      </c>
      <c r="B1054" s="4" t="str">
        <f>IF(A1054="","","PC-"&amp;TEXT(A1054,"mm/yyyy")&amp;"-"&amp;TEXT(COUNTIFS($A$2:A1054,"&gt;="&amp;EOMONTH(A1054,-1)+1,$A$2:A1054,"&lt;="&amp;EOMONTH(A1054,0)),"000"))</f>
        <v>PC-02/2026-094</v>
      </c>
      <c r="C1054" s="5" t="s">
        <v>508</v>
      </c>
      <c r="D1054" s="5" t="s">
        <v>29</v>
      </c>
      <c r="E1054" s="5" t="s">
        <v>64</v>
      </c>
      <c r="F1054" s="5"/>
      <c r="G1054" s="5" t="s">
        <v>217</v>
      </c>
      <c r="H1054" s="5" t="s">
        <v>27</v>
      </c>
      <c r="I1054" s="6">
        <v>135000</v>
      </c>
      <c r="J1054" s="6">
        <f>IF(D1054="Thu",I1054,0)</f>
        <v>0</v>
      </c>
      <c r="K1054" s="6">
        <f>IF(D1054="Chi",I1054,0)</f>
        <v>135000</v>
      </c>
      <c r="L1054" s="6" t="e">
        <f>L1053+J1054-K1054</f>
        <v>#VALUE!</v>
      </c>
      <c r="M1054" s="6">
        <f ca="1">IFERROR(__xludf.DUMMYFUNCTION("SUM(FILTER(J:J, H:H=""Tiền mặt"")) - SUM(FILTER(K:K, H:H=""Tiền mặt""))
"),959000)</f>
        <v>959000</v>
      </c>
      <c r="N1054" s="6">
        <f ca="1">IFERROR(__xludf.DUMMYFUNCTION("SUM(FILTER(J:J, H:H=""Chuyển khoản"")) - SUM(FILTER(K:K, H:H=""Chuyển khoản""))
"),4468984)</f>
        <v>4468984</v>
      </c>
      <c r="O1054" s="5"/>
      <c r="P1054" s="5"/>
      <c r="Q1054" s="5"/>
      <c r="R1054" s="5"/>
      <c r="S1054" s="5"/>
    </row>
    <row r="1055" spans="1:19" ht="15.75" customHeight="1" x14ac:dyDescent="0.2">
      <c r="A1055" s="3">
        <v>46057</v>
      </c>
      <c r="B1055" s="4" t="str">
        <f>IF(A1055="","","PC-"&amp;TEXT(A1055,"mm/yyyy")&amp;"-"&amp;TEXT(COUNTIFS($A$2:A1055,"&gt;="&amp;EOMONTH(A1055,-1)+1,$A$2:A1055,"&lt;="&amp;EOMONTH(A1055,0)),"000"))</f>
        <v>PC-02/2026-095</v>
      </c>
      <c r="C1055" s="7" t="s">
        <v>509</v>
      </c>
      <c r="D1055" s="5" t="s">
        <v>29</v>
      </c>
      <c r="E1055" s="5" t="s">
        <v>88</v>
      </c>
      <c r="F1055" s="5"/>
      <c r="G1055" s="5" t="s">
        <v>113</v>
      </c>
      <c r="H1055" s="5" t="s">
        <v>23</v>
      </c>
      <c r="I1055" s="6">
        <v>2000000</v>
      </c>
      <c r="J1055" s="6">
        <f>IF(D1055="Thu",I1055,0)</f>
        <v>0</v>
      </c>
      <c r="K1055" s="6">
        <f>IF(D1055="Chi",I1055,0)</f>
        <v>2000000</v>
      </c>
      <c r="L1055" s="6" t="e">
        <f>L1054+J1055-K1055</f>
        <v>#VALUE!</v>
      </c>
      <c r="M1055" s="6">
        <f ca="1">IFERROR(__xludf.DUMMYFUNCTION("SUM(FILTER(J:J, H:H=""Tiền mặt"")) - SUM(FILTER(K:K, H:H=""Tiền mặt""))
"),959000)</f>
        <v>959000</v>
      </c>
      <c r="N1055" s="6">
        <f ca="1">IFERROR(__xludf.DUMMYFUNCTION("SUM(FILTER(J:J, H:H=""Chuyển khoản"")) - SUM(FILTER(K:K, H:H=""Chuyển khoản""))
"),4468984)</f>
        <v>4468984</v>
      </c>
      <c r="O1055" s="5"/>
      <c r="P1055" s="5"/>
      <c r="Q1055" s="5"/>
      <c r="R1055" s="5"/>
      <c r="S1055" s="5"/>
    </row>
    <row r="1056" spans="1:19" ht="15.75" customHeight="1" x14ac:dyDescent="0.2">
      <c r="A1056" s="3">
        <v>46057</v>
      </c>
      <c r="B1056" s="4" t="str">
        <f>IF(A1056="","","PC-"&amp;TEXT(A1056,"mm/yyyy")&amp;"-"&amp;TEXT(COUNTIFS($A$2:A1056,"&gt;="&amp;EOMONTH(A1056,-1)+1,$A$2:A1056,"&lt;="&amp;EOMONTH(A1056,0)),"000"))</f>
        <v>PC-02/2026-096</v>
      </c>
      <c r="C1056" s="5" t="s">
        <v>510</v>
      </c>
      <c r="D1056" s="5" t="s">
        <v>29</v>
      </c>
      <c r="E1056" s="5" t="s">
        <v>41</v>
      </c>
      <c r="F1056" s="5"/>
      <c r="G1056" s="5" t="s">
        <v>82</v>
      </c>
      <c r="H1056" s="5" t="s">
        <v>23</v>
      </c>
      <c r="I1056" s="6">
        <v>100000</v>
      </c>
      <c r="J1056" s="6">
        <f>IF(D1056="Thu",I1056,0)</f>
        <v>0</v>
      </c>
      <c r="K1056" s="6">
        <f>IF(D1056="Chi",I1056,0)</f>
        <v>100000</v>
      </c>
      <c r="L1056" s="6" t="e">
        <f>L1055+J1056-K1056</f>
        <v>#VALUE!</v>
      </c>
      <c r="M1056" s="6">
        <f ca="1">IFERROR(__xludf.DUMMYFUNCTION("SUM(FILTER(J:J, H:H=""Tiền mặt"")) - SUM(FILTER(K:K, H:H=""Tiền mặt""))
"),959000)</f>
        <v>959000</v>
      </c>
      <c r="N1056" s="6">
        <f ca="1">IFERROR(__xludf.DUMMYFUNCTION("SUM(FILTER(J:J, H:H=""Chuyển khoản"")) - SUM(FILTER(K:K, H:H=""Chuyển khoản""))
"),4468984)</f>
        <v>4468984</v>
      </c>
      <c r="O1056" s="5"/>
      <c r="P1056" s="5"/>
      <c r="Q1056" s="5"/>
      <c r="R1056" s="5"/>
      <c r="S1056" s="5"/>
    </row>
    <row r="1057" spans="1:19" ht="15.75" customHeight="1" x14ac:dyDescent="0.2">
      <c r="A1057" s="3">
        <v>46057</v>
      </c>
      <c r="B1057" s="4" t="str">
        <f>IF(A1057="","","PC-"&amp;TEXT(A1057,"mm/yyyy")&amp;"-"&amp;TEXT(COUNTIFS($A$2:A1057,"&gt;="&amp;EOMONTH(A1057,-1)+1,$A$2:A1057,"&lt;="&amp;EOMONTH(A1057,0)),"000"))</f>
        <v>PC-02/2026-097</v>
      </c>
      <c r="C1057" s="5" t="s">
        <v>511</v>
      </c>
      <c r="D1057" s="5" t="s">
        <v>29</v>
      </c>
      <c r="E1057" s="5" t="s">
        <v>41</v>
      </c>
      <c r="F1057" s="5"/>
      <c r="G1057" s="5" t="s">
        <v>82</v>
      </c>
      <c r="H1057" s="5" t="s">
        <v>23</v>
      </c>
      <c r="I1057" s="6">
        <v>100000</v>
      </c>
      <c r="J1057" s="6">
        <f>IF(D1057="Thu",I1057,0)</f>
        <v>0</v>
      </c>
      <c r="K1057" s="6">
        <f>IF(D1057="Chi",I1057,0)</f>
        <v>100000</v>
      </c>
      <c r="L1057" s="6" t="e">
        <f>L1056+J1057-K1057</f>
        <v>#VALUE!</v>
      </c>
      <c r="M1057" s="6">
        <f ca="1">IFERROR(__xludf.DUMMYFUNCTION("SUM(FILTER(J:J, H:H=""Tiền mặt"")) - SUM(FILTER(K:K, H:H=""Tiền mặt""))
"),959000)</f>
        <v>959000</v>
      </c>
      <c r="N1057" s="6">
        <f ca="1">IFERROR(__xludf.DUMMYFUNCTION("SUM(FILTER(J:J, H:H=""Chuyển khoản"")) - SUM(FILTER(K:K, H:H=""Chuyển khoản""))
"),4468984)</f>
        <v>4468984</v>
      </c>
      <c r="O1057" s="5"/>
      <c r="P1057" s="5"/>
      <c r="Q1057" s="5"/>
      <c r="R1057" s="5"/>
      <c r="S1057" s="5"/>
    </row>
    <row r="1058" spans="1:19" ht="15.75" customHeight="1" x14ac:dyDescent="0.2">
      <c r="A1058" s="3">
        <v>46057</v>
      </c>
      <c r="B1058" s="4" t="str">
        <f>IF(A1058="","","PC-"&amp;TEXT(A1058,"mm/yyyy")&amp;"-"&amp;TEXT(COUNTIFS($A$2:A1058,"&gt;="&amp;EOMONTH(A1058,-1)+1,$A$2:A1058,"&lt;="&amp;EOMONTH(A1058,0)),"000"))</f>
        <v>PC-02/2026-098</v>
      </c>
      <c r="C1058" s="5" t="s">
        <v>512</v>
      </c>
      <c r="D1058" s="5" t="s">
        <v>20</v>
      </c>
      <c r="E1058" s="5" t="s">
        <v>21</v>
      </c>
      <c r="F1058" s="5"/>
      <c r="G1058" s="5" t="s">
        <v>22</v>
      </c>
      <c r="H1058" s="5" t="s">
        <v>23</v>
      </c>
      <c r="I1058" s="6">
        <v>6000000</v>
      </c>
      <c r="J1058" s="6">
        <f>IF(D1058="Thu",I1058,0)</f>
        <v>6000000</v>
      </c>
      <c r="K1058" s="6">
        <f>IF(D1058="Chi",I1058,0)</f>
        <v>0</v>
      </c>
      <c r="L1058" s="6" t="e">
        <f>L1057+J1058-K1058</f>
        <v>#VALUE!</v>
      </c>
      <c r="M1058" s="6">
        <f ca="1">IFERROR(__xludf.DUMMYFUNCTION("SUM(FILTER(J:J, H:H=""Tiền mặt"")) - SUM(FILTER(K:K, H:H=""Tiền mặt""))
"),959000)</f>
        <v>959000</v>
      </c>
      <c r="N1058" s="6">
        <f ca="1">IFERROR(__xludf.DUMMYFUNCTION("SUM(FILTER(J:J, H:H=""Chuyển khoản"")) - SUM(FILTER(K:K, H:H=""Chuyển khoản""))
"),4468984)</f>
        <v>4468984</v>
      </c>
      <c r="O1058" s="5"/>
      <c r="P1058" s="5"/>
      <c r="Q1058" s="5"/>
      <c r="R1058" s="5"/>
      <c r="S1058" s="5"/>
    </row>
    <row r="1059" spans="1:19" ht="15.75" customHeight="1" x14ac:dyDescent="0.2">
      <c r="A1059" s="3">
        <v>46057</v>
      </c>
      <c r="B1059" s="4" t="str">
        <f>IF(A1059="","","PC-"&amp;TEXT(A1059,"mm/yyyy")&amp;"-"&amp;TEXT(COUNTIFS($A$2:A1059,"&gt;="&amp;EOMONTH(A1059,-1)+1,$A$2:A1059,"&lt;="&amp;EOMONTH(A1059,0)),"000"))</f>
        <v>PC-02/2026-099</v>
      </c>
      <c r="C1059" s="5" t="s">
        <v>513</v>
      </c>
      <c r="D1059" s="5" t="s">
        <v>29</v>
      </c>
      <c r="E1059" s="5" t="s">
        <v>88</v>
      </c>
      <c r="F1059" s="5"/>
      <c r="G1059" s="5" t="s">
        <v>482</v>
      </c>
      <c r="H1059" s="5" t="s">
        <v>23</v>
      </c>
      <c r="I1059" s="6">
        <v>300000</v>
      </c>
      <c r="J1059" s="6">
        <f>IF(D1059="Thu",I1059,0)</f>
        <v>0</v>
      </c>
      <c r="K1059" s="6">
        <f>IF(D1059="Chi",I1059,0)</f>
        <v>300000</v>
      </c>
      <c r="L1059" s="6" t="e">
        <f>L1058+J1059-K1059</f>
        <v>#VALUE!</v>
      </c>
      <c r="M1059" s="6">
        <f ca="1">IFERROR(__xludf.DUMMYFUNCTION("SUM(FILTER(J:J, H:H=""Tiền mặt"")) - SUM(FILTER(K:K, H:H=""Tiền mặt""))
"),959000)</f>
        <v>959000</v>
      </c>
      <c r="N1059" s="6">
        <f ca="1">IFERROR(__xludf.DUMMYFUNCTION("SUM(FILTER(J:J, H:H=""Chuyển khoản"")) - SUM(FILTER(K:K, H:H=""Chuyển khoản""))
"),4468984)</f>
        <v>4468984</v>
      </c>
      <c r="O1059" s="5"/>
      <c r="P1059" s="5"/>
      <c r="Q1059" s="5"/>
      <c r="R1059" s="5"/>
      <c r="S1059" s="5"/>
    </row>
    <row r="1060" spans="1:19" ht="15.75" customHeight="1" x14ac:dyDescent="0.2">
      <c r="A1060" s="3">
        <v>46057</v>
      </c>
      <c r="B1060" s="4" t="str">
        <f>IF(A1060="","","PC-"&amp;TEXT(A1060,"mm/yyyy")&amp;"-"&amp;TEXT(COUNTIFS($A$2:A1060,"&gt;="&amp;EOMONTH(A1060,-1)+1,$A$2:A1060,"&lt;="&amp;EOMONTH(A1060,0)),"000"))</f>
        <v>PC-02/2026-100</v>
      </c>
      <c r="C1060" s="5" t="s">
        <v>514</v>
      </c>
      <c r="D1060" s="5" t="s">
        <v>29</v>
      </c>
      <c r="E1060" s="5" t="s">
        <v>71</v>
      </c>
      <c r="F1060" s="5"/>
      <c r="G1060" s="5" t="s">
        <v>484</v>
      </c>
      <c r="H1060" s="5" t="s">
        <v>27</v>
      </c>
      <c r="I1060" s="6">
        <v>47000</v>
      </c>
      <c r="J1060" s="6">
        <f>IF(D1060="Thu",I1060,0)</f>
        <v>0</v>
      </c>
      <c r="K1060" s="6">
        <f>IF(D1060="Chi",I1060,0)</f>
        <v>47000</v>
      </c>
      <c r="L1060" s="6" t="e">
        <f>L1059+J1060-K1060</f>
        <v>#VALUE!</v>
      </c>
      <c r="M1060" s="6">
        <f ca="1">IFERROR(__xludf.DUMMYFUNCTION("SUM(FILTER(J:J, H:H=""Tiền mặt"")) - SUM(FILTER(K:K, H:H=""Tiền mặt""))
"),959000)</f>
        <v>959000</v>
      </c>
      <c r="N1060" s="6">
        <f ca="1">IFERROR(__xludf.DUMMYFUNCTION("SUM(FILTER(J:J, H:H=""Chuyển khoản"")) - SUM(FILTER(K:K, H:H=""Chuyển khoản""))
"),4468984)</f>
        <v>4468984</v>
      </c>
      <c r="O1060" s="5"/>
      <c r="P1060" s="5"/>
      <c r="Q1060" s="5"/>
      <c r="R1060" s="5"/>
      <c r="S1060" s="5"/>
    </row>
    <row r="1061" spans="1:19" ht="15.75" customHeight="1" x14ac:dyDescent="0.2">
      <c r="A1061" s="3">
        <v>46057</v>
      </c>
      <c r="B1061" s="4" t="str">
        <f>IF(A1061="","","PC-"&amp;TEXT(A1061,"mm/yyyy")&amp;"-"&amp;TEXT(COUNTIFS($A$2:A1061,"&gt;="&amp;EOMONTH(A1061,-1)+1,$A$2:A1061,"&lt;="&amp;EOMONTH(A1061,0)),"000"))</f>
        <v>PC-02/2026-101</v>
      </c>
      <c r="C1061" s="5" t="s">
        <v>515</v>
      </c>
      <c r="D1061" s="5" t="s">
        <v>29</v>
      </c>
      <c r="E1061" s="5" t="s">
        <v>51</v>
      </c>
      <c r="F1061" s="5"/>
      <c r="G1061" s="5" t="s">
        <v>516</v>
      </c>
      <c r="H1061" s="5" t="s">
        <v>27</v>
      </c>
      <c r="I1061" s="6">
        <v>113913</v>
      </c>
      <c r="J1061" s="6">
        <f>IF(D1061="Thu",I1061,0)</f>
        <v>0</v>
      </c>
      <c r="K1061" s="6">
        <f>IF(D1061="Chi",I1061,0)</f>
        <v>113913</v>
      </c>
      <c r="L1061" s="6" t="e">
        <f>L1060+J1061-K1061</f>
        <v>#VALUE!</v>
      </c>
      <c r="M1061" s="6">
        <f ca="1">IFERROR(__xludf.DUMMYFUNCTION("SUM(FILTER(J:J, H:H=""Tiền mặt"")) - SUM(FILTER(K:K, H:H=""Tiền mặt""))
"),959000)</f>
        <v>959000</v>
      </c>
      <c r="N1061" s="6">
        <f ca="1">IFERROR(__xludf.DUMMYFUNCTION("SUM(FILTER(J:J, H:H=""Chuyển khoản"")) - SUM(FILTER(K:K, H:H=""Chuyển khoản""))
"),4468984)</f>
        <v>4468984</v>
      </c>
      <c r="O1061" s="5"/>
      <c r="P1061" s="5"/>
      <c r="Q1061" s="5"/>
      <c r="R1061" s="5"/>
      <c r="S1061" s="5"/>
    </row>
    <row r="1062" spans="1:19" ht="15.75" customHeight="1" x14ac:dyDescent="0.2">
      <c r="A1062" s="3">
        <v>46057</v>
      </c>
      <c r="B1062" s="4" t="str">
        <f>IF(A1062="","","PC-"&amp;TEXT(A1062,"mm/yyyy")&amp;"-"&amp;TEXT(COUNTIFS($A$2:A1062,"&gt;="&amp;EOMONTH(A1062,-1)+1,$A$2:A1062,"&lt;="&amp;EOMONTH(A1062,0)),"000"))</f>
        <v>PC-02/2026-102</v>
      </c>
      <c r="C1062" s="5" t="s">
        <v>517</v>
      </c>
      <c r="D1062" s="5" t="s">
        <v>29</v>
      </c>
      <c r="E1062" s="5" t="s">
        <v>88</v>
      </c>
      <c r="F1062" s="5"/>
      <c r="G1062" s="5" t="s">
        <v>89</v>
      </c>
      <c r="H1062" s="5" t="s">
        <v>23</v>
      </c>
      <c r="I1062" s="6">
        <v>230000</v>
      </c>
      <c r="J1062" s="6">
        <f>IF(D1062="Thu",I1062,0)</f>
        <v>0</v>
      </c>
      <c r="K1062" s="6">
        <f>IF(D1062="Chi",I1062,0)</f>
        <v>230000</v>
      </c>
      <c r="L1062" s="6" t="e">
        <f>L1061+J1062-K1062</f>
        <v>#VALUE!</v>
      </c>
      <c r="M1062" s="6">
        <f ca="1">IFERROR(__xludf.DUMMYFUNCTION("SUM(FILTER(J:J, H:H=""Tiền mặt"")) - SUM(FILTER(K:K, H:H=""Tiền mặt""))
"),959000)</f>
        <v>959000</v>
      </c>
      <c r="N1062" s="6">
        <f ca="1">IFERROR(__xludf.DUMMYFUNCTION("SUM(FILTER(J:J, H:H=""Chuyển khoản"")) - SUM(FILTER(K:K, H:H=""Chuyển khoản""))
"),4468984)</f>
        <v>4468984</v>
      </c>
      <c r="O1062" s="5"/>
      <c r="P1062" s="5"/>
      <c r="Q1062" s="5"/>
      <c r="R1062" s="5"/>
      <c r="S1062" s="5"/>
    </row>
    <row r="1063" spans="1:19" ht="15.75" customHeight="1" x14ac:dyDescent="0.2">
      <c r="A1063" s="3">
        <v>46056</v>
      </c>
      <c r="B1063" s="4" t="str">
        <f>IF(A1063="","","PC-"&amp;TEXT(A1063,"mm/yyyy")&amp;"-"&amp;TEXT(COUNTIFS($A$2:A1063,"&gt;="&amp;EOMONTH(A1063,-1)+1,$A$2:A1063,"&lt;="&amp;EOMONTH(A1063,0)),"000"))</f>
        <v>PC-02/2026-103</v>
      </c>
      <c r="C1063" s="5" t="s">
        <v>487</v>
      </c>
      <c r="D1063" s="5" t="s">
        <v>29</v>
      </c>
      <c r="E1063" s="5" t="s">
        <v>41</v>
      </c>
      <c r="F1063" s="5"/>
      <c r="G1063" s="5" t="s">
        <v>192</v>
      </c>
      <c r="H1063" s="5" t="s">
        <v>23</v>
      </c>
      <c r="I1063" s="6">
        <v>100000</v>
      </c>
      <c r="J1063" s="6">
        <f>IF(D1063="Thu",I1063,0)</f>
        <v>0</v>
      </c>
      <c r="K1063" s="6">
        <f>IF(D1063="Chi",I1063,0)</f>
        <v>100000</v>
      </c>
      <c r="L1063" s="6" t="e">
        <f>L1062+J1063-K1063</f>
        <v>#VALUE!</v>
      </c>
      <c r="M1063" s="6">
        <f ca="1">IFERROR(__xludf.DUMMYFUNCTION("SUM(FILTER(J:J, H:H=""Tiền mặt"")) - SUM(FILTER(K:K, H:H=""Tiền mặt""))
"),959000)</f>
        <v>959000</v>
      </c>
      <c r="N1063" s="6">
        <f ca="1">IFERROR(__xludf.DUMMYFUNCTION("SUM(FILTER(J:J, H:H=""Chuyển khoản"")) - SUM(FILTER(K:K, H:H=""Chuyển khoản""))
"),4468984)</f>
        <v>4468984</v>
      </c>
      <c r="O1063" s="5"/>
      <c r="P1063" s="5"/>
      <c r="Q1063" s="5"/>
      <c r="R1063" s="5"/>
      <c r="S1063" s="5"/>
    </row>
    <row r="1064" spans="1:19" ht="15.75" customHeight="1" x14ac:dyDescent="0.2">
      <c r="A1064" s="3">
        <v>46056</v>
      </c>
      <c r="B1064" s="4" t="str">
        <f>IF(A1064="","","PC-"&amp;TEXT(A1064,"mm/yyyy")&amp;"-"&amp;TEXT(COUNTIFS($A$2:A1064,"&gt;="&amp;EOMONTH(A1064,-1)+1,$A$2:A1064,"&lt;="&amp;EOMONTH(A1064,0)),"000"))</f>
        <v>PC-02/2026-104</v>
      </c>
      <c r="C1064" s="7" t="s">
        <v>488</v>
      </c>
      <c r="D1064" s="5" t="s">
        <v>29</v>
      </c>
      <c r="E1064" s="5" t="s">
        <v>51</v>
      </c>
      <c r="F1064" s="5"/>
      <c r="G1064" s="5" t="s">
        <v>52</v>
      </c>
      <c r="H1064" s="5" t="s">
        <v>27</v>
      </c>
      <c r="I1064" s="6">
        <v>97928</v>
      </c>
      <c r="J1064" s="6">
        <f>IF(D1064="Thu",I1064,0)</f>
        <v>0</v>
      </c>
      <c r="K1064" s="6">
        <f>IF(D1064="Chi",I1064,0)</f>
        <v>97928</v>
      </c>
      <c r="L1064" s="6" t="e">
        <f>L1063+J1064-K1064</f>
        <v>#VALUE!</v>
      </c>
      <c r="M1064" s="6">
        <f ca="1">IFERROR(__xludf.DUMMYFUNCTION("SUM(FILTER(J:J, H:H=""Tiền mặt"")) - SUM(FILTER(K:K, H:H=""Tiền mặt""))
"),959000)</f>
        <v>959000</v>
      </c>
      <c r="N1064" s="6">
        <f ca="1">IFERROR(__xludf.DUMMYFUNCTION("SUM(FILTER(J:J, H:H=""Chuyển khoản"")) - SUM(FILTER(K:K, H:H=""Chuyển khoản""))
"),4468984)</f>
        <v>4468984</v>
      </c>
      <c r="O1064" s="5"/>
      <c r="P1064" s="5"/>
      <c r="Q1064" s="5"/>
      <c r="R1064" s="5"/>
      <c r="S1064" s="5"/>
    </row>
    <row r="1065" spans="1:19" ht="15.75" customHeight="1" x14ac:dyDescent="0.2">
      <c r="A1065" s="3">
        <v>46056</v>
      </c>
      <c r="B1065" s="4" t="str">
        <f>IF(A1065="","","PC-"&amp;TEXT(A1065,"mm/yyyy")&amp;"-"&amp;TEXT(COUNTIFS($A$2:A1065,"&gt;="&amp;EOMONTH(A1065,-1)+1,$A$2:A1065,"&lt;="&amp;EOMONTH(A1065,0)),"000"))</f>
        <v>PC-02/2026-105</v>
      </c>
      <c r="C1065" s="5" t="s">
        <v>489</v>
      </c>
      <c r="D1065" s="5" t="s">
        <v>29</v>
      </c>
      <c r="E1065" s="5" t="s">
        <v>41</v>
      </c>
      <c r="F1065" s="5"/>
      <c r="G1065" s="5" t="s">
        <v>192</v>
      </c>
      <c r="H1065" s="5" t="s">
        <v>23</v>
      </c>
      <c r="I1065" s="6">
        <v>100000</v>
      </c>
      <c r="J1065" s="6">
        <f>IF(D1065="Thu",I1065,0)</f>
        <v>0</v>
      </c>
      <c r="K1065" s="6">
        <f>IF(D1065="Chi",I1065,0)</f>
        <v>100000</v>
      </c>
      <c r="L1065" s="6" t="e">
        <f>L1064+J1065-K1065</f>
        <v>#VALUE!</v>
      </c>
      <c r="M1065" s="6">
        <f ca="1">IFERROR(__xludf.DUMMYFUNCTION("SUM(FILTER(J:J, H:H=""Tiền mặt"")) - SUM(FILTER(K:K, H:H=""Tiền mặt""))
"),959000)</f>
        <v>959000</v>
      </c>
      <c r="N1065" s="6">
        <f ca="1">IFERROR(__xludf.DUMMYFUNCTION("SUM(FILTER(J:J, H:H=""Chuyển khoản"")) - SUM(FILTER(K:K, H:H=""Chuyển khoản""))
"),4468984)</f>
        <v>4468984</v>
      </c>
      <c r="O1065" s="5"/>
      <c r="P1065" s="5"/>
      <c r="Q1065" s="5"/>
      <c r="R1065" s="5"/>
      <c r="S1065" s="5"/>
    </row>
    <row r="1066" spans="1:19" ht="15.75" customHeight="1" x14ac:dyDescent="0.2">
      <c r="A1066" s="3">
        <v>46056</v>
      </c>
      <c r="B1066" s="4" t="str">
        <f>IF(A1066="","","PC-"&amp;TEXT(A1066,"mm/yyyy")&amp;"-"&amp;TEXT(COUNTIFS($A$2:A1066,"&gt;="&amp;EOMONTH(A1066,-1)+1,$A$2:A1066,"&lt;="&amp;EOMONTH(A1066,0)),"000"))</f>
        <v>PC-02/2026-106</v>
      </c>
      <c r="C1066" s="5" t="s">
        <v>490</v>
      </c>
      <c r="D1066" s="5" t="s">
        <v>20</v>
      </c>
      <c r="E1066" s="5" t="s">
        <v>21</v>
      </c>
      <c r="F1066" s="5"/>
      <c r="G1066" s="5" t="s">
        <v>22</v>
      </c>
      <c r="H1066" s="5" t="s">
        <v>27</v>
      </c>
      <c r="I1066" s="6">
        <v>10000000</v>
      </c>
      <c r="J1066" s="6">
        <f>IF(D1066="Thu",I1066,0)</f>
        <v>10000000</v>
      </c>
      <c r="K1066" s="6">
        <f>IF(D1066="Chi",I1066,0)</f>
        <v>0</v>
      </c>
      <c r="L1066" s="6" t="e">
        <f>L1065+J1066-K1066</f>
        <v>#VALUE!</v>
      </c>
      <c r="M1066" s="6">
        <f ca="1">IFERROR(__xludf.DUMMYFUNCTION("SUM(FILTER(J:J, H:H=""Tiền mặt"")) - SUM(FILTER(K:K, H:H=""Tiền mặt""))
"),959000)</f>
        <v>959000</v>
      </c>
      <c r="N1066" s="6">
        <f ca="1">IFERROR(__xludf.DUMMYFUNCTION("SUM(FILTER(J:J, H:H=""Chuyển khoản"")) - SUM(FILTER(K:K, H:H=""Chuyển khoản""))
"),4468984)</f>
        <v>4468984</v>
      </c>
      <c r="O1066" s="5"/>
      <c r="P1066" s="5"/>
      <c r="Q1066" s="5"/>
      <c r="R1066" s="5"/>
      <c r="S1066" s="5"/>
    </row>
    <row r="1067" spans="1:19" ht="15.75" customHeight="1" x14ac:dyDescent="0.2">
      <c r="A1067" s="3">
        <v>46056</v>
      </c>
      <c r="B1067" s="4" t="str">
        <f>IF(A1067="","","PC-"&amp;TEXT(A1067,"mm/yyyy")&amp;"-"&amp;TEXT(COUNTIFS($A$2:A1067,"&gt;="&amp;EOMONTH(A1067,-1)+1,$A$2:A1067,"&lt;="&amp;EOMONTH(A1067,0)),"000"))</f>
        <v>PC-02/2026-107</v>
      </c>
      <c r="C1067" s="5" t="s">
        <v>491</v>
      </c>
      <c r="D1067" s="5" t="s">
        <v>29</v>
      </c>
      <c r="E1067" s="5" t="s">
        <v>30</v>
      </c>
      <c r="F1067" s="5"/>
      <c r="G1067" s="5" t="s">
        <v>492</v>
      </c>
      <c r="H1067" s="5" t="s">
        <v>27</v>
      </c>
      <c r="I1067" s="6">
        <v>2240000</v>
      </c>
      <c r="J1067" s="6">
        <f>IF(D1067="Thu",I1067,0)</f>
        <v>0</v>
      </c>
      <c r="K1067" s="6">
        <f>IF(D1067="Chi",I1067,0)</f>
        <v>2240000</v>
      </c>
      <c r="L1067" s="6" t="e">
        <f>L1066+J1067-K1067</f>
        <v>#VALUE!</v>
      </c>
      <c r="M1067" s="6">
        <f ca="1">IFERROR(__xludf.DUMMYFUNCTION("SUM(FILTER(J:J, H:H=""Tiền mặt"")) - SUM(FILTER(K:K, H:H=""Tiền mặt""))
"),959000)</f>
        <v>959000</v>
      </c>
      <c r="N1067" s="6">
        <f ca="1">IFERROR(__xludf.DUMMYFUNCTION("SUM(FILTER(J:J, H:H=""Chuyển khoản"")) - SUM(FILTER(K:K, H:H=""Chuyển khoản""))
"),4468984)</f>
        <v>4468984</v>
      </c>
      <c r="O1067" s="5"/>
      <c r="P1067" s="5"/>
      <c r="Q1067" s="5"/>
      <c r="R1067" s="5"/>
      <c r="S1067" s="5"/>
    </row>
    <row r="1068" spans="1:19" ht="15.75" customHeight="1" x14ac:dyDescent="0.2">
      <c r="A1068" s="3">
        <v>46056</v>
      </c>
      <c r="B1068" s="4" t="str">
        <f>IF(A1068="","","PC-"&amp;TEXT(A1068,"mm/yyyy")&amp;"-"&amp;TEXT(COUNTIFS($A$2:A1068,"&gt;="&amp;EOMONTH(A1068,-1)+1,$A$2:A1068,"&lt;="&amp;EOMONTH(A1068,0)),"000"))</f>
        <v>PC-02/2026-108</v>
      </c>
      <c r="C1068" s="5" t="s">
        <v>493</v>
      </c>
      <c r="D1068" s="5" t="s">
        <v>29</v>
      </c>
      <c r="E1068" s="5" t="s">
        <v>78</v>
      </c>
      <c r="F1068" s="5"/>
      <c r="G1068" s="5" t="s">
        <v>72</v>
      </c>
      <c r="H1068" s="5" t="s">
        <v>27</v>
      </c>
      <c r="I1068" s="6">
        <v>229000</v>
      </c>
      <c r="J1068" s="6">
        <f>IF(D1068="Thu",I1068,0)</f>
        <v>0</v>
      </c>
      <c r="K1068" s="6">
        <f>IF(D1068="Chi",I1068,0)</f>
        <v>229000</v>
      </c>
      <c r="L1068" s="6" t="e">
        <f>L1067+J1068-K1068</f>
        <v>#VALUE!</v>
      </c>
      <c r="M1068" s="6">
        <f ca="1">IFERROR(__xludf.DUMMYFUNCTION("SUM(FILTER(J:J, H:H=""Tiền mặt"")) - SUM(FILTER(K:K, H:H=""Tiền mặt""))
"),959000)</f>
        <v>959000</v>
      </c>
      <c r="N1068" s="6">
        <f ca="1">IFERROR(__xludf.DUMMYFUNCTION("SUM(FILTER(J:J, H:H=""Chuyển khoản"")) - SUM(FILTER(K:K, H:H=""Chuyển khoản""))
"),4468984)</f>
        <v>4468984</v>
      </c>
      <c r="O1068" s="5"/>
      <c r="P1068" s="5"/>
      <c r="Q1068" s="5"/>
      <c r="R1068" s="5"/>
      <c r="S1068" s="5"/>
    </row>
    <row r="1069" spans="1:19" ht="15.75" customHeight="1" x14ac:dyDescent="0.2">
      <c r="A1069" s="3">
        <v>46055</v>
      </c>
      <c r="B1069" s="4" t="str">
        <f>IF(A1069="","","PC-"&amp;TEXT(A1069,"mm/yyyy")&amp;"-"&amp;TEXT(COUNTIFS($A$2:A1069,"&gt;="&amp;EOMONTH(A1069,-1)+1,$A$2:A1069,"&lt;="&amp;EOMONTH(A1069,0)),"000"))</f>
        <v>PC-02/2026-109</v>
      </c>
      <c r="C1069" s="5" t="s">
        <v>469</v>
      </c>
      <c r="D1069" s="5" t="s">
        <v>29</v>
      </c>
      <c r="E1069" s="5" t="s">
        <v>44</v>
      </c>
      <c r="F1069" s="5"/>
      <c r="G1069" s="5" t="s">
        <v>103</v>
      </c>
      <c r="H1069" s="5" t="s">
        <v>23</v>
      </c>
      <c r="I1069" s="6">
        <v>1500000</v>
      </c>
      <c r="J1069" s="6">
        <f>IF(D1069="Thu",I1069,0)</f>
        <v>0</v>
      </c>
      <c r="K1069" s="6">
        <f>IF(D1069="Chi",I1069,0)</f>
        <v>1500000</v>
      </c>
      <c r="L1069" s="6" t="e">
        <f>L1068+J1069-K1069</f>
        <v>#VALUE!</v>
      </c>
      <c r="M1069" s="6">
        <f ca="1">IFERROR(__xludf.DUMMYFUNCTION("SUM(FILTER(J:J, H:H=""Tiền mặt"")) - SUM(FILTER(K:K, H:H=""Tiền mặt""))
"),959000)</f>
        <v>959000</v>
      </c>
      <c r="N1069" s="6">
        <f ca="1">IFERROR(__xludf.DUMMYFUNCTION("SUM(FILTER(J:J, H:H=""Chuyển khoản"")) - SUM(FILTER(K:K, H:H=""Chuyển khoản""))
"),4468984)</f>
        <v>4468984</v>
      </c>
      <c r="O1069" s="5"/>
      <c r="P1069" s="5"/>
      <c r="Q1069" s="5"/>
      <c r="R1069" s="5"/>
      <c r="S1069" s="5"/>
    </row>
    <row r="1070" spans="1:19" ht="15.75" customHeight="1" x14ac:dyDescent="0.2">
      <c r="A1070" s="3">
        <v>46055</v>
      </c>
      <c r="B1070" s="4" t="str">
        <f>IF(A1070="","","PC-"&amp;TEXT(A1070,"mm/yyyy")&amp;"-"&amp;TEXT(COUNTIFS($A$2:A1070,"&gt;="&amp;EOMONTH(A1070,-1)+1,$A$2:A1070,"&lt;="&amp;EOMONTH(A1070,0)),"000"))</f>
        <v>PC-02/2026-110</v>
      </c>
      <c r="C1070" s="7" t="s">
        <v>470</v>
      </c>
      <c r="D1070" s="5" t="s">
        <v>29</v>
      </c>
      <c r="E1070" s="5" t="s">
        <v>47</v>
      </c>
      <c r="F1070" s="5"/>
      <c r="G1070" s="5" t="s">
        <v>48</v>
      </c>
      <c r="H1070" s="5" t="s">
        <v>23</v>
      </c>
      <c r="I1070" s="6">
        <v>50000</v>
      </c>
      <c r="J1070" s="6">
        <f>IF(D1070="Thu",I1070,0)</f>
        <v>0</v>
      </c>
      <c r="K1070" s="6">
        <f>IF(D1070="Chi",I1070,0)</f>
        <v>50000</v>
      </c>
      <c r="L1070" s="6" t="e">
        <f>L1069+J1070-K1070</f>
        <v>#VALUE!</v>
      </c>
      <c r="M1070" s="6">
        <f ca="1">IFERROR(__xludf.DUMMYFUNCTION("SUM(FILTER(J:J, H:H=""Tiền mặt"")) - SUM(FILTER(K:K, H:H=""Tiền mặt""))
"),959000)</f>
        <v>959000</v>
      </c>
      <c r="N1070" s="6">
        <f ca="1">IFERROR(__xludf.DUMMYFUNCTION("SUM(FILTER(J:J, H:H=""Chuyển khoản"")) - SUM(FILTER(K:K, H:H=""Chuyển khoản""))
"),4468984)</f>
        <v>4468984</v>
      </c>
      <c r="O1070" s="5"/>
      <c r="P1070" s="5"/>
      <c r="Q1070" s="5"/>
      <c r="R1070" s="5"/>
      <c r="S1070" s="5"/>
    </row>
    <row r="1071" spans="1:19" ht="15.75" customHeight="1" x14ac:dyDescent="0.2">
      <c r="A1071" s="3">
        <v>46055</v>
      </c>
      <c r="B1071" s="4" t="str">
        <f>IF(A1071="","","PC-"&amp;TEXT(A1071,"mm/yyyy")&amp;"-"&amp;TEXT(COUNTIFS($A$2:A1071,"&gt;="&amp;EOMONTH(A1071,-1)+1,$A$2:A1071,"&lt;="&amp;EOMONTH(A1071,0)),"000"))</f>
        <v>PC-02/2026-111</v>
      </c>
      <c r="C1071" s="7" t="s">
        <v>471</v>
      </c>
      <c r="D1071" s="5" t="s">
        <v>29</v>
      </c>
      <c r="E1071" s="5" t="s">
        <v>36</v>
      </c>
      <c r="F1071" s="5"/>
      <c r="G1071" s="5" t="s">
        <v>37</v>
      </c>
      <c r="H1071" s="5" t="s">
        <v>23</v>
      </c>
      <c r="I1071" s="6">
        <v>50000</v>
      </c>
      <c r="J1071" s="6">
        <f>IF(D1071="Thu",I1071,0)</f>
        <v>0</v>
      </c>
      <c r="K1071" s="6">
        <f>IF(D1071="Chi",I1071,0)</f>
        <v>50000</v>
      </c>
      <c r="L1071" s="6" t="e">
        <f>L1070+J1071-K1071</f>
        <v>#VALUE!</v>
      </c>
      <c r="M1071" s="6">
        <f ca="1">IFERROR(__xludf.DUMMYFUNCTION("SUM(FILTER(J:J, H:H=""Tiền mặt"")) - SUM(FILTER(K:K, H:H=""Tiền mặt""))
"),959000)</f>
        <v>959000</v>
      </c>
      <c r="N1071" s="6">
        <f ca="1">IFERROR(__xludf.DUMMYFUNCTION("SUM(FILTER(J:J, H:H=""Chuyển khoản"")) - SUM(FILTER(K:K, H:H=""Chuyển khoản""))
"),4468984)</f>
        <v>4468984</v>
      </c>
      <c r="O1071" s="5"/>
      <c r="P1071" s="5"/>
      <c r="Q1071" s="5"/>
      <c r="R1071" s="5"/>
      <c r="S1071" s="5"/>
    </row>
    <row r="1072" spans="1:19" ht="15.75" customHeight="1" x14ac:dyDescent="0.2">
      <c r="A1072" s="3">
        <v>46055</v>
      </c>
      <c r="B1072" s="4" t="str">
        <f>IF(A1072="","","PC-"&amp;TEXT(A1072,"mm/yyyy")&amp;"-"&amp;TEXT(COUNTIFS($A$2:A1072,"&gt;="&amp;EOMONTH(A1072,-1)+1,$A$2:A1072,"&lt;="&amp;EOMONTH(A1072,0)),"000"))</f>
        <v>PC-02/2026-112</v>
      </c>
      <c r="C1072" s="5" t="s">
        <v>472</v>
      </c>
      <c r="D1072" s="5" t="s">
        <v>29</v>
      </c>
      <c r="E1072" s="5" t="s">
        <v>36</v>
      </c>
      <c r="F1072" s="5"/>
      <c r="G1072" s="5" t="s">
        <v>37</v>
      </c>
      <c r="H1072" s="5" t="s">
        <v>23</v>
      </c>
      <c r="I1072" s="6">
        <v>45000</v>
      </c>
      <c r="J1072" s="6">
        <f>IF(D1072="Thu",I1072,0)</f>
        <v>0</v>
      </c>
      <c r="K1072" s="6">
        <f>IF(D1072="Chi",I1072,0)</f>
        <v>45000</v>
      </c>
      <c r="L1072" s="6" t="e">
        <f>L1071+J1072-K1072</f>
        <v>#VALUE!</v>
      </c>
      <c r="M1072" s="6">
        <f ca="1">IFERROR(__xludf.DUMMYFUNCTION("SUM(FILTER(J:J, H:H=""Tiền mặt"")) - SUM(FILTER(K:K, H:H=""Tiền mặt""))
"),959000)</f>
        <v>959000</v>
      </c>
      <c r="N1072" s="6">
        <f ca="1">IFERROR(__xludf.DUMMYFUNCTION("SUM(FILTER(J:J, H:H=""Chuyển khoản"")) - SUM(FILTER(K:K, H:H=""Chuyển khoản""))
"),4468984)</f>
        <v>4468984</v>
      </c>
      <c r="O1072" s="5"/>
      <c r="P1072" s="5"/>
      <c r="Q1072" s="5"/>
      <c r="R1072" s="5"/>
      <c r="S1072" s="5"/>
    </row>
    <row r="1073" spans="1:19" ht="15.75" customHeight="1" x14ac:dyDescent="0.2">
      <c r="A1073" s="3">
        <v>46055</v>
      </c>
      <c r="B1073" s="4" t="str">
        <f>IF(A1073="","","PC-"&amp;TEXT(A1073,"mm/yyyy")&amp;"-"&amp;TEXT(COUNTIFS($A$2:A1073,"&gt;="&amp;EOMONTH(A1073,-1)+1,$A$2:A1073,"&lt;="&amp;EOMONTH(A1073,0)),"000"))</f>
        <v>PC-02/2026-113</v>
      </c>
      <c r="C1073" s="5" t="s">
        <v>473</v>
      </c>
      <c r="D1073" s="5" t="s">
        <v>29</v>
      </c>
      <c r="E1073" s="5" t="s">
        <v>41</v>
      </c>
      <c r="F1073" s="5"/>
      <c r="G1073" s="5" t="s">
        <v>82</v>
      </c>
      <c r="H1073" s="5" t="s">
        <v>23</v>
      </c>
      <c r="I1073" s="6">
        <v>100000</v>
      </c>
      <c r="J1073" s="6">
        <f>IF(D1073="Thu",I1073,0)</f>
        <v>0</v>
      </c>
      <c r="K1073" s="6">
        <f>IF(D1073="Chi",I1073,0)</f>
        <v>100000</v>
      </c>
      <c r="L1073" s="6" t="e">
        <f>L1072+J1073-K1073</f>
        <v>#VALUE!</v>
      </c>
      <c r="M1073" s="6">
        <f ca="1">IFERROR(__xludf.DUMMYFUNCTION("SUM(FILTER(J:J, H:H=""Tiền mặt"")) - SUM(FILTER(K:K, H:H=""Tiền mặt""))
"),959000)</f>
        <v>959000</v>
      </c>
      <c r="N1073" s="6">
        <f ca="1">IFERROR(__xludf.DUMMYFUNCTION("SUM(FILTER(J:J, H:H=""Chuyển khoản"")) - SUM(FILTER(K:K, H:H=""Chuyển khoản""))
"),4468984)</f>
        <v>4468984</v>
      </c>
      <c r="O1073" s="5"/>
      <c r="P1073" s="5"/>
      <c r="Q1073" s="5"/>
      <c r="R1073" s="5"/>
      <c r="S1073" s="5"/>
    </row>
    <row r="1074" spans="1:19" ht="15.75" customHeight="1" x14ac:dyDescent="0.2">
      <c r="A1074" s="3">
        <v>46055</v>
      </c>
      <c r="B1074" s="4" t="str">
        <f>IF(A1074="","","PC-"&amp;TEXT(A1074,"mm/yyyy")&amp;"-"&amp;TEXT(COUNTIFS($A$2:A1074,"&gt;="&amp;EOMONTH(A1074,-1)+1,$A$2:A1074,"&lt;="&amp;EOMONTH(A1074,0)),"000"))</f>
        <v>PC-02/2026-114</v>
      </c>
      <c r="C1074" s="5" t="s">
        <v>474</v>
      </c>
      <c r="D1074" s="5" t="s">
        <v>29</v>
      </c>
      <c r="E1074" s="5" t="s">
        <v>44</v>
      </c>
      <c r="F1074" s="5"/>
      <c r="G1074" s="5" t="s">
        <v>413</v>
      </c>
      <c r="H1074" s="5" t="s">
        <v>23</v>
      </c>
      <c r="I1074" s="6">
        <v>1500000</v>
      </c>
      <c r="J1074" s="6">
        <f>IF(D1074="Thu",I1074,0)</f>
        <v>0</v>
      </c>
      <c r="K1074" s="6">
        <f>IF(D1074="Chi",I1074,0)</f>
        <v>1500000</v>
      </c>
      <c r="L1074" s="6" t="e">
        <f>L1073+J1074-K1074</f>
        <v>#VALUE!</v>
      </c>
      <c r="M1074" s="6">
        <f ca="1">IFERROR(__xludf.DUMMYFUNCTION("SUM(FILTER(J:J, H:H=""Tiền mặt"")) - SUM(FILTER(K:K, H:H=""Tiền mặt""))
"),959000)</f>
        <v>959000</v>
      </c>
      <c r="N1074" s="6">
        <f ca="1">IFERROR(__xludf.DUMMYFUNCTION("SUM(FILTER(J:J, H:H=""Chuyển khoản"")) - SUM(FILTER(K:K, H:H=""Chuyển khoản""))
"),4468984)</f>
        <v>4468984</v>
      </c>
      <c r="O1074" s="5"/>
      <c r="P1074" s="5"/>
      <c r="Q1074" s="5"/>
      <c r="R1074" s="5"/>
      <c r="S1074" s="5"/>
    </row>
    <row r="1075" spans="1:19" ht="15.75" customHeight="1" x14ac:dyDescent="0.2">
      <c r="A1075" s="3">
        <v>46055</v>
      </c>
      <c r="B1075" s="4" t="str">
        <f>IF(A1075="","","PC-"&amp;TEXT(A1075,"mm/yyyy")&amp;"-"&amp;TEXT(COUNTIFS($A$2:A1075,"&gt;="&amp;EOMONTH(A1075,-1)+1,$A$2:A1075,"&lt;="&amp;EOMONTH(A1075,0)),"000"))</f>
        <v>PC-02/2026-115</v>
      </c>
      <c r="C1075" s="5" t="s">
        <v>475</v>
      </c>
      <c r="D1075" s="5" t="s">
        <v>29</v>
      </c>
      <c r="E1075" s="5" t="s">
        <v>47</v>
      </c>
      <c r="F1075" s="5"/>
      <c r="G1075" s="5" t="s">
        <v>48</v>
      </c>
      <c r="H1075" s="5" t="s">
        <v>23</v>
      </c>
      <c r="I1075" s="6">
        <v>50000</v>
      </c>
      <c r="J1075" s="6">
        <f>IF(D1075="Thu",I1075,0)</f>
        <v>0</v>
      </c>
      <c r="K1075" s="6">
        <f>IF(D1075="Chi",I1075,0)</f>
        <v>50000</v>
      </c>
      <c r="L1075" s="6" t="e">
        <f>L1074+J1075-K1075</f>
        <v>#VALUE!</v>
      </c>
      <c r="M1075" s="6">
        <f ca="1">IFERROR(__xludf.DUMMYFUNCTION("SUM(FILTER(J:J, H:H=""Tiền mặt"")) - SUM(FILTER(K:K, H:H=""Tiền mặt""))
"),959000)</f>
        <v>959000</v>
      </c>
      <c r="N1075" s="6">
        <f ca="1">IFERROR(__xludf.DUMMYFUNCTION("SUM(FILTER(J:J, H:H=""Chuyển khoản"")) - SUM(FILTER(K:K, H:H=""Chuyển khoản""))
"),4468984)</f>
        <v>4468984</v>
      </c>
      <c r="O1075" s="5"/>
      <c r="P1075" s="5"/>
      <c r="Q1075" s="5"/>
      <c r="R1075" s="5"/>
      <c r="S1075" s="5"/>
    </row>
    <row r="1076" spans="1:19" ht="15.75" customHeight="1" x14ac:dyDescent="0.2">
      <c r="A1076" s="3">
        <v>46055</v>
      </c>
      <c r="B1076" s="4" t="str">
        <f>IF(A1076="","","PC-"&amp;TEXT(A1076,"mm/yyyy")&amp;"-"&amp;TEXT(COUNTIFS($A$2:A1076,"&gt;="&amp;EOMONTH(A1076,-1)+1,$A$2:A1076,"&lt;="&amp;EOMONTH(A1076,0)),"000"))</f>
        <v>PC-02/2026-116</v>
      </c>
      <c r="C1076" s="5" t="s">
        <v>476</v>
      </c>
      <c r="D1076" s="5" t="s">
        <v>20</v>
      </c>
      <c r="E1076" s="5" t="s">
        <v>21</v>
      </c>
      <c r="F1076" s="5"/>
      <c r="G1076" s="5" t="s">
        <v>22</v>
      </c>
      <c r="H1076" s="5" t="s">
        <v>23</v>
      </c>
      <c r="I1076" s="6">
        <v>10000000</v>
      </c>
      <c r="J1076" s="6">
        <f>IF(D1076="Thu",I1076,0)</f>
        <v>10000000</v>
      </c>
      <c r="K1076" s="6">
        <f>IF(D1076="Chi",I1076,0)</f>
        <v>0</v>
      </c>
      <c r="L1076" s="6" t="e">
        <f>L1075+J1076-K1076</f>
        <v>#VALUE!</v>
      </c>
      <c r="M1076" s="6">
        <f ca="1">IFERROR(__xludf.DUMMYFUNCTION("SUM(FILTER(J:J, H:H=""Tiền mặt"")) - SUM(FILTER(K:K, H:H=""Tiền mặt""))
"),959000)</f>
        <v>959000</v>
      </c>
      <c r="N1076" s="6">
        <f ca="1">IFERROR(__xludf.DUMMYFUNCTION("SUM(FILTER(J:J, H:H=""Chuyển khoản"")) - SUM(FILTER(K:K, H:H=""Chuyển khoản""))
"),4468984)</f>
        <v>4468984</v>
      </c>
      <c r="O1076" s="5"/>
      <c r="P1076" s="5"/>
      <c r="Q1076" s="5"/>
      <c r="R1076" s="5"/>
      <c r="S1076" s="5"/>
    </row>
    <row r="1077" spans="1:19" ht="15.75" customHeight="1" x14ac:dyDescent="0.2">
      <c r="A1077" s="3">
        <v>46055</v>
      </c>
      <c r="B1077" s="4" t="str">
        <f>IF(A1077="","","PC-"&amp;TEXT(A1077,"mm/yyyy")&amp;"-"&amp;TEXT(COUNTIFS($A$2:A1077,"&gt;="&amp;EOMONTH(A1077,-1)+1,$A$2:A1077,"&lt;="&amp;EOMONTH(A1077,0)),"000"))</f>
        <v>PC-02/2026-117</v>
      </c>
      <c r="C1077" s="5" t="s">
        <v>477</v>
      </c>
      <c r="D1077" s="5" t="s">
        <v>29</v>
      </c>
      <c r="E1077" s="5" t="s">
        <v>51</v>
      </c>
      <c r="F1077" s="5"/>
      <c r="G1077" s="5" t="s">
        <v>52</v>
      </c>
      <c r="H1077" s="5" t="s">
        <v>27</v>
      </c>
      <c r="I1077" s="6">
        <v>60500</v>
      </c>
      <c r="J1077" s="6">
        <f>IF(D1077="Thu",I1077,0)</f>
        <v>0</v>
      </c>
      <c r="K1077" s="6">
        <f>IF(D1077="Chi",I1077,0)</f>
        <v>60500</v>
      </c>
      <c r="L1077" s="6" t="e">
        <f>L1076+J1077-K1077</f>
        <v>#VALUE!</v>
      </c>
      <c r="M1077" s="6">
        <f ca="1">IFERROR(__xludf.DUMMYFUNCTION("SUM(FILTER(J:J, H:H=""Tiền mặt"")) - SUM(FILTER(K:K, H:H=""Tiền mặt""))
"),959000)</f>
        <v>959000</v>
      </c>
      <c r="N1077" s="6">
        <f ca="1">IFERROR(__xludf.DUMMYFUNCTION("SUM(FILTER(J:J, H:H=""Chuyển khoản"")) - SUM(FILTER(K:K, H:H=""Chuyển khoản""))
"),4468984)</f>
        <v>4468984</v>
      </c>
      <c r="O1077" s="5"/>
      <c r="P1077" s="5"/>
      <c r="Q1077" s="5"/>
      <c r="R1077" s="5"/>
      <c r="S1077" s="5"/>
    </row>
    <row r="1078" spans="1:19" ht="15.75" customHeight="1" x14ac:dyDescent="0.2">
      <c r="A1078" s="3">
        <v>46055</v>
      </c>
      <c r="B1078" s="4" t="str">
        <f>IF(A1078="","","PC-"&amp;TEXT(A1078,"mm/yyyy")&amp;"-"&amp;TEXT(COUNTIFS($A$2:A1078,"&gt;="&amp;EOMONTH(A1078,-1)+1,$A$2:A1078,"&lt;="&amp;EOMONTH(A1078,0)),"000"))</f>
        <v>PC-02/2026-118</v>
      </c>
      <c r="C1078" s="5" t="s">
        <v>478</v>
      </c>
      <c r="D1078" s="5" t="s">
        <v>29</v>
      </c>
      <c r="E1078" s="5" t="s">
        <v>51</v>
      </c>
      <c r="F1078" s="5"/>
      <c r="G1078" s="5" t="s">
        <v>52</v>
      </c>
      <c r="H1078" s="5" t="s">
        <v>27</v>
      </c>
      <c r="I1078" s="6">
        <v>60500</v>
      </c>
      <c r="J1078" s="6">
        <f>IF(D1078="Thu",I1078,0)</f>
        <v>0</v>
      </c>
      <c r="K1078" s="6">
        <f>IF(D1078="Chi",I1078,0)</f>
        <v>60500</v>
      </c>
      <c r="L1078" s="6" t="e">
        <f>L1077+J1078-K1078</f>
        <v>#VALUE!</v>
      </c>
      <c r="M1078" s="6">
        <f ca="1">IFERROR(__xludf.DUMMYFUNCTION("SUM(FILTER(J:J, H:H=""Tiền mặt"")) - SUM(FILTER(K:K, H:H=""Tiền mặt""))
"),959000)</f>
        <v>959000</v>
      </c>
      <c r="N1078" s="6">
        <f ca="1">IFERROR(__xludf.DUMMYFUNCTION("SUM(FILTER(J:J, H:H=""Chuyển khoản"")) - SUM(FILTER(K:K, H:H=""Chuyển khoản""))
"),4468984)</f>
        <v>4468984</v>
      </c>
      <c r="O1078" s="5"/>
      <c r="P1078" s="5"/>
      <c r="Q1078" s="5"/>
      <c r="R1078" s="5"/>
      <c r="S1078" s="5"/>
    </row>
    <row r="1079" spans="1:19" ht="15.75" customHeight="1" x14ac:dyDescent="0.2">
      <c r="A1079" s="3">
        <v>46055</v>
      </c>
      <c r="B1079" s="4" t="str">
        <f>IF(A1079="","","PC-"&amp;TEXT(A1079,"mm/yyyy")&amp;"-"&amp;TEXT(COUNTIFS($A$2:A1079,"&gt;="&amp;EOMONTH(A1079,-1)+1,$A$2:A1079,"&lt;="&amp;EOMONTH(A1079,0)),"000"))</f>
        <v>PC-02/2026-119</v>
      </c>
      <c r="C1079" s="5" t="s">
        <v>479</v>
      </c>
      <c r="D1079" s="5" t="s">
        <v>29</v>
      </c>
      <c r="E1079" s="5" t="s">
        <v>41</v>
      </c>
      <c r="F1079" s="5"/>
      <c r="G1079" s="5" t="s">
        <v>192</v>
      </c>
      <c r="H1079" s="5" t="s">
        <v>23</v>
      </c>
      <c r="I1079" s="6">
        <v>100000</v>
      </c>
      <c r="J1079" s="6">
        <f>IF(D1079="Thu",I1079,0)</f>
        <v>0</v>
      </c>
      <c r="K1079" s="6">
        <f>IF(D1079="Chi",I1079,0)</f>
        <v>100000</v>
      </c>
      <c r="L1079" s="6" t="e">
        <f>L1078+J1079-K1079</f>
        <v>#VALUE!</v>
      </c>
      <c r="M1079" s="6">
        <f ca="1">IFERROR(__xludf.DUMMYFUNCTION("SUM(FILTER(J:J, H:H=""Tiền mặt"")) - SUM(FILTER(K:K, H:H=""Tiền mặt""))
"),959000)</f>
        <v>959000</v>
      </c>
      <c r="N1079" s="6">
        <f ca="1">IFERROR(__xludf.DUMMYFUNCTION("SUM(FILTER(J:J, H:H=""Chuyển khoản"")) - SUM(FILTER(K:K, H:H=""Chuyển khoản""))
"),4468984)</f>
        <v>4468984</v>
      </c>
      <c r="O1079" s="5"/>
      <c r="P1079" s="5"/>
      <c r="Q1079" s="5"/>
      <c r="R1079" s="5"/>
      <c r="S1079" s="5"/>
    </row>
    <row r="1080" spans="1:19" ht="15.75" customHeight="1" x14ac:dyDescent="0.2">
      <c r="A1080" s="3">
        <v>46055</v>
      </c>
      <c r="B1080" s="4" t="str">
        <f>IF(A1080="","","PC-"&amp;TEXT(A1080,"mm/yyyy")&amp;"-"&amp;TEXT(COUNTIFS($A$2:A1080,"&gt;="&amp;EOMONTH(A1080,-1)+1,$A$2:A1080,"&lt;="&amp;EOMONTH(A1080,0)),"000"))</f>
        <v>PC-02/2026-120</v>
      </c>
      <c r="C1080" s="5" t="s">
        <v>480</v>
      </c>
      <c r="D1080" s="5" t="s">
        <v>29</v>
      </c>
      <c r="E1080" s="5" t="s">
        <v>41</v>
      </c>
      <c r="F1080" s="5"/>
      <c r="G1080" s="5" t="s">
        <v>82</v>
      </c>
      <c r="H1080" s="5" t="s">
        <v>23</v>
      </c>
      <c r="I1080" s="6">
        <v>100000</v>
      </c>
      <c r="J1080" s="6">
        <f>IF(D1080="Thu",I1080,0)</f>
        <v>0</v>
      </c>
      <c r="K1080" s="6">
        <f>IF(D1080="Chi",I1080,0)</f>
        <v>100000</v>
      </c>
      <c r="L1080" s="6" t="e">
        <f>L1079+J1080-K1080</f>
        <v>#VALUE!</v>
      </c>
      <c r="M1080" s="6">
        <f ca="1">IFERROR(__xludf.DUMMYFUNCTION("SUM(FILTER(J:J, H:H=""Tiền mặt"")) - SUM(FILTER(K:K, H:H=""Tiền mặt""))
"),959000)</f>
        <v>959000</v>
      </c>
      <c r="N1080" s="6">
        <f ca="1">IFERROR(__xludf.DUMMYFUNCTION("SUM(FILTER(J:J, H:H=""Chuyển khoản"")) - SUM(FILTER(K:K, H:H=""Chuyển khoản""))
"),4468984)</f>
        <v>4468984</v>
      </c>
      <c r="O1080" s="5"/>
      <c r="P1080" s="5"/>
      <c r="Q1080" s="5"/>
      <c r="R1080" s="5"/>
      <c r="S1080" s="5"/>
    </row>
    <row r="1081" spans="1:19" ht="15.75" customHeight="1" x14ac:dyDescent="0.2">
      <c r="A1081" s="3">
        <v>46055</v>
      </c>
      <c r="B1081" s="4" t="str">
        <f>IF(A1081="","","PC-"&amp;TEXT(A1081,"mm/yyyy")&amp;"-"&amp;TEXT(COUNTIFS($A$2:A1081,"&gt;="&amp;EOMONTH(A1081,-1)+1,$A$2:A1081,"&lt;="&amp;EOMONTH(A1081,0)),"000"))</f>
        <v>PC-02/2026-121</v>
      </c>
      <c r="C1081" s="5" t="s">
        <v>481</v>
      </c>
      <c r="D1081" s="5" t="s">
        <v>29</v>
      </c>
      <c r="E1081" s="5" t="s">
        <v>88</v>
      </c>
      <c r="F1081" s="5"/>
      <c r="G1081" s="5" t="s">
        <v>482</v>
      </c>
      <c r="H1081" s="5" t="s">
        <v>23</v>
      </c>
      <c r="I1081" s="6">
        <v>300000</v>
      </c>
      <c r="J1081" s="6">
        <f>IF(D1081="Thu",I1081,0)</f>
        <v>0</v>
      </c>
      <c r="K1081" s="6">
        <f>IF(D1081="Chi",I1081,0)</f>
        <v>300000</v>
      </c>
      <c r="L1081" s="6" t="e">
        <f>L1080+J1081-K1081</f>
        <v>#VALUE!</v>
      </c>
      <c r="M1081" s="6">
        <f ca="1">IFERROR(__xludf.DUMMYFUNCTION("SUM(FILTER(J:J, H:H=""Tiền mặt"")) - SUM(FILTER(K:K, H:H=""Tiền mặt""))
"),959000)</f>
        <v>959000</v>
      </c>
      <c r="N1081" s="6">
        <f ca="1">IFERROR(__xludf.DUMMYFUNCTION("SUM(FILTER(J:J, H:H=""Chuyển khoản"")) - SUM(FILTER(K:K, H:H=""Chuyển khoản""))
"),4468984)</f>
        <v>4468984</v>
      </c>
      <c r="O1081" s="5"/>
      <c r="P1081" s="5"/>
      <c r="Q1081" s="5"/>
      <c r="R1081" s="5"/>
      <c r="S1081" s="5"/>
    </row>
    <row r="1082" spans="1:19" ht="15.75" customHeight="1" x14ac:dyDescent="0.2">
      <c r="A1082" s="3">
        <v>46055</v>
      </c>
      <c r="B1082" s="4" t="str">
        <f>IF(A1082="","","PC-"&amp;TEXT(A1082,"mm/yyyy")&amp;"-"&amp;TEXT(COUNTIFS($A$2:A1082,"&gt;="&amp;EOMONTH(A1082,-1)+1,$A$2:A1082,"&lt;="&amp;EOMONTH(A1082,0)),"000"))</f>
        <v>PC-02/2026-122</v>
      </c>
      <c r="C1082" s="5" t="s">
        <v>483</v>
      </c>
      <c r="D1082" s="5" t="s">
        <v>29</v>
      </c>
      <c r="E1082" s="5" t="s">
        <v>71</v>
      </c>
      <c r="F1082" s="5"/>
      <c r="G1082" s="5" t="s">
        <v>484</v>
      </c>
      <c r="H1082" s="5" t="s">
        <v>27</v>
      </c>
      <c r="I1082" s="6">
        <v>50000</v>
      </c>
      <c r="J1082" s="6">
        <f>IF(D1082="Thu",I1082,0)</f>
        <v>0</v>
      </c>
      <c r="K1082" s="6">
        <f>IF(D1082="Chi",I1082,0)</f>
        <v>50000</v>
      </c>
      <c r="L1082" s="6" t="e">
        <f>L1081+J1082-K1082</f>
        <v>#VALUE!</v>
      </c>
      <c r="M1082" s="6">
        <f ca="1">IFERROR(__xludf.DUMMYFUNCTION("SUM(FILTER(J:J, H:H=""Tiền mặt"")) - SUM(FILTER(K:K, H:H=""Tiền mặt""))
"),959000)</f>
        <v>959000</v>
      </c>
      <c r="N1082" s="6">
        <f ca="1">IFERROR(__xludf.DUMMYFUNCTION("SUM(FILTER(J:J, H:H=""Chuyển khoản"")) - SUM(FILTER(K:K, H:H=""Chuyển khoản""))
"),4468984)</f>
        <v>4468984</v>
      </c>
      <c r="O1082" s="5"/>
      <c r="P1082" s="5"/>
      <c r="Q1082" s="5"/>
      <c r="R1082" s="5"/>
      <c r="S1082" s="5"/>
    </row>
    <row r="1083" spans="1:19" ht="15.75" customHeight="1" x14ac:dyDescent="0.2">
      <c r="A1083" s="3">
        <v>46055</v>
      </c>
      <c r="B1083" s="4" t="str">
        <f>IF(A1083="","","PC-"&amp;TEXT(A1083,"mm/yyyy")&amp;"-"&amp;TEXT(COUNTIFS($A$2:A1083,"&gt;="&amp;EOMONTH(A1083,-1)+1,$A$2:A1083,"&lt;="&amp;EOMONTH(A1083,0)),"000"))</f>
        <v>PC-02/2026-123</v>
      </c>
      <c r="C1083" s="5" t="s">
        <v>485</v>
      </c>
      <c r="D1083" s="5" t="s">
        <v>29</v>
      </c>
      <c r="E1083" s="5" t="s">
        <v>33</v>
      </c>
      <c r="F1083" s="5"/>
      <c r="G1083" s="5" t="s">
        <v>486</v>
      </c>
      <c r="H1083" s="5" t="s">
        <v>27</v>
      </c>
      <c r="I1083" s="6">
        <v>1280000</v>
      </c>
      <c r="J1083" s="6">
        <f>IF(D1083="Thu",I1083,0)</f>
        <v>0</v>
      </c>
      <c r="K1083" s="6">
        <f>IF(D1083="Chi",I1083,0)</f>
        <v>1280000</v>
      </c>
      <c r="L1083" s="6" t="e">
        <f>L1082+J1083-K1083</f>
        <v>#VALUE!</v>
      </c>
      <c r="M1083" s="6">
        <f ca="1">IFERROR(__xludf.DUMMYFUNCTION("SUM(FILTER(J:J, H:H=""Tiền mặt"")) - SUM(FILTER(K:K, H:H=""Tiền mặt""))
"),959000)</f>
        <v>959000</v>
      </c>
      <c r="N1083" s="6">
        <f ca="1">IFERROR(__xludf.DUMMYFUNCTION("SUM(FILTER(J:J, H:H=""Chuyển khoản"")) - SUM(FILTER(K:K, H:H=""Chuyển khoản""))
"),4468984)</f>
        <v>4468984</v>
      </c>
      <c r="O1083" s="5"/>
      <c r="P1083" s="5"/>
      <c r="Q1083" s="5"/>
      <c r="R1083" s="5"/>
      <c r="S1083" s="5"/>
    </row>
    <row r="1084" spans="1:19" ht="15.75" customHeight="1" x14ac:dyDescent="0.2">
      <c r="A1084" s="3">
        <v>46053</v>
      </c>
      <c r="B1084" s="4" t="str">
        <f>IF(A1084="","","PC-"&amp;TEXT(A1084,"mm/yyyy")&amp;"-"&amp;TEXT(COUNTIFS($A$2:A1084,"&gt;="&amp;EOMONTH(A1084,-1)+1,$A$2:A1084,"&lt;="&amp;EOMONTH(A1084,0)),"000"))</f>
        <v>PC-01/2026-001</v>
      </c>
      <c r="C1084" s="5" t="s">
        <v>458</v>
      </c>
      <c r="D1084" s="5" t="s">
        <v>29</v>
      </c>
      <c r="E1084" s="5" t="s">
        <v>36</v>
      </c>
      <c r="F1084" s="5"/>
      <c r="G1084" s="5" t="s">
        <v>37</v>
      </c>
      <c r="H1084" s="5" t="s">
        <v>23</v>
      </c>
      <c r="I1084" s="6">
        <v>140000</v>
      </c>
      <c r="J1084" s="6">
        <f>IF(D1084="Thu",I1084,0)</f>
        <v>0</v>
      </c>
      <c r="K1084" s="6">
        <f>IF(D1084="Chi",I1084,0)</f>
        <v>140000</v>
      </c>
      <c r="L1084" s="6" t="e">
        <f>L1083+J1084-K1084</f>
        <v>#VALUE!</v>
      </c>
      <c r="M1084" s="6">
        <f ca="1">IFERROR(__xludf.DUMMYFUNCTION("SUM(FILTER(J:J, H:H=""Tiền mặt"")) - SUM(FILTER(K:K, H:H=""Tiền mặt""))
"),959000)</f>
        <v>959000</v>
      </c>
      <c r="N1084" s="6">
        <f ca="1">IFERROR(__xludf.DUMMYFUNCTION("SUM(FILTER(J:J, H:H=""Chuyển khoản"")) - SUM(FILTER(K:K, H:H=""Chuyển khoản""))
"),4468984)</f>
        <v>4468984</v>
      </c>
      <c r="O1084" s="5"/>
      <c r="P1084" s="5"/>
      <c r="Q1084" s="5"/>
      <c r="R1084" s="5"/>
      <c r="S1084" s="5"/>
    </row>
    <row r="1085" spans="1:19" ht="15.75" customHeight="1" x14ac:dyDescent="0.2">
      <c r="A1085" s="3">
        <v>46053</v>
      </c>
      <c r="B1085" s="4" t="str">
        <f>IF(A1085="","","PC-"&amp;TEXT(A1085,"mm/yyyy")&amp;"-"&amp;TEXT(COUNTIFS($A$2:A1085,"&gt;="&amp;EOMONTH(A1085,-1)+1,$A$2:A1085,"&lt;="&amp;EOMONTH(A1085,0)),"000"))</f>
        <v>PC-01/2026-002</v>
      </c>
      <c r="C1085" s="5" t="s">
        <v>459</v>
      </c>
      <c r="D1085" s="5" t="s">
        <v>29</v>
      </c>
      <c r="E1085" s="5" t="s">
        <v>153</v>
      </c>
      <c r="F1085" s="5"/>
      <c r="G1085" s="5" t="s">
        <v>154</v>
      </c>
      <c r="H1085" s="5" t="s">
        <v>27</v>
      </c>
      <c r="I1085" s="6">
        <v>1265000</v>
      </c>
      <c r="J1085" s="6">
        <f>IF(D1085="Thu",I1085,0)</f>
        <v>0</v>
      </c>
      <c r="K1085" s="6">
        <f>IF(D1085="Chi",I1085,0)</f>
        <v>1265000</v>
      </c>
      <c r="L1085" s="6" t="e">
        <f>L1084+J1085-K1085</f>
        <v>#VALUE!</v>
      </c>
      <c r="M1085" s="6">
        <f ca="1">IFERROR(__xludf.DUMMYFUNCTION("SUM(FILTER(J:J, H:H=""Tiền mặt"")) - SUM(FILTER(K:K, H:H=""Tiền mặt""))
"),959000)</f>
        <v>959000</v>
      </c>
      <c r="N1085" s="6">
        <f ca="1">IFERROR(__xludf.DUMMYFUNCTION("SUM(FILTER(J:J, H:H=""Chuyển khoản"")) - SUM(FILTER(K:K, H:H=""Chuyển khoản""))
"),4468984)</f>
        <v>4468984</v>
      </c>
      <c r="O1085" s="5"/>
      <c r="P1085" s="5"/>
      <c r="Q1085" s="5"/>
      <c r="R1085" s="5"/>
      <c r="S1085" s="5"/>
    </row>
    <row r="1086" spans="1:19" ht="15.75" customHeight="1" x14ac:dyDescent="0.2">
      <c r="A1086" s="3">
        <v>46053</v>
      </c>
      <c r="B1086" s="4" t="str">
        <f>IF(A1086="","","PC-"&amp;TEXT(A1086,"mm/yyyy")&amp;"-"&amp;TEXT(COUNTIFS($A$2:A1086,"&gt;="&amp;EOMONTH(A1086,-1)+1,$A$2:A1086,"&lt;="&amp;EOMONTH(A1086,0)),"000"))</f>
        <v>PC-01/2026-003</v>
      </c>
      <c r="C1086" s="5" t="s">
        <v>460</v>
      </c>
      <c r="D1086" s="5" t="s">
        <v>29</v>
      </c>
      <c r="E1086" s="5" t="s">
        <v>41</v>
      </c>
      <c r="F1086" s="5"/>
      <c r="G1086" s="5" t="s">
        <v>42</v>
      </c>
      <c r="H1086" s="5" t="s">
        <v>23</v>
      </c>
      <c r="I1086" s="6">
        <v>200000</v>
      </c>
      <c r="J1086" s="6">
        <f>IF(D1086="Thu",I1086,0)</f>
        <v>0</v>
      </c>
      <c r="K1086" s="6">
        <f>IF(D1086="Chi",I1086,0)</f>
        <v>200000</v>
      </c>
      <c r="L1086" s="6" t="e">
        <f>L1085+J1086-K1086</f>
        <v>#VALUE!</v>
      </c>
      <c r="M1086" s="6">
        <f ca="1">IFERROR(__xludf.DUMMYFUNCTION("SUM(FILTER(J:J, H:H=""Tiền mặt"")) - SUM(FILTER(K:K, H:H=""Tiền mặt""))
"),959000)</f>
        <v>959000</v>
      </c>
      <c r="N1086" s="6">
        <f ca="1">IFERROR(__xludf.DUMMYFUNCTION("SUM(FILTER(J:J, H:H=""Chuyển khoản"")) - SUM(FILTER(K:K, H:H=""Chuyển khoản""))
"),4468984)</f>
        <v>4468984</v>
      </c>
      <c r="O1086" s="5"/>
      <c r="P1086" s="5"/>
      <c r="Q1086" s="5"/>
      <c r="R1086" s="5"/>
      <c r="S1086" s="5"/>
    </row>
    <row r="1087" spans="1:19" ht="15.75" customHeight="1" x14ac:dyDescent="0.2">
      <c r="A1087" s="3">
        <v>46053</v>
      </c>
      <c r="B1087" s="4" t="str">
        <f>IF(A1087="","","PC-"&amp;TEXT(A1087,"mm/yyyy")&amp;"-"&amp;TEXT(COUNTIFS($A$2:A1087,"&gt;="&amp;EOMONTH(A1087,-1)+1,$A$2:A1087,"&lt;="&amp;EOMONTH(A1087,0)),"000"))</f>
        <v>PC-01/2026-004</v>
      </c>
      <c r="C1087" s="5" t="s">
        <v>461</v>
      </c>
      <c r="D1087" s="5" t="s">
        <v>29</v>
      </c>
      <c r="E1087" s="5" t="s">
        <v>41</v>
      </c>
      <c r="F1087" s="5"/>
      <c r="G1087" s="5" t="s">
        <v>82</v>
      </c>
      <c r="H1087" s="5" t="s">
        <v>23</v>
      </c>
      <c r="I1087" s="6">
        <v>100000</v>
      </c>
      <c r="J1087" s="6">
        <f>IF(D1087="Thu",I1087,0)</f>
        <v>0</v>
      </c>
      <c r="K1087" s="6">
        <f>IF(D1087="Chi",I1087,0)</f>
        <v>100000</v>
      </c>
      <c r="L1087" s="6" t="e">
        <f>L1086+J1087-K1087</f>
        <v>#VALUE!</v>
      </c>
      <c r="M1087" s="6">
        <f ca="1">IFERROR(__xludf.DUMMYFUNCTION("SUM(FILTER(J:J, H:H=""Tiền mặt"")) - SUM(FILTER(K:K, H:H=""Tiền mặt""))
"),959000)</f>
        <v>959000</v>
      </c>
      <c r="N1087" s="6">
        <f ca="1">IFERROR(__xludf.DUMMYFUNCTION("SUM(FILTER(J:J, H:H=""Chuyển khoản"")) - SUM(FILTER(K:K, H:H=""Chuyển khoản""))
"),4468984)</f>
        <v>4468984</v>
      </c>
      <c r="O1087" s="5"/>
      <c r="P1087" s="5"/>
      <c r="Q1087" s="5"/>
      <c r="R1087" s="5"/>
      <c r="S1087" s="5"/>
    </row>
    <row r="1088" spans="1:19" ht="15.75" customHeight="1" x14ac:dyDescent="0.2">
      <c r="A1088" s="3">
        <v>46053</v>
      </c>
      <c r="B1088" s="4" t="str">
        <f>IF(A1088="","","PC-"&amp;TEXT(A1088,"mm/yyyy")&amp;"-"&amp;TEXT(COUNTIFS($A$2:A1088,"&gt;="&amp;EOMONTH(A1088,-1)+1,$A$2:A1088,"&lt;="&amp;EOMONTH(A1088,0)),"000"))</f>
        <v>PC-01/2026-005</v>
      </c>
      <c r="C1088" s="5" t="s">
        <v>68</v>
      </c>
      <c r="D1088" s="5" t="s">
        <v>20</v>
      </c>
      <c r="E1088" s="5" t="s">
        <v>21</v>
      </c>
      <c r="F1088" s="5"/>
      <c r="G1088" s="5" t="s">
        <v>462</v>
      </c>
      <c r="H1088" s="5" t="s">
        <v>23</v>
      </c>
      <c r="I1088" s="6">
        <v>200000</v>
      </c>
      <c r="J1088" s="6">
        <f>IF(D1088="Thu",I1088,0)</f>
        <v>200000</v>
      </c>
      <c r="K1088" s="6">
        <f>IF(D1088="Chi",I1088,0)</f>
        <v>0</v>
      </c>
      <c r="L1088" s="6" t="e">
        <f>L1087+J1088-K1088</f>
        <v>#VALUE!</v>
      </c>
      <c r="M1088" s="6">
        <f ca="1">IFERROR(__xludf.DUMMYFUNCTION("SUM(FILTER(J:J, H:H=""Tiền mặt"")) - SUM(FILTER(K:K, H:H=""Tiền mặt""))
"),959000)</f>
        <v>959000</v>
      </c>
      <c r="N1088" s="6">
        <f ca="1">IFERROR(__xludf.DUMMYFUNCTION("SUM(FILTER(J:J, H:H=""Chuyển khoản"")) - SUM(FILTER(K:K, H:H=""Chuyển khoản""))
"),4468984)</f>
        <v>4468984</v>
      </c>
      <c r="O1088" s="5"/>
      <c r="P1088" s="5"/>
      <c r="Q1088" s="5"/>
      <c r="R1088" s="5"/>
      <c r="S1088" s="5"/>
    </row>
    <row r="1089" spans="1:19" ht="15.75" customHeight="1" x14ac:dyDescent="0.2">
      <c r="A1089" s="3">
        <v>46053</v>
      </c>
      <c r="B1089" s="4" t="str">
        <f>IF(A1089="","","PC-"&amp;TEXT(A1089,"mm/yyyy")&amp;"-"&amp;TEXT(COUNTIFS($A$2:A1089,"&gt;="&amp;EOMONTH(A1089,-1)+1,$A$2:A1089,"&lt;="&amp;EOMONTH(A1089,0)),"000"))</f>
        <v>PC-01/2026-006</v>
      </c>
      <c r="C1089" s="5" t="s">
        <v>463</v>
      </c>
      <c r="D1089" s="5" t="s">
        <v>29</v>
      </c>
      <c r="E1089" s="5" t="s">
        <v>71</v>
      </c>
      <c r="F1089" s="5"/>
      <c r="G1089" s="5" t="s">
        <v>464</v>
      </c>
      <c r="H1089" s="5" t="s">
        <v>27</v>
      </c>
      <c r="I1089" s="6">
        <v>85000</v>
      </c>
      <c r="J1089" s="6">
        <f>IF(D1089="Thu",I1089,0)</f>
        <v>0</v>
      </c>
      <c r="K1089" s="6">
        <f>IF(D1089="Chi",I1089,0)</f>
        <v>85000</v>
      </c>
      <c r="L1089" s="6" t="e">
        <f>L1088+J1089-K1089</f>
        <v>#VALUE!</v>
      </c>
      <c r="M1089" s="6">
        <f ca="1">IFERROR(__xludf.DUMMYFUNCTION("SUM(FILTER(J:J, H:H=""Tiền mặt"")) - SUM(FILTER(K:K, H:H=""Tiền mặt""))
"),959000)</f>
        <v>959000</v>
      </c>
      <c r="N1089" s="6">
        <f ca="1">IFERROR(__xludf.DUMMYFUNCTION("SUM(FILTER(J:J, H:H=""Chuyển khoản"")) - SUM(FILTER(K:K, H:H=""Chuyển khoản""))
"),4468984)</f>
        <v>4468984</v>
      </c>
      <c r="O1089" s="5"/>
      <c r="P1089" s="5"/>
      <c r="Q1089" s="5"/>
      <c r="R1089" s="5"/>
      <c r="S1089" s="5"/>
    </row>
    <row r="1090" spans="1:19" ht="15.75" customHeight="1" x14ac:dyDescent="0.2">
      <c r="A1090" s="3">
        <v>46053</v>
      </c>
      <c r="B1090" s="4" t="str">
        <f>IF(A1090="","","PC-"&amp;TEXT(A1090,"mm/yyyy")&amp;"-"&amp;TEXT(COUNTIFS($A$2:A1090,"&gt;="&amp;EOMONTH(A1090,-1)+1,$A$2:A1090,"&lt;="&amp;EOMONTH(A1090,0)),"000"))</f>
        <v>PC-01/2026-007</v>
      </c>
      <c r="C1090" s="5" t="s">
        <v>465</v>
      </c>
      <c r="D1090" s="5" t="s">
        <v>29</v>
      </c>
      <c r="E1090" s="5" t="s">
        <v>51</v>
      </c>
      <c r="F1090" s="5"/>
      <c r="G1090" s="5" t="s">
        <v>52</v>
      </c>
      <c r="H1090" s="5" t="s">
        <v>27</v>
      </c>
      <c r="I1090" s="6">
        <v>133858</v>
      </c>
      <c r="J1090" s="6">
        <f>IF(D1090="Thu",I1090,0)</f>
        <v>0</v>
      </c>
      <c r="K1090" s="6">
        <f>IF(D1090="Chi",I1090,0)</f>
        <v>133858</v>
      </c>
      <c r="L1090" s="6" t="e">
        <f>L1089+J1090-K1090</f>
        <v>#VALUE!</v>
      </c>
      <c r="M1090" s="6">
        <f ca="1">IFERROR(__xludf.DUMMYFUNCTION("SUM(FILTER(J:J, H:H=""Tiền mặt"")) - SUM(FILTER(K:K, H:H=""Tiền mặt""))
"),959000)</f>
        <v>959000</v>
      </c>
      <c r="N1090" s="6">
        <f ca="1">IFERROR(__xludf.DUMMYFUNCTION("SUM(FILTER(J:J, H:H=""Chuyển khoản"")) - SUM(FILTER(K:K, H:H=""Chuyển khoản""))
"),4468984)</f>
        <v>4468984</v>
      </c>
      <c r="O1090" s="5"/>
      <c r="P1090" s="5"/>
      <c r="Q1090" s="5"/>
      <c r="R1090" s="5"/>
      <c r="S1090" s="5"/>
    </row>
    <row r="1091" spans="1:19" ht="15.75" customHeight="1" x14ac:dyDescent="0.2">
      <c r="A1091" s="3">
        <v>46053</v>
      </c>
      <c r="B1091" s="4" t="str">
        <f>IF(A1091="","","PC-"&amp;TEXT(A1091,"mm/yyyy")&amp;"-"&amp;TEXT(COUNTIFS($A$2:A1091,"&gt;="&amp;EOMONTH(A1091,-1)+1,$A$2:A1091,"&lt;="&amp;EOMONTH(A1091,0)),"000"))</f>
        <v>PC-01/2026-008</v>
      </c>
      <c r="C1091" s="5" t="s">
        <v>466</v>
      </c>
      <c r="D1091" s="5" t="s">
        <v>29</v>
      </c>
      <c r="E1091" s="5" t="s">
        <v>51</v>
      </c>
      <c r="F1091" s="5"/>
      <c r="G1091" s="5" t="s">
        <v>52</v>
      </c>
      <c r="H1091" s="5" t="s">
        <v>27</v>
      </c>
      <c r="I1091" s="6">
        <v>97240</v>
      </c>
      <c r="J1091" s="6">
        <f>IF(D1091="Thu",I1091,0)</f>
        <v>0</v>
      </c>
      <c r="K1091" s="6">
        <f>IF(D1091="Chi",I1091,0)</f>
        <v>97240</v>
      </c>
      <c r="L1091" s="6" t="e">
        <f>L1090+J1091-K1091</f>
        <v>#VALUE!</v>
      </c>
      <c r="M1091" s="6">
        <f ca="1">IFERROR(__xludf.DUMMYFUNCTION("SUM(FILTER(J:J, H:H=""Tiền mặt"")) - SUM(FILTER(K:K, H:H=""Tiền mặt""))
"),959000)</f>
        <v>959000</v>
      </c>
      <c r="N1091" s="6">
        <f ca="1">IFERROR(__xludf.DUMMYFUNCTION("SUM(FILTER(J:J, H:H=""Chuyển khoản"")) - SUM(FILTER(K:K, H:H=""Chuyển khoản""))
"),4468984)</f>
        <v>4468984</v>
      </c>
      <c r="O1091" s="5"/>
      <c r="P1091" s="5"/>
      <c r="Q1091" s="5"/>
      <c r="R1091" s="5"/>
      <c r="S1091" s="5"/>
    </row>
    <row r="1092" spans="1:19" ht="15.75" customHeight="1" x14ac:dyDescent="0.2">
      <c r="A1092" s="3">
        <v>46053</v>
      </c>
      <c r="B1092" s="4" t="str">
        <f>IF(A1092="","","PC-"&amp;TEXT(A1092,"mm/yyyy")&amp;"-"&amp;TEXT(COUNTIFS($A$2:A1092,"&gt;="&amp;EOMONTH(A1092,-1)+1,$A$2:A1092,"&lt;="&amp;EOMONTH(A1092,0)),"000"))</f>
        <v>PC-01/2026-009</v>
      </c>
      <c r="C1092" s="5" t="s">
        <v>467</v>
      </c>
      <c r="D1092" s="5" t="s">
        <v>29</v>
      </c>
      <c r="E1092" s="5" t="s">
        <v>153</v>
      </c>
      <c r="F1092" s="5"/>
      <c r="G1092" s="5" t="s">
        <v>72</v>
      </c>
      <c r="H1092" s="5" t="s">
        <v>27</v>
      </c>
      <c r="I1092" s="6">
        <v>260000</v>
      </c>
      <c r="J1092" s="6">
        <f>IF(D1092="Thu",I1092,0)</f>
        <v>0</v>
      </c>
      <c r="K1092" s="6">
        <f>IF(D1092="Chi",I1092,0)</f>
        <v>260000</v>
      </c>
      <c r="L1092" s="6" t="e">
        <f>L1091+J1092-K1092</f>
        <v>#VALUE!</v>
      </c>
      <c r="M1092" s="6">
        <f ca="1">IFERROR(__xludf.DUMMYFUNCTION("SUM(FILTER(J:J, H:H=""Tiền mặt"")) - SUM(FILTER(K:K, H:H=""Tiền mặt""))
"),959000)</f>
        <v>959000</v>
      </c>
      <c r="N1092" s="6">
        <f ca="1">IFERROR(__xludf.DUMMYFUNCTION("SUM(FILTER(J:J, H:H=""Chuyển khoản"")) - SUM(FILTER(K:K, H:H=""Chuyển khoản""))
"),4468984)</f>
        <v>4468984</v>
      </c>
      <c r="O1092" s="5"/>
      <c r="P1092" s="5"/>
      <c r="Q1092" s="5"/>
      <c r="R1092" s="5"/>
      <c r="S1092" s="5"/>
    </row>
    <row r="1093" spans="1:19" ht="15.75" customHeight="1" x14ac:dyDescent="0.2">
      <c r="A1093" s="3">
        <v>46053</v>
      </c>
      <c r="B1093" s="4" t="str">
        <f>IF(A1093="","","PC-"&amp;TEXT(A1093,"mm/yyyy")&amp;"-"&amp;TEXT(COUNTIFS($A$2:A1093,"&gt;="&amp;EOMONTH(A1093,-1)+1,$A$2:A1093,"&lt;="&amp;EOMONTH(A1093,0)),"000"))</f>
        <v>PC-01/2026-010</v>
      </c>
      <c r="C1093" s="5" t="s">
        <v>468</v>
      </c>
      <c r="D1093" s="5" t="s">
        <v>29</v>
      </c>
      <c r="E1093" s="5" t="s">
        <v>30</v>
      </c>
      <c r="F1093" s="5"/>
      <c r="G1093" s="5" t="s">
        <v>31</v>
      </c>
      <c r="H1093" s="5" t="s">
        <v>27</v>
      </c>
      <c r="I1093" s="6">
        <v>400000</v>
      </c>
      <c r="J1093" s="6">
        <f>IF(D1093="Thu",I1093,0)</f>
        <v>0</v>
      </c>
      <c r="K1093" s="6">
        <f>IF(D1093="Chi",I1093,0)</f>
        <v>400000</v>
      </c>
      <c r="L1093" s="6" t="e">
        <f>L1092+J1093-K1093</f>
        <v>#VALUE!</v>
      </c>
      <c r="M1093" s="6">
        <f ca="1">IFERROR(__xludf.DUMMYFUNCTION("SUM(FILTER(J:J, H:H=""Tiền mặt"")) - SUM(FILTER(K:K, H:H=""Tiền mặt""))
"),959000)</f>
        <v>959000</v>
      </c>
      <c r="N1093" s="6">
        <f ca="1">IFERROR(__xludf.DUMMYFUNCTION("SUM(FILTER(J:J, H:H=""Chuyển khoản"")) - SUM(FILTER(K:K, H:H=""Chuyển khoản""))
"),4468984)</f>
        <v>4468984</v>
      </c>
      <c r="O1093" s="5"/>
      <c r="P1093" s="5"/>
      <c r="Q1093" s="5"/>
      <c r="R1093" s="5"/>
      <c r="S1093" s="5"/>
    </row>
    <row r="1094" spans="1:19" ht="15.75" customHeight="1" x14ac:dyDescent="0.2">
      <c r="A1094" s="3">
        <v>46052</v>
      </c>
      <c r="B1094" s="4" t="str">
        <f>IF(A1094="","","PC-"&amp;TEXT(A1094,"mm/yyyy")&amp;"-"&amp;TEXT(COUNTIFS($A$2:A1094,"&gt;="&amp;EOMONTH(A1094,-1)+1,$A$2:A1094,"&lt;="&amp;EOMONTH(A1094,0)),"000"))</f>
        <v>PC-01/2026-011</v>
      </c>
      <c r="C1094" s="5" t="s">
        <v>443</v>
      </c>
      <c r="D1094" s="5" t="s">
        <v>29</v>
      </c>
      <c r="E1094" s="5" t="s">
        <v>41</v>
      </c>
      <c r="F1094" s="5"/>
      <c r="G1094" s="5" t="s">
        <v>82</v>
      </c>
      <c r="H1094" s="5" t="s">
        <v>23</v>
      </c>
      <c r="I1094" s="6">
        <v>200000</v>
      </c>
      <c r="J1094" s="6">
        <f>IF(D1094="Thu",I1094,0)</f>
        <v>0</v>
      </c>
      <c r="K1094" s="6">
        <f>IF(D1094="Chi",I1094,0)</f>
        <v>200000</v>
      </c>
      <c r="L1094" s="6" t="e">
        <f>L1093+J1094-K1094</f>
        <v>#VALUE!</v>
      </c>
      <c r="M1094" s="6">
        <f ca="1">IFERROR(__xludf.DUMMYFUNCTION("SUM(FILTER(J:J, H:H=""Tiền mặt"")) - SUM(FILTER(K:K, H:H=""Tiền mặt""))
"),959000)</f>
        <v>959000</v>
      </c>
      <c r="N1094" s="6">
        <f ca="1">IFERROR(__xludf.DUMMYFUNCTION("SUM(FILTER(J:J, H:H=""Chuyển khoản"")) - SUM(FILTER(K:K, H:H=""Chuyển khoản""))
"),4468984)</f>
        <v>4468984</v>
      </c>
      <c r="O1094" s="5"/>
      <c r="P1094" s="5"/>
      <c r="Q1094" s="5"/>
      <c r="R1094" s="5"/>
      <c r="S1094" s="5"/>
    </row>
    <row r="1095" spans="1:19" ht="15.75" customHeight="1" x14ac:dyDescent="0.2">
      <c r="A1095" s="3">
        <v>46052</v>
      </c>
      <c r="B1095" s="4" t="str">
        <f>IF(A1095="","","PC-"&amp;TEXT(A1095,"mm/yyyy")&amp;"-"&amp;TEXT(COUNTIFS($A$2:A1095,"&gt;="&amp;EOMONTH(A1095,-1)+1,$A$2:A1095,"&lt;="&amp;EOMONTH(A1095,0)),"000"))</f>
        <v>PC-01/2026-012</v>
      </c>
      <c r="C1095" s="5" t="s">
        <v>444</v>
      </c>
      <c r="D1095" s="5" t="s">
        <v>29</v>
      </c>
      <c r="E1095" s="5" t="s">
        <v>41</v>
      </c>
      <c r="F1095" s="5"/>
      <c r="G1095" s="5" t="s">
        <v>82</v>
      </c>
      <c r="H1095" s="5" t="s">
        <v>23</v>
      </c>
      <c r="I1095" s="6">
        <v>100000</v>
      </c>
      <c r="J1095" s="6">
        <f>IF(D1095="Thu",I1095,0)</f>
        <v>0</v>
      </c>
      <c r="K1095" s="6">
        <f>IF(D1095="Chi",I1095,0)</f>
        <v>100000</v>
      </c>
      <c r="L1095" s="6" t="e">
        <f>L1094+J1095-K1095</f>
        <v>#VALUE!</v>
      </c>
      <c r="M1095" s="6">
        <f ca="1">IFERROR(__xludf.DUMMYFUNCTION("SUM(FILTER(J:J, H:H=""Tiền mặt"")) - SUM(FILTER(K:K, H:H=""Tiền mặt""))
"),959000)</f>
        <v>959000</v>
      </c>
      <c r="N1095" s="6">
        <f ca="1">IFERROR(__xludf.DUMMYFUNCTION("SUM(FILTER(J:J, H:H=""Chuyển khoản"")) - SUM(FILTER(K:K, H:H=""Chuyển khoản""))
"),4468984)</f>
        <v>4468984</v>
      </c>
      <c r="O1095" s="5"/>
      <c r="P1095" s="5"/>
      <c r="Q1095" s="5"/>
      <c r="R1095" s="5"/>
      <c r="S1095" s="5"/>
    </row>
    <row r="1096" spans="1:19" ht="15.75" customHeight="1" x14ac:dyDescent="0.2">
      <c r="A1096" s="3">
        <v>46052</v>
      </c>
      <c r="B1096" s="4" t="str">
        <f>IF(A1096="","","PC-"&amp;TEXT(A1096,"mm/yyyy")&amp;"-"&amp;TEXT(COUNTIFS($A$2:A1096,"&gt;="&amp;EOMONTH(A1096,-1)+1,$A$2:A1096,"&lt;="&amp;EOMONTH(A1096,0)),"000"))</f>
        <v>PC-01/2026-013</v>
      </c>
      <c r="C1096" s="5" t="s">
        <v>445</v>
      </c>
      <c r="D1096" s="5" t="s">
        <v>29</v>
      </c>
      <c r="E1096" s="5" t="s">
        <v>141</v>
      </c>
      <c r="F1096" s="5"/>
      <c r="G1096" s="5" t="s">
        <v>52</v>
      </c>
      <c r="H1096" s="5" t="s">
        <v>27</v>
      </c>
      <c r="I1096" s="6">
        <v>1216000</v>
      </c>
      <c r="J1096" s="6">
        <f>IF(D1096="Thu",I1096,0)</f>
        <v>0</v>
      </c>
      <c r="K1096" s="6">
        <f>IF(D1096="Chi",I1096,0)</f>
        <v>1216000</v>
      </c>
      <c r="L1096" s="6" t="e">
        <f>L1095+J1096-K1096</f>
        <v>#VALUE!</v>
      </c>
      <c r="M1096" s="6">
        <f ca="1">IFERROR(__xludf.DUMMYFUNCTION("SUM(FILTER(J:J, H:H=""Tiền mặt"")) - SUM(FILTER(K:K, H:H=""Tiền mặt""))
"),959000)</f>
        <v>959000</v>
      </c>
      <c r="N1096" s="6">
        <f ca="1">IFERROR(__xludf.DUMMYFUNCTION("SUM(FILTER(J:J, H:H=""Chuyển khoản"")) - SUM(FILTER(K:K, H:H=""Chuyển khoản""))
"),4468984)</f>
        <v>4468984</v>
      </c>
      <c r="O1096" s="5"/>
      <c r="P1096" s="5"/>
      <c r="Q1096" s="5"/>
      <c r="R1096" s="5"/>
      <c r="S1096" s="5"/>
    </row>
    <row r="1097" spans="1:19" ht="15.75" customHeight="1" x14ac:dyDescent="0.2">
      <c r="A1097" s="3">
        <v>46052</v>
      </c>
      <c r="B1097" s="4" t="str">
        <f>IF(A1097="","","PC-"&amp;TEXT(A1097,"mm/yyyy")&amp;"-"&amp;TEXT(COUNTIFS($A$2:A1097,"&gt;="&amp;EOMONTH(A1097,-1)+1,$A$2:A1097,"&lt;="&amp;EOMONTH(A1097,0)),"000"))</f>
        <v>PC-01/2026-014</v>
      </c>
      <c r="C1097" s="5" t="s">
        <v>446</v>
      </c>
      <c r="D1097" s="5" t="s">
        <v>20</v>
      </c>
      <c r="E1097" s="5" t="s">
        <v>21</v>
      </c>
      <c r="F1097" s="5"/>
      <c r="G1097" s="5" t="s">
        <v>22</v>
      </c>
      <c r="H1097" s="5" t="s">
        <v>27</v>
      </c>
      <c r="I1097" s="6">
        <v>5000000</v>
      </c>
      <c r="J1097" s="6">
        <f>IF(D1097="Thu",I1097,0)</f>
        <v>5000000</v>
      </c>
      <c r="K1097" s="6">
        <f>IF(D1097="Chi",I1097,0)</f>
        <v>0</v>
      </c>
      <c r="L1097" s="6" t="e">
        <f>L1096+J1097-K1097</f>
        <v>#VALUE!</v>
      </c>
      <c r="M1097" s="6">
        <f ca="1">IFERROR(__xludf.DUMMYFUNCTION("SUM(FILTER(J:J, H:H=""Tiền mặt"")) - SUM(FILTER(K:K, H:H=""Tiền mặt""))
"),959000)</f>
        <v>959000</v>
      </c>
      <c r="N1097" s="6">
        <f ca="1">IFERROR(__xludf.DUMMYFUNCTION("SUM(FILTER(J:J, H:H=""Chuyển khoản"")) - SUM(FILTER(K:K, H:H=""Chuyển khoản""))
"),4468984)</f>
        <v>4468984</v>
      </c>
      <c r="O1097" s="5"/>
      <c r="P1097" s="5"/>
      <c r="Q1097" s="5"/>
      <c r="R1097" s="5"/>
      <c r="S1097" s="5"/>
    </row>
    <row r="1098" spans="1:19" ht="15.75" customHeight="1" x14ac:dyDescent="0.2">
      <c r="A1098" s="3">
        <v>46052</v>
      </c>
      <c r="B1098" s="4" t="str">
        <f>IF(A1098="","","PC-"&amp;TEXT(A1098,"mm/yyyy")&amp;"-"&amp;TEXT(COUNTIFS($A$2:A1098,"&gt;="&amp;EOMONTH(A1098,-1)+1,$A$2:A1098,"&lt;="&amp;EOMONTH(A1098,0)),"000"))</f>
        <v>PC-01/2026-015</v>
      </c>
      <c r="C1098" s="5" t="s">
        <v>447</v>
      </c>
      <c r="D1098" s="5" t="s">
        <v>29</v>
      </c>
      <c r="E1098" s="5" t="s">
        <v>41</v>
      </c>
      <c r="F1098" s="5"/>
      <c r="G1098" s="5" t="s">
        <v>42</v>
      </c>
      <c r="H1098" s="5" t="s">
        <v>23</v>
      </c>
      <c r="I1098" s="6">
        <v>100000</v>
      </c>
      <c r="J1098" s="6">
        <f>IF(D1098="Thu",I1098,0)</f>
        <v>0</v>
      </c>
      <c r="K1098" s="6">
        <f>IF(D1098="Chi",I1098,0)</f>
        <v>100000</v>
      </c>
      <c r="L1098" s="6" t="e">
        <f>L1097+J1098-K1098</f>
        <v>#VALUE!</v>
      </c>
      <c r="M1098" s="6">
        <f ca="1">IFERROR(__xludf.DUMMYFUNCTION("SUM(FILTER(J:J, H:H=""Tiền mặt"")) - SUM(FILTER(K:K, H:H=""Tiền mặt""))
"),959000)</f>
        <v>959000</v>
      </c>
      <c r="N1098" s="6">
        <f ca="1">IFERROR(__xludf.DUMMYFUNCTION("SUM(FILTER(J:J, H:H=""Chuyển khoản"")) - SUM(FILTER(K:K, H:H=""Chuyển khoản""))
"),4468984)</f>
        <v>4468984</v>
      </c>
      <c r="O1098" s="5"/>
      <c r="P1098" s="5"/>
      <c r="Q1098" s="5"/>
      <c r="R1098" s="5"/>
      <c r="S1098" s="5"/>
    </row>
    <row r="1099" spans="1:19" ht="15.75" customHeight="1" x14ac:dyDescent="0.2">
      <c r="A1099" s="3">
        <v>46052</v>
      </c>
      <c r="B1099" s="4" t="str">
        <f>IF(A1099="","","PC-"&amp;TEXT(A1099,"mm/yyyy")&amp;"-"&amp;TEXT(COUNTIFS($A$2:A1099,"&gt;="&amp;EOMONTH(A1099,-1)+1,$A$2:A1099,"&lt;="&amp;EOMONTH(A1099,0)),"000"))</f>
        <v>PC-01/2026-016</v>
      </c>
      <c r="C1099" s="5" t="s">
        <v>448</v>
      </c>
      <c r="D1099" s="5" t="s">
        <v>29</v>
      </c>
      <c r="E1099" s="5" t="s">
        <v>41</v>
      </c>
      <c r="F1099" s="5"/>
      <c r="G1099" s="5" t="s">
        <v>82</v>
      </c>
      <c r="H1099" s="5" t="s">
        <v>23</v>
      </c>
      <c r="I1099" s="6">
        <v>100000</v>
      </c>
      <c r="J1099" s="6">
        <f>IF(D1099="Thu",I1099,0)</f>
        <v>0</v>
      </c>
      <c r="K1099" s="6">
        <f>IF(D1099="Chi",I1099,0)</f>
        <v>100000</v>
      </c>
      <c r="L1099" s="6" t="e">
        <f>L1098+J1099-K1099</f>
        <v>#VALUE!</v>
      </c>
      <c r="M1099" s="6">
        <f ca="1">IFERROR(__xludf.DUMMYFUNCTION("SUM(FILTER(J:J, H:H=""Tiền mặt"")) - SUM(FILTER(K:K, H:H=""Tiền mặt""))
"),959000)</f>
        <v>959000</v>
      </c>
      <c r="N1099" s="6">
        <f ca="1">IFERROR(__xludf.DUMMYFUNCTION("SUM(FILTER(J:J, H:H=""Chuyển khoản"")) - SUM(FILTER(K:K, H:H=""Chuyển khoản""))
"),4468984)</f>
        <v>4468984</v>
      </c>
      <c r="O1099" s="5"/>
      <c r="P1099" s="5"/>
      <c r="Q1099" s="5"/>
      <c r="R1099" s="5"/>
      <c r="S1099" s="5"/>
    </row>
    <row r="1100" spans="1:19" ht="15.75" customHeight="1" x14ac:dyDescent="0.2">
      <c r="A1100" s="3">
        <v>46052</v>
      </c>
      <c r="B1100" s="4" t="str">
        <f>IF(A1100="","","PC-"&amp;TEXT(A1100,"mm/yyyy")&amp;"-"&amp;TEXT(COUNTIFS($A$2:A1100,"&gt;="&amp;EOMONTH(A1100,-1)+1,$A$2:A1100,"&lt;="&amp;EOMONTH(A1100,0)),"000"))</f>
        <v>PC-01/2026-017</v>
      </c>
      <c r="C1100" s="5" t="s">
        <v>449</v>
      </c>
      <c r="D1100" s="5" t="s">
        <v>29</v>
      </c>
      <c r="E1100" s="5" t="s">
        <v>141</v>
      </c>
      <c r="F1100" s="5"/>
      <c r="G1100" s="5" t="s">
        <v>52</v>
      </c>
      <c r="H1100" s="5" t="s">
        <v>27</v>
      </c>
      <c r="I1100" s="6">
        <v>1681000</v>
      </c>
      <c r="J1100" s="6">
        <f>IF(D1100="Thu",I1100,0)</f>
        <v>0</v>
      </c>
      <c r="K1100" s="6">
        <f>IF(D1100="Chi",I1100,0)</f>
        <v>1681000</v>
      </c>
      <c r="L1100" s="6" t="e">
        <f>L1099+J1100-K1100</f>
        <v>#VALUE!</v>
      </c>
      <c r="M1100" s="6">
        <f ca="1">IFERROR(__xludf.DUMMYFUNCTION("SUM(FILTER(J:J, H:H=""Tiền mặt"")) - SUM(FILTER(K:K, H:H=""Tiền mặt""))
"),959000)</f>
        <v>959000</v>
      </c>
      <c r="N1100" s="6">
        <f ca="1">IFERROR(__xludf.DUMMYFUNCTION("SUM(FILTER(J:J, H:H=""Chuyển khoản"")) - SUM(FILTER(K:K, H:H=""Chuyển khoản""))
"),4468984)</f>
        <v>4468984</v>
      </c>
      <c r="O1100" s="5"/>
      <c r="P1100" s="5"/>
      <c r="Q1100" s="5"/>
      <c r="R1100" s="5"/>
      <c r="S1100" s="5"/>
    </row>
    <row r="1101" spans="1:19" ht="15.75" customHeight="1" x14ac:dyDescent="0.2">
      <c r="A1101" s="3">
        <v>46052</v>
      </c>
      <c r="B1101" s="4" t="str">
        <f>IF(A1101="","","PC-"&amp;TEXT(A1101,"mm/yyyy")&amp;"-"&amp;TEXT(COUNTIFS($A$2:A1101,"&gt;="&amp;EOMONTH(A1101,-1)+1,$A$2:A1101,"&lt;="&amp;EOMONTH(A1101,0)),"000"))</f>
        <v>PC-01/2026-018</v>
      </c>
      <c r="C1101" s="5" t="s">
        <v>450</v>
      </c>
      <c r="D1101" s="5" t="s">
        <v>29</v>
      </c>
      <c r="E1101" s="5" t="s">
        <v>41</v>
      </c>
      <c r="F1101" s="5"/>
      <c r="G1101" s="5" t="s">
        <v>42</v>
      </c>
      <c r="H1101" s="5" t="s">
        <v>23</v>
      </c>
      <c r="I1101" s="6">
        <v>100000</v>
      </c>
      <c r="J1101" s="6">
        <f>IF(D1101="Thu",I1101,0)</f>
        <v>0</v>
      </c>
      <c r="K1101" s="6">
        <f>IF(D1101="Chi",I1101,0)</f>
        <v>100000</v>
      </c>
      <c r="L1101" s="6" t="e">
        <f>L1100+J1101-K1101</f>
        <v>#VALUE!</v>
      </c>
      <c r="M1101" s="6">
        <f ca="1">IFERROR(__xludf.DUMMYFUNCTION("SUM(FILTER(J:J, H:H=""Tiền mặt"")) - SUM(FILTER(K:K, H:H=""Tiền mặt""))
"),959000)</f>
        <v>959000</v>
      </c>
      <c r="N1101" s="6">
        <f ca="1">IFERROR(__xludf.DUMMYFUNCTION("SUM(FILTER(J:J, H:H=""Chuyển khoản"")) - SUM(FILTER(K:K, H:H=""Chuyển khoản""))
"),4468984)</f>
        <v>4468984</v>
      </c>
      <c r="O1101" s="5"/>
      <c r="P1101" s="5"/>
      <c r="Q1101" s="5"/>
      <c r="R1101" s="5"/>
      <c r="S1101" s="5"/>
    </row>
    <row r="1102" spans="1:19" ht="15.75" customHeight="1" x14ac:dyDescent="0.2">
      <c r="A1102" s="3">
        <v>46052</v>
      </c>
      <c r="B1102" s="4" t="str">
        <f>IF(A1102="","","PC-"&amp;TEXT(A1102,"mm/yyyy")&amp;"-"&amp;TEXT(COUNTIFS($A$2:A1102,"&gt;="&amp;EOMONTH(A1102,-1)+1,$A$2:A1102,"&lt;="&amp;EOMONTH(A1102,0)),"000"))</f>
        <v>PC-01/2026-019</v>
      </c>
      <c r="C1102" s="5" t="s">
        <v>451</v>
      </c>
      <c r="D1102" s="5" t="s">
        <v>29</v>
      </c>
      <c r="E1102" s="5" t="s">
        <v>71</v>
      </c>
      <c r="F1102" s="5"/>
      <c r="G1102" s="5" t="s">
        <v>219</v>
      </c>
      <c r="H1102" s="5" t="s">
        <v>27</v>
      </c>
      <c r="I1102" s="6">
        <v>73000</v>
      </c>
      <c r="J1102" s="6">
        <f>IF(D1102="Thu",I1102,0)</f>
        <v>0</v>
      </c>
      <c r="K1102" s="6">
        <f>IF(D1102="Chi",I1102,0)</f>
        <v>73000</v>
      </c>
      <c r="L1102" s="6" t="e">
        <f>L1101+J1102-K1102</f>
        <v>#VALUE!</v>
      </c>
      <c r="M1102" s="6">
        <f ca="1">IFERROR(__xludf.DUMMYFUNCTION("SUM(FILTER(J:J, H:H=""Tiền mặt"")) - SUM(FILTER(K:K, H:H=""Tiền mặt""))
"),959000)</f>
        <v>959000</v>
      </c>
      <c r="N1102" s="6">
        <f ca="1">IFERROR(__xludf.DUMMYFUNCTION("SUM(FILTER(J:J, H:H=""Chuyển khoản"")) - SUM(FILTER(K:K, H:H=""Chuyển khoản""))
"),4468984)</f>
        <v>4468984</v>
      </c>
      <c r="O1102" s="5"/>
      <c r="P1102" s="5"/>
      <c r="Q1102" s="5"/>
      <c r="R1102" s="5"/>
      <c r="S1102" s="5"/>
    </row>
    <row r="1103" spans="1:19" ht="15.75" customHeight="1" x14ac:dyDescent="0.2">
      <c r="A1103" s="3">
        <v>46052</v>
      </c>
      <c r="B1103" s="4" t="str">
        <f>IF(A1103="","","PC-"&amp;TEXT(A1103,"mm/yyyy")&amp;"-"&amp;TEXT(COUNTIFS($A$2:A1103,"&gt;="&amp;EOMONTH(A1103,-1)+1,$A$2:A1103,"&lt;="&amp;EOMONTH(A1103,0)),"000"))</f>
        <v>PC-01/2026-020</v>
      </c>
      <c r="C1103" s="5" t="s">
        <v>452</v>
      </c>
      <c r="D1103" s="5" t="s">
        <v>29</v>
      </c>
      <c r="E1103" s="5" t="s">
        <v>44</v>
      </c>
      <c r="F1103" s="5"/>
      <c r="G1103" s="5" t="s">
        <v>103</v>
      </c>
      <c r="H1103" s="5" t="s">
        <v>23</v>
      </c>
      <c r="I1103" s="6">
        <v>1500000</v>
      </c>
      <c r="J1103" s="6">
        <f>IF(D1103="Thu",I1103,0)</f>
        <v>0</v>
      </c>
      <c r="K1103" s="6">
        <f>IF(D1103="Chi",I1103,0)</f>
        <v>1500000</v>
      </c>
      <c r="L1103" s="6" t="e">
        <f>L1102+J1103-K1103</f>
        <v>#VALUE!</v>
      </c>
      <c r="M1103" s="6">
        <f ca="1">IFERROR(__xludf.DUMMYFUNCTION("SUM(FILTER(J:J, H:H=""Tiền mặt"")) - SUM(FILTER(K:K, H:H=""Tiền mặt""))
"),959000)</f>
        <v>959000</v>
      </c>
      <c r="N1103" s="6">
        <f ca="1">IFERROR(__xludf.DUMMYFUNCTION("SUM(FILTER(J:J, H:H=""Chuyển khoản"")) - SUM(FILTER(K:K, H:H=""Chuyển khoản""))
"),4468984)</f>
        <v>4468984</v>
      </c>
      <c r="O1103" s="5"/>
      <c r="P1103" s="5"/>
      <c r="Q1103" s="5"/>
      <c r="R1103" s="5"/>
      <c r="S1103" s="5"/>
    </row>
    <row r="1104" spans="1:19" ht="15.75" customHeight="1" x14ac:dyDescent="0.2">
      <c r="A1104" s="3">
        <v>46052</v>
      </c>
      <c r="B1104" s="4" t="str">
        <f>IF(A1104="","","PC-"&amp;TEXT(A1104,"mm/yyyy")&amp;"-"&amp;TEXT(COUNTIFS($A$2:A1104,"&gt;="&amp;EOMONTH(A1104,-1)+1,$A$2:A1104,"&lt;="&amp;EOMONTH(A1104,0)),"000"))</f>
        <v>PC-01/2026-021</v>
      </c>
      <c r="C1104" s="5" t="s">
        <v>453</v>
      </c>
      <c r="D1104" s="5" t="s">
        <v>29</v>
      </c>
      <c r="E1104" s="5" t="s">
        <v>47</v>
      </c>
      <c r="F1104" s="5"/>
      <c r="G1104" s="5" t="s">
        <v>48</v>
      </c>
      <c r="H1104" s="5" t="s">
        <v>23</v>
      </c>
      <c r="I1104" s="6">
        <v>50000</v>
      </c>
      <c r="J1104" s="6">
        <f>IF(D1104="Thu",I1104,0)</f>
        <v>0</v>
      </c>
      <c r="K1104" s="6">
        <f>IF(D1104="Chi",I1104,0)</f>
        <v>50000</v>
      </c>
      <c r="L1104" s="6" t="e">
        <f>L1103+J1104-K1104</f>
        <v>#VALUE!</v>
      </c>
      <c r="M1104" s="6">
        <f ca="1">IFERROR(__xludf.DUMMYFUNCTION("SUM(FILTER(J:J, H:H=""Tiền mặt"")) - SUM(FILTER(K:K, H:H=""Tiền mặt""))
"),959000)</f>
        <v>959000</v>
      </c>
      <c r="N1104" s="6">
        <f ca="1">IFERROR(__xludf.DUMMYFUNCTION("SUM(FILTER(J:J, H:H=""Chuyển khoản"")) - SUM(FILTER(K:K, H:H=""Chuyển khoản""))
"),4468984)</f>
        <v>4468984</v>
      </c>
      <c r="O1104" s="5"/>
      <c r="P1104" s="5"/>
      <c r="Q1104" s="5"/>
      <c r="R1104" s="5"/>
      <c r="S1104" s="5"/>
    </row>
    <row r="1105" spans="1:19" ht="15.75" customHeight="1" x14ac:dyDescent="0.2">
      <c r="A1105" s="3">
        <v>46052</v>
      </c>
      <c r="B1105" s="4" t="str">
        <f>IF(A1105="","","PC-"&amp;TEXT(A1105,"mm/yyyy")&amp;"-"&amp;TEXT(COUNTIFS($A$2:A1105,"&gt;="&amp;EOMONTH(A1105,-1)+1,$A$2:A1105,"&lt;="&amp;EOMONTH(A1105,0)),"000"))</f>
        <v>PC-01/2026-022</v>
      </c>
      <c r="C1105" s="5" t="s">
        <v>454</v>
      </c>
      <c r="D1105" s="5" t="s">
        <v>29</v>
      </c>
      <c r="E1105" s="5" t="s">
        <v>71</v>
      </c>
      <c r="F1105" s="5"/>
      <c r="G1105" s="5" t="s">
        <v>455</v>
      </c>
      <c r="H1105" s="5" t="s">
        <v>27</v>
      </c>
      <c r="I1105" s="6">
        <v>72000</v>
      </c>
      <c r="J1105" s="6">
        <f>IF(D1105="Thu",I1105,0)</f>
        <v>0</v>
      </c>
      <c r="K1105" s="6">
        <f>IF(D1105="Chi",I1105,0)</f>
        <v>72000</v>
      </c>
      <c r="L1105" s="6" t="e">
        <f>L1104+J1105-K1105</f>
        <v>#VALUE!</v>
      </c>
      <c r="M1105" s="6">
        <f ca="1">IFERROR(__xludf.DUMMYFUNCTION("SUM(FILTER(J:J, H:H=""Tiền mặt"")) - SUM(FILTER(K:K, H:H=""Tiền mặt""))
"),959000)</f>
        <v>959000</v>
      </c>
      <c r="N1105" s="6">
        <f ca="1">IFERROR(__xludf.DUMMYFUNCTION("SUM(FILTER(J:J, H:H=""Chuyển khoản"")) - SUM(FILTER(K:K, H:H=""Chuyển khoản""))
"),4468984)</f>
        <v>4468984</v>
      </c>
      <c r="O1105" s="5"/>
      <c r="P1105" s="5"/>
      <c r="Q1105" s="5"/>
      <c r="R1105" s="5"/>
      <c r="S1105" s="5"/>
    </row>
    <row r="1106" spans="1:19" ht="15.75" customHeight="1" x14ac:dyDescent="0.2">
      <c r="A1106" s="3">
        <v>46052</v>
      </c>
      <c r="B1106" s="4" t="str">
        <f>IF(A1106="","","PC-"&amp;TEXT(A1106,"mm/yyyy")&amp;"-"&amp;TEXT(COUNTIFS($A$2:A1106,"&gt;="&amp;EOMONTH(A1106,-1)+1,$A$2:A1106,"&lt;="&amp;EOMONTH(A1106,0)),"000"))</f>
        <v>PC-01/2026-023</v>
      </c>
      <c r="C1106" s="5" t="s">
        <v>456</v>
      </c>
      <c r="D1106" s="5" t="s">
        <v>29</v>
      </c>
      <c r="E1106" s="5" t="s">
        <v>47</v>
      </c>
      <c r="F1106" s="5"/>
      <c r="G1106" s="5" t="s">
        <v>48</v>
      </c>
      <c r="H1106" s="5" t="s">
        <v>23</v>
      </c>
      <c r="I1106" s="6">
        <v>50000</v>
      </c>
      <c r="J1106" s="6">
        <f>IF(D1106="Thu",I1106,0)</f>
        <v>0</v>
      </c>
      <c r="K1106" s="6">
        <f>IF(D1106="Chi",I1106,0)</f>
        <v>50000</v>
      </c>
      <c r="L1106" s="6" t="e">
        <f>L1105+J1106-K1106</f>
        <v>#VALUE!</v>
      </c>
      <c r="M1106" s="6">
        <f ca="1">IFERROR(__xludf.DUMMYFUNCTION("SUM(FILTER(J:J, H:H=""Tiền mặt"")) - SUM(FILTER(K:K, H:H=""Tiền mặt""))
"),959000)</f>
        <v>959000</v>
      </c>
      <c r="N1106" s="6">
        <f ca="1">IFERROR(__xludf.DUMMYFUNCTION("SUM(FILTER(J:J, H:H=""Chuyển khoản"")) - SUM(FILTER(K:K, H:H=""Chuyển khoản""))
"),4468984)</f>
        <v>4468984</v>
      </c>
      <c r="O1106" s="5"/>
      <c r="P1106" s="5"/>
      <c r="Q1106" s="5"/>
      <c r="R1106" s="5"/>
      <c r="S1106" s="5"/>
    </row>
    <row r="1107" spans="1:19" ht="15.75" customHeight="1" x14ac:dyDescent="0.2">
      <c r="A1107" s="3">
        <v>46052</v>
      </c>
      <c r="B1107" s="4" t="str">
        <f>IF(A1107="","","PC-"&amp;TEXT(A1107,"mm/yyyy")&amp;"-"&amp;TEXT(COUNTIFS($A$2:A1107,"&gt;="&amp;EOMONTH(A1107,-1)+1,$A$2:A1107,"&lt;="&amp;EOMONTH(A1107,0)),"000"))</f>
        <v>PC-01/2026-024</v>
      </c>
      <c r="C1107" s="5" t="s">
        <v>457</v>
      </c>
      <c r="D1107" s="5" t="s">
        <v>29</v>
      </c>
      <c r="E1107" s="5" t="s">
        <v>64</v>
      </c>
      <c r="F1107" s="5"/>
      <c r="G1107" s="5" t="s">
        <v>217</v>
      </c>
      <c r="H1107" s="5" t="s">
        <v>27</v>
      </c>
      <c r="I1107" s="6">
        <v>50000</v>
      </c>
      <c r="J1107" s="6">
        <f>IF(D1107="Thu",I1107,0)</f>
        <v>0</v>
      </c>
      <c r="K1107" s="6">
        <f>IF(D1107="Chi",I1107,0)</f>
        <v>50000</v>
      </c>
      <c r="L1107" s="6" t="e">
        <f>L1106+J1107-K1107</f>
        <v>#VALUE!</v>
      </c>
      <c r="M1107" s="6">
        <f ca="1">IFERROR(__xludf.DUMMYFUNCTION("SUM(FILTER(J:J, H:H=""Tiền mặt"")) - SUM(FILTER(K:K, H:H=""Tiền mặt""))
"),959000)</f>
        <v>959000</v>
      </c>
      <c r="N1107" s="6">
        <f ca="1">IFERROR(__xludf.DUMMYFUNCTION("SUM(FILTER(J:J, H:H=""Chuyển khoản"")) - SUM(FILTER(K:K, H:H=""Chuyển khoản""))
"),4468984)</f>
        <v>4468984</v>
      </c>
      <c r="O1107" s="5"/>
      <c r="P1107" s="5"/>
      <c r="Q1107" s="5"/>
      <c r="R1107" s="5"/>
      <c r="S1107" s="5"/>
    </row>
    <row r="1108" spans="1:19" ht="15.75" customHeight="1" x14ac:dyDescent="0.2">
      <c r="A1108" s="3">
        <v>46051</v>
      </c>
      <c r="B1108" s="4" t="str">
        <f>IF(A1108="","","PC-"&amp;TEXT(A1108,"mm/yyyy")&amp;"-"&amp;TEXT(COUNTIFS($A$2:A1108,"&gt;="&amp;EOMONTH(A1108,-1)+1,$A$2:A1108,"&lt;="&amp;EOMONTH(A1108,0)),"000"))</f>
        <v>PC-01/2026-025</v>
      </c>
      <c r="C1108" s="5" t="s">
        <v>431</v>
      </c>
      <c r="D1108" s="5" t="s">
        <v>29</v>
      </c>
      <c r="E1108" s="5" t="s">
        <v>44</v>
      </c>
      <c r="F1108" s="5"/>
      <c r="G1108" s="5" t="s">
        <v>432</v>
      </c>
      <c r="H1108" s="5" t="s">
        <v>23</v>
      </c>
      <c r="I1108" s="6">
        <v>1500000</v>
      </c>
      <c r="J1108" s="6">
        <f>IF(D1108="Thu",I1108,0)</f>
        <v>0</v>
      </c>
      <c r="K1108" s="6">
        <f>IF(D1108="Chi",I1108,0)</f>
        <v>1500000</v>
      </c>
      <c r="L1108" s="6" t="e">
        <f>L1107+J1108-K1108</f>
        <v>#VALUE!</v>
      </c>
      <c r="M1108" s="6">
        <f ca="1">IFERROR(__xludf.DUMMYFUNCTION("SUM(FILTER(J:J, H:H=""Tiền mặt"")) - SUM(FILTER(K:K, H:H=""Tiền mặt""))
"),959000)</f>
        <v>959000</v>
      </c>
      <c r="N1108" s="6">
        <f ca="1">IFERROR(__xludf.DUMMYFUNCTION("SUM(FILTER(J:J, H:H=""Chuyển khoản"")) - SUM(FILTER(K:K, H:H=""Chuyển khoản""))
"),4468984)</f>
        <v>4468984</v>
      </c>
      <c r="O1108" s="5"/>
      <c r="P1108" s="5"/>
      <c r="Q1108" s="5"/>
      <c r="R1108" s="5"/>
      <c r="S1108" s="5"/>
    </row>
    <row r="1109" spans="1:19" ht="15.75" customHeight="1" x14ac:dyDescent="0.2">
      <c r="A1109" s="3">
        <v>46051</v>
      </c>
      <c r="B1109" s="4" t="str">
        <f>IF(A1109="","","PC-"&amp;TEXT(A1109,"mm/yyyy")&amp;"-"&amp;TEXT(COUNTIFS($A$2:A1109,"&gt;="&amp;EOMONTH(A1109,-1)+1,$A$2:A1109,"&lt;="&amp;EOMONTH(A1109,0)),"000"))</f>
        <v>PC-01/2026-026</v>
      </c>
      <c r="C1109" s="5" t="s">
        <v>433</v>
      </c>
      <c r="D1109" s="5" t="s">
        <v>29</v>
      </c>
      <c r="E1109" s="5" t="s">
        <v>47</v>
      </c>
      <c r="F1109" s="5"/>
      <c r="G1109" s="5" t="s">
        <v>48</v>
      </c>
      <c r="H1109" s="5" t="s">
        <v>23</v>
      </c>
      <c r="I1109" s="6">
        <v>50000</v>
      </c>
      <c r="J1109" s="6">
        <f>IF(D1109="Thu",I1109,0)</f>
        <v>0</v>
      </c>
      <c r="K1109" s="6">
        <f>IF(D1109="Chi",I1109,0)</f>
        <v>50000</v>
      </c>
      <c r="L1109" s="6" t="e">
        <f>L1108+J1109-K1109</f>
        <v>#VALUE!</v>
      </c>
      <c r="M1109" s="6">
        <f ca="1">IFERROR(__xludf.DUMMYFUNCTION("SUM(FILTER(J:J, H:H=""Tiền mặt"")) - SUM(FILTER(K:K, H:H=""Tiền mặt""))
"),959000)</f>
        <v>959000</v>
      </c>
      <c r="N1109" s="6">
        <f ca="1">IFERROR(__xludf.DUMMYFUNCTION("SUM(FILTER(J:J, H:H=""Chuyển khoản"")) - SUM(FILTER(K:K, H:H=""Chuyển khoản""))
"),4468984)</f>
        <v>4468984</v>
      </c>
      <c r="O1109" s="5"/>
      <c r="P1109" s="5"/>
      <c r="Q1109" s="5"/>
      <c r="R1109" s="5"/>
      <c r="S1109" s="5"/>
    </row>
    <row r="1110" spans="1:19" ht="15.75" customHeight="1" x14ac:dyDescent="0.2">
      <c r="A1110" s="3">
        <v>46051</v>
      </c>
      <c r="B1110" s="4" t="str">
        <f>IF(A1110="","","PC-"&amp;TEXT(A1110,"mm/yyyy")&amp;"-"&amp;TEXT(COUNTIFS($A$2:A1110,"&gt;="&amp;EOMONTH(A1110,-1)+1,$A$2:A1110,"&lt;="&amp;EOMONTH(A1110,0)),"000"))</f>
        <v>PC-01/2026-027</v>
      </c>
      <c r="C1110" s="5" t="s">
        <v>434</v>
      </c>
      <c r="D1110" s="5" t="s">
        <v>29</v>
      </c>
      <c r="E1110" s="5" t="s">
        <v>51</v>
      </c>
      <c r="F1110" s="5"/>
      <c r="G1110" s="5" t="s">
        <v>52</v>
      </c>
      <c r="H1110" s="5" t="s">
        <v>27</v>
      </c>
      <c r="I1110" s="6">
        <v>97240</v>
      </c>
      <c r="J1110" s="6">
        <f>IF(D1110="Thu",I1110,0)</f>
        <v>0</v>
      </c>
      <c r="K1110" s="6">
        <f>IF(D1110="Chi",I1110,0)</f>
        <v>97240</v>
      </c>
      <c r="L1110" s="6" t="e">
        <f>L1109+J1110-K1110</f>
        <v>#VALUE!</v>
      </c>
      <c r="M1110" s="6">
        <f ca="1">IFERROR(__xludf.DUMMYFUNCTION("SUM(FILTER(J:J, H:H=""Tiền mặt"")) - SUM(FILTER(K:K, H:H=""Tiền mặt""))
"),959000)</f>
        <v>959000</v>
      </c>
      <c r="N1110" s="6">
        <f ca="1">IFERROR(__xludf.DUMMYFUNCTION("SUM(FILTER(J:J, H:H=""Chuyển khoản"")) - SUM(FILTER(K:K, H:H=""Chuyển khoản""))
"),4468984)</f>
        <v>4468984</v>
      </c>
      <c r="O1110" s="5"/>
      <c r="P1110" s="5"/>
      <c r="Q1110" s="5"/>
      <c r="R1110" s="5"/>
      <c r="S1110" s="5"/>
    </row>
    <row r="1111" spans="1:19" ht="15.75" customHeight="1" x14ac:dyDescent="0.2">
      <c r="A1111" s="3">
        <v>46051</v>
      </c>
      <c r="B1111" s="4" t="str">
        <f>IF(A1111="","","PC-"&amp;TEXT(A1111,"mm/yyyy")&amp;"-"&amp;TEXT(COUNTIFS($A$2:A1111,"&gt;="&amp;EOMONTH(A1111,-1)+1,$A$2:A1111,"&lt;="&amp;EOMONTH(A1111,0)),"000"))</f>
        <v>PC-01/2026-028</v>
      </c>
      <c r="C1111" s="7" t="s">
        <v>435</v>
      </c>
      <c r="D1111" s="5" t="s">
        <v>29</v>
      </c>
      <c r="E1111" s="5" t="s">
        <v>88</v>
      </c>
      <c r="F1111" s="5"/>
      <c r="G1111" s="5" t="s">
        <v>89</v>
      </c>
      <c r="H1111" s="5" t="s">
        <v>23</v>
      </c>
      <c r="I1111" s="6">
        <v>239000</v>
      </c>
      <c r="J1111" s="6">
        <f>IF(D1111="Thu",I1111,0)</f>
        <v>0</v>
      </c>
      <c r="K1111" s="6">
        <f>IF(D1111="Chi",I1111,0)</f>
        <v>239000</v>
      </c>
      <c r="L1111" s="6" t="e">
        <f>L1110+J1111-K1111</f>
        <v>#VALUE!</v>
      </c>
      <c r="M1111" s="6">
        <f ca="1">IFERROR(__xludf.DUMMYFUNCTION("SUM(FILTER(J:J, H:H=""Tiền mặt"")) - SUM(FILTER(K:K, H:H=""Tiền mặt""))
"),959000)</f>
        <v>959000</v>
      </c>
      <c r="N1111" s="6">
        <f ca="1">IFERROR(__xludf.DUMMYFUNCTION("SUM(FILTER(J:J, H:H=""Chuyển khoản"")) - SUM(FILTER(K:K, H:H=""Chuyển khoản""))
"),4468984)</f>
        <v>4468984</v>
      </c>
      <c r="O1111" s="5"/>
      <c r="P1111" s="5"/>
      <c r="Q1111" s="5"/>
      <c r="R1111" s="5"/>
      <c r="S1111" s="5"/>
    </row>
    <row r="1112" spans="1:19" ht="15.75" customHeight="1" x14ac:dyDescent="0.2">
      <c r="A1112" s="3">
        <v>46051</v>
      </c>
      <c r="B1112" s="4" t="str">
        <f>IF(A1112="","","PC-"&amp;TEXT(A1112,"mm/yyyy")&amp;"-"&amp;TEXT(COUNTIFS($A$2:A1112,"&gt;="&amp;EOMONTH(A1112,-1)+1,$A$2:A1112,"&lt;="&amp;EOMONTH(A1112,0)),"000"))</f>
        <v>PC-01/2026-029</v>
      </c>
      <c r="C1112" s="5" t="s">
        <v>436</v>
      </c>
      <c r="D1112" s="5" t="s">
        <v>29</v>
      </c>
      <c r="E1112" s="5" t="s">
        <v>41</v>
      </c>
      <c r="F1112" s="5"/>
      <c r="G1112" s="5" t="s">
        <v>42</v>
      </c>
      <c r="H1112" s="5" t="s">
        <v>23</v>
      </c>
      <c r="I1112" s="6">
        <v>100000</v>
      </c>
      <c r="J1112" s="6">
        <f>IF(D1112="Thu",I1112,0)</f>
        <v>0</v>
      </c>
      <c r="K1112" s="6">
        <f>IF(D1112="Chi",I1112,0)</f>
        <v>100000</v>
      </c>
      <c r="L1112" s="6" t="e">
        <f>L1111+J1112-K1112</f>
        <v>#VALUE!</v>
      </c>
      <c r="M1112" s="6">
        <f ca="1">IFERROR(__xludf.DUMMYFUNCTION("SUM(FILTER(J:J, H:H=""Tiền mặt"")) - SUM(FILTER(K:K, H:H=""Tiền mặt""))
"),959000)</f>
        <v>959000</v>
      </c>
      <c r="N1112" s="6">
        <f ca="1">IFERROR(__xludf.DUMMYFUNCTION("SUM(FILTER(J:J, H:H=""Chuyển khoản"")) - SUM(FILTER(K:K, H:H=""Chuyển khoản""))
"),4468984)</f>
        <v>4468984</v>
      </c>
      <c r="O1112" s="5"/>
      <c r="P1112" s="5"/>
      <c r="Q1112" s="5"/>
      <c r="R1112" s="5"/>
      <c r="S1112" s="5"/>
    </row>
    <row r="1113" spans="1:19" ht="15.75" customHeight="1" x14ac:dyDescent="0.2">
      <c r="A1113" s="3">
        <v>46051</v>
      </c>
      <c r="B1113" s="4" t="str">
        <f>IF(A1113="","","PC-"&amp;TEXT(A1113,"mm/yyyy")&amp;"-"&amp;TEXT(COUNTIFS($A$2:A1113,"&gt;="&amp;EOMONTH(A1113,-1)+1,$A$2:A1113,"&lt;="&amp;EOMONTH(A1113,0)),"000"))</f>
        <v>PC-01/2026-030</v>
      </c>
      <c r="C1113" s="5" t="s">
        <v>437</v>
      </c>
      <c r="D1113" s="5" t="s">
        <v>29</v>
      </c>
      <c r="E1113" s="5" t="s">
        <v>41</v>
      </c>
      <c r="F1113" s="5"/>
      <c r="G1113" s="5" t="s">
        <v>82</v>
      </c>
      <c r="H1113" s="5" t="s">
        <v>23</v>
      </c>
      <c r="I1113" s="6">
        <v>100000</v>
      </c>
      <c r="J1113" s="6">
        <f>IF(D1113="Thu",I1113,0)</f>
        <v>0</v>
      </c>
      <c r="K1113" s="6">
        <f>IF(D1113="Chi",I1113,0)</f>
        <v>100000</v>
      </c>
      <c r="L1113" s="6" t="e">
        <f>L1112+J1113-K1113</f>
        <v>#VALUE!</v>
      </c>
      <c r="M1113" s="6">
        <f ca="1">IFERROR(__xludf.DUMMYFUNCTION("SUM(FILTER(J:J, H:H=""Tiền mặt"")) - SUM(FILTER(K:K, H:H=""Tiền mặt""))
"),959000)</f>
        <v>959000</v>
      </c>
      <c r="N1113" s="6">
        <f ca="1">IFERROR(__xludf.DUMMYFUNCTION("SUM(FILTER(J:J, H:H=""Chuyển khoản"")) - SUM(FILTER(K:K, H:H=""Chuyển khoản""))
"),4468984)</f>
        <v>4468984</v>
      </c>
      <c r="O1113" s="5"/>
      <c r="P1113" s="5"/>
      <c r="Q1113" s="5"/>
      <c r="R1113" s="5"/>
      <c r="S1113" s="5"/>
    </row>
    <row r="1114" spans="1:19" ht="15.75" customHeight="1" x14ac:dyDescent="0.2">
      <c r="A1114" s="3">
        <v>46051</v>
      </c>
      <c r="B1114" s="4" t="str">
        <f>IF(A1114="","","PC-"&amp;TEXT(A1114,"mm/yyyy")&amp;"-"&amp;TEXT(COUNTIFS($A$2:A1114,"&gt;="&amp;EOMONTH(A1114,-1)+1,$A$2:A1114,"&lt;="&amp;EOMONTH(A1114,0)),"000"))</f>
        <v>PC-01/2026-031</v>
      </c>
      <c r="C1114" s="5" t="s">
        <v>438</v>
      </c>
      <c r="D1114" s="5" t="s">
        <v>29</v>
      </c>
      <c r="E1114" s="5" t="s">
        <v>71</v>
      </c>
      <c r="F1114" s="5"/>
      <c r="G1114" s="5" t="s">
        <v>122</v>
      </c>
      <c r="H1114" s="5" t="s">
        <v>27</v>
      </c>
      <c r="I1114" s="6">
        <v>81000</v>
      </c>
      <c r="J1114" s="6">
        <f>IF(D1114="Thu",I1114,0)</f>
        <v>0</v>
      </c>
      <c r="K1114" s="6">
        <f>IF(D1114="Chi",I1114,0)</f>
        <v>81000</v>
      </c>
      <c r="L1114" s="6" t="e">
        <f>L1113+J1114-K1114</f>
        <v>#VALUE!</v>
      </c>
      <c r="M1114" s="6">
        <f ca="1">IFERROR(__xludf.DUMMYFUNCTION("SUM(FILTER(J:J, H:H=""Tiền mặt"")) - SUM(FILTER(K:K, H:H=""Tiền mặt""))
"),959000)</f>
        <v>959000</v>
      </c>
      <c r="N1114" s="6">
        <f ca="1">IFERROR(__xludf.DUMMYFUNCTION("SUM(FILTER(J:J, H:H=""Chuyển khoản"")) - SUM(FILTER(K:K, H:H=""Chuyển khoản""))
"),4468984)</f>
        <v>4468984</v>
      </c>
      <c r="O1114" s="5"/>
      <c r="P1114" s="5"/>
      <c r="Q1114" s="5"/>
      <c r="R1114" s="5"/>
      <c r="S1114" s="5"/>
    </row>
    <row r="1115" spans="1:19" ht="15.75" customHeight="1" x14ac:dyDescent="0.2">
      <c r="A1115" s="3">
        <v>46051</v>
      </c>
      <c r="B1115" s="4" t="str">
        <f>IF(A1115="","","PC-"&amp;TEXT(A1115,"mm/yyyy")&amp;"-"&amp;TEXT(COUNTIFS($A$2:A1115,"&gt;="&amp;EOMONTH(A1115,-1)+1,$A$2:A1115,"&lt;="&amp;EOMONTH(A1115,0)),"000"))</f>
        <v>PC-01/2026-032</v>
      </c>
      <c r="C1115" s="5" t="s">
        <v>439</v>
      </c>
      <c r="D1115" s="5" t="s">
        <v>29</v>
      </c>
      <c r="E1115" s="5" t="s">
        <v>71</v>
      </c>
      <c r="F1115" s="5"/>
      <c r="G1115" s="5" t="s">
        <v>440</v>
      </c>
      <c r="H1115" s="5" t="s">
        <v>27</v>
      </c>
      <c r="I1115" s="6">
        <v>89000</v>
      </c>
      <c r="J1115" s="6">
        <f>IF(D1115="Thu",I1115,0)</f>
        <v>0</v>
      </c>
      <c r="K1115" s="6">
        <f>IF(D1115="Chi",I1115,0)</f>
        <v>89000</v>
      </c>
      <c r="L1115" s="6" t="e">
        <f>L1114+J1115-K1115</f>
        <v>#VALUE!</v>
      </c>
      <c r="M1115" s="6">
        <f ca="1">IFERROR(__xludf.DUMMYFUNCTION("SUM(FILTER(J:J, H:H=""Tiền mặt"")) - SUM(FILTER(K:K, H:H=""Tiền mặt""))
"),959000)</f>
        <v>959000</v>
      </c>
      <c r="N1115" s="6">
        <f ca="1">IFERROR(__xludf.DUMMYFUNCTION("SUM(FILTER(J:J, H:H=""Chuyển khoản"")) - SUM(FILTER(K:K, H:H=""Chuyển khoản""))
"),4468984)</f>
        <v>4468984</v>
      </c>
      <c r="O1115" s="5"/>
      <c r="P1115" s="5"/>
      <c r="Q1115" s="5"/>
      <c r="R1115" s="5"/>
      <c r="S1115" s="5"/>
    </row>
    <row r="1116" spans="1:19" ht="15.75" customHeight="1" x14ac:dyDescent="0.2">
      <c r="A1116" s="3">
        <v>46051</v>
      </c>
      <c r="B1116" s="4" t="str">
        <f>IF(A1116="","","PC-"&amp;TEXT(A1116,"mm/yyyy")&amp;"-"&amp;TEXT(COUNTIFS($A$2:A1116,"&gt;="&amp;EOMONTH(A1116,-1)+1,$A$2:A1116,"&lt;="&amp;EOMONTH(A1116,0)),"000"))</f>
        <v>PC-01/2026-033</v>
      </c>
      <c r="C1116" s="5" t="s">
        <v>441</v>
      </c>
      <c r="D1116" s="5" t="s">
        <v>29</v>
      </c>
      <c r="E1116" s="5" t="s">
        <v>41</v>
      </c>
      <c r="F1116" s="5"/>
      <c r="G1116" s="5" t="s">
        <v>42</v>
      </c>
      <c r="H1116" s="5" t="s">
        <v>23</v>
      </c>
      <c r="I1116" s="6">
        <v>100000</v>
      </c>
      <c r="J1116" s="6">
        <f>IF(D1116="Thu",I1116,0)</f>
        <v>0</v>
      </c>
      <c r="K1116" s="6">
        <f>IF(D1116="Chi",I1116,0)</f>
        <v>100000</v>
      </c>
      <c r="L1116" s="6" t="e">
        <f>L1115+J1116-K1116</f>
        <v>#VALUE!</v>
      </c>
      <c r="M1116" s="6">
        <f ca="1">IFERROR(__xludf.DUMMYFUNCTION("SUM(FILTER(J:J, H:H=""Tiền mặt"")) - SUM(FILTER(K:K, H:H=""Tiền mặt""))
"),959000)</f>
        <v>959000</v>
      </c>
      <c r="N1116" s="6">
        <f ca="1">IFERROR(__xludf.DUMMYFUNCTION("SUM(FILTER(J:J, H:H=""Chuyển khoản"")) - SUM(FILTER(K:K, H:H=""Chuyển khoản""))
"),4468984)</f>
        <v>4468984</v>
      </c>
      <c r="O1116" s="5"/>
      <c r="P1116" s="5"/>
      <c r="Q1116" s="5"/>
      <c r="R1116" s="5"/>
      <c r="S1116" s="5"/>
    </row>
    <row r="1117" spans="1:19" ht="15.75" customHeight="1" x14ac:dyDescent="0.2">
      <c r="A1117" s="3">
        <v>46051</v>
      </c>
      <c r="B1117" s="4" t="str">
        <f>IF(A1117="","","PC-"&amp;TEXT(A1117,"mm/yyyy")&amp;"-"&amp;TEXT(COUNTIFS($A$2:A1117,"&gt;="&amp;EOMONTH(A1117,-1)+1,$A$2:A1117,"&lt;="&amp;EOMONTH(A1117,0)),"000"))</f>
        <v>PC-01/2026-034</v>
      </c>
      <c r="C1117" s="5" t="s">
        <v>442</v>
      </c>
      <c r="D1117" s="5" t="s">
        <v>29</v>
      </c>
      <c r="E1117" s="5" t="s">
        <v>51</v>
      </c>
      <c r="F1117" s="5"/>
      <c r="G1117" s="5" t="s">
        <v>52</v>
      </c>
      <c r="H1117" s="5" t="s">
        <v>27</v>
      </c>
      <c r="I1117" s="6">
        <v>217964</v>
      </c>
      <c r="J1117" s="6">
        <f>IF(D1117="Thu",I1117,0)</f>
        <v>0</v>
      </c>
      <c r="K1117" s="6">
        <f>IF(D1117="Chi",I1117,0)</f>
        <v>217964</v>
      </c>
      <c r="L1117" s="6" t="e">
        <f>L1116+J1117-K1117</f>
        <v>#VALUE!</v>
      </c>
      <c r="M1117" s="6">
        <f ca="1">IFERROR(__xludf.DUMMYFUNCTION("SUM(FILTER(J:J, H:H=""Tiền mặt"")) - SUM(FILTER(K:K, H:H=""Tiền mặt""))
"),959000)</f>
        <v>959000</v>
      </c>
      <c r="N1117" s="6">
        <f ca="1">IFERROR(__xludf.DUMMYFUNCTION("SUM(FILTER(J:J, H:H=""Chuyển khoản"")) - SUM(FILTER(K:K, H:H=""Chuyển khoản""))
"),4468984)</f>
        <v>4468984</v>
      </c>
      <c r="O1117" s="5"/>
      <c r="P1117" s="5"/>
      <c r="Q1117" s="5"/>
      <c r="R1117" s="5"/>
      <c r="S1117" s="5"/>
    </row>
    <row r="1118" spans="1:19" ht="15.75" customHeight="1" x14ac:dyDescent="0.2">
      <c r="A1118" s="3">
        <v>46050</v>
      </c>
      <c r="B1118" s="4" t="str">
        <f>IF(A1118="","","PC-"&amp;TEXT(A1118,"mm/yyyy")&amp;"-"&amp;TEXT(COUNTIFS($A$2:A1118,"&gt;="&amp;EOMONTH(A1118,-1)+1,$A$2:A1118,"&lt;="&amp;EOMONTH(A1118,0)),"000"))</f>
        <v>PC-01/2026-035</v>
      </c>
      <c r="C1118" s="5" t="s">
        <v>417</v>
      </c>
      <c r="D1118" s="5" t="s">
        <v>29</v>
      </c>
      <c r="E1118" s="5" t="s">
        <v>36</v>
      </c>
      <c r="F1118" s="5"/>
      <c r="G1118" s="5" t="s">
        <v>37</v>
      </c>
      <c r="H1118" s="5" t="s">
        <v>23</v>
      </c>
      <c r="I1118" s="6">
        <v>163000</v>
      </c>
      <c r="J1118" s="6">
        <f>IF(D1118="Thu",I1118,0)</f>
        <v>0</v>
      </c>
      <c r="K1118" s="6">
        <f>IF(D1118="Chi",I1118,0)</f>
        <v>163000</v>
      </c>
      <c r="L1118" s="6" t="e">
        <f>L1117+J1118-K1118</f>
        <v>#VALUE!</v>
      </c>
      <c r="M1118" s="6">
        <f ca="1">IFERROR(__xludf.DUMMYFUNCTION("SUM(FILTER(J:J, H:H=""Tiền mặt"")) - SUM(FILTER(K:K, H:H=""Tiền mặt""))
"),959000)</f>
        <v>959000</v>
      </c>
      <c r="N1118" s="6">
        <f ca="1">IFERROR(__xludf.DUMMYFUNCTION("SUM(FILTER(J:J, H:H=""Chuyển khoản"")) - SUM(FILTER(K:K, H:H=""Chuyển khoản""))
"),4468984)</f>
        <v>4468984</v>
      </c>
      <c r="O1118" s="5"/>
      <c r="P1118" s="5"/>
      <c r="Q1118" s="5"/>
      <c r="R1118" s="5"/>
      <c r="S1118" s="5"/>
    </row>
    <row r="1119" spans="1:19" ht="15.75" customHeight="1" x14ac:dyDescent="0.2">
      <c r="A1119" s="3">
        <v>46050</v>
      </c>
      <c r="B1119" s="4" t="str">
        <f>IF(A1119="","","PC-"&amp;TEXT(A1119,"mm/yyyy")&amp;"-"&amp;TEXT(COUNTIFS($A$2:A1119,"&gt;="&amp;EOMONTH(A1119,-1)+1,$A$2:A1119,"&lt;="&amp;EOMONTH(A1119,0)),"000"))</f>
        <v>PC-01/2026-036</v>
      </c>
      <c r="C1119" s="5" t="s">
        <v>418</v>
      </c>
      <c r="D1119" s="5" t="s">
        <v>29</v>
      </c>
      <c r="E1119" s="5" t="s">
        <v>47</v>
      </c>
      <c r="F1119" s="5"/>
      <c r="G1119" s="5" t="s">
        <v>48</v>
      </c>
      <c r="H1119" s="5" t="s">
        <v>23</v>
      </c>
      <c r="I1119" s="6">
        <v>50000</v>
      </c>
      <c r="J1119" s="6">
        <f>IF(D1119="Thu",I1119,0)</f>
        <v>0</v>
      </c>
      <c r="K1119" s="6">
        <f>IF(D1119="Chi",I1119,0)</f>
        <v>50000</v>
      </c>
      <c r="L1119" s="6" t="e">
        <f>L1118+J1119-K1119</f>
        <v>#VALUE!</v>
      </c>
      <c r="M1119" s="6">
        <f ca="1">IFERROR(__xludf.DUMMYFUNCTION("SUM(FILTER(J:J, H:H=""Tiền mặt"")) - SUM(FILTER(K:K, H:H=""Tiền mặt""))
"),959000)</f>
        <v>959000</v>
      </c>
      <c r="N1119" s="6">
        <f ca="1">IFERROR(__xludf.DUMMYFUNCTION("SUM(FILTER(J:J, H:H=""Chuyển khoản"")) - SUM(FILTER(K:K, H:H=""Chuyển khoản""))
"),4468984)</f>
        <v>4468984</v>
      </c>
      <c r="O1119" s="5"/>
      <c r="P1119" s="5"/>
      <c r="Q1119" s="5"/>
      <c r="R1119" s="5"/>
      <c r="S1119" s="5"/>
    </row>
    <row r="1120" spans="1:19" ht="15.75" customHeight="1" x14ac:dyDescent="0.2">
      <c r="A1120" s="3">
        <v>46050</v>
      </c>
      <c r="B1120" s="4" t="str">
        <f>IF(A1120="","","PC-"&amp;TEXT(A1120,"mm/yyyy")&amp;"-"&amp;TEXT(COUNTIFS($A$2:A1120,"&gt;="&amp;EOMONTH(A1120,-1)+1,$A$2:A1120,"&lt;="&amp;EOMONTH(A1120,0)),"000"))</f>
        <v>PC-01/2026-037</v>
      </c>
      <c r="C1120" s="5" t="s">
        <v>419</v>
      </c>
      <c r="D1120" s="5" t="s">
        <v>29</v>
      </c>
      <c r="E1120" s="5" t="s">
        <v>41</v>
      </c>
      <c r="F1120" s="5"/>
      <c r="G1120" s="5" t="s">
        <v>82</v>
      </c>
      <c r="H1120" s="5" t="s">
        <v>23</v>
      </c>
      <c r="I1120" s="6">
        <v>100000</v>
      </c>
      <c r="J1120" s="6">
        <f>IF(D1120="Thu",I1120,0)</f>
        <v>0</v>
      </c>
      <c r="K1120" s="6">
        <f>IF(D1120="Chi",I1120,0)</f>
        <v>100000</v>
      </c>
      <c r="L1120" s="6" t="e">
        <f>L1119+J1120-K1120</f>
        <v>#VALUE!</v>
      </c>
      <c r="M1120" s="6">
        <f ca="1">IFERROR(__xludf.DUMMYFUNCTION("SUM(FILTER(J:J, H:H=""Tiền mặt"")) - SUM(FILTER(K:K, H:H=""Tiền mặt""))
"),959000)</f>
        <v>959000</v>
      </c>
      <c r="N1120" s="6">
        <f ca="1">IFERROR(__xludf.DUMMYFUNCTION("SUM(FILTER(J:J, H:H=""Chuyển khoản"")) - SUM(FILTER(K:K, H:H=""Chuyển khoản""))
"),4468984)</f>
        <v>4468984</v>
      </c>
      <c r="O1120" s="5"/>
      <c r="P1120" s="5"/>
      <c r="Q1120" s="5"/>
      <c r="R1120" s="5"/>
      <c r="S1120" s="5"/>
    </row>
    <row r="1121" spans="1:19" ht="15.75" customHeight="1" x14ac:dyDescent="0.2">
      <c r="A1121" s="3">
        <v>46050</v>
      </c>
      <c r="B1121" s="4" t="str">
        <f>IF(A1121="","","PC-"&amp;TEXT(A1121,"mm/yyyy")&amp;"-"&amp;TEXT(COUNTIFS($A$2:A1121,"&gt;="&amp;EOMONTH(A1121,-1)+1,$A$2:A1121,"&lt;="&amp;EOMONTH(A1121,0)),"000"))</f>
        <v>PC-01/2026-038</v>
      </c>
      <c r="C1121" s="5" t="s">
        <v>420</v>
      </c>
      <c r="D1121" s="5" t="s">
        <v>29</v>
      </c>
      <c r="E1121" s="5" t="s">
        <v>71</v>
      </c>
      <c r="F1121" s="5"/>
      <c r="G1121" s="5" t="s">
        <v>219</v>
      </c>
      <c r="H1121" s="5" t="s">
        <v>27</v>
      </c>
      <c r="I1121" s="6">
        <v>73000</v>
      </c>
      <c r="J1121" s="6">
        <f>IF(D1121="Thu",I1121,0)</f>
        <v>0</v>
      </c>
      <c r="K1121" s="6">
        <f>IF(D1121="Chi",I1121,0)</f>
        <v>73000</v>
      </c>
      <c r="L1121" s="6" t="e">
        <f>L1120+J1121-K1121</f>
        <v>#VALUE!</v>
      </c>
      <c r="M1121" s="6">
        <f ca="1">IFERROR(__xludf.DUMMYFUNCTION("SUM(FILTER(J:J, H:H=""Tiền mặt"")) - SUM(FILTER(K:K, H:H=""Tiền mặt""))
"),959000)</f>
        <v>959000</v>
      </c>
      <c r="N1121" s="6">
        <f ca="1">IFERROR(__xludf.DUMMYFUNCTION("SUM(FILTER(J:J, H:H=""Chuyển khoản"")) - SUM(FILTER(K:K, H:H=""Chuyển khoản""))
"),4468984)</f>
        <v>4468984</v>
      </c>
      <c r="O1121" s="5"/>
      <c r="P1121" s="5"/>
      <c r="Q1121" s="5"/>
      <c r="R1121" s="5"/>
      <c r="S1121" s="5"/>
    </row>
    <row r="1122" spans="1:19" ht="15.75" customHeight="1" x14ac:dyDescent="0.2">
      <c r="A1122" s="3">
        <v>46050</v>
      </c>
      <c r="B1122" s="4" t="str">
        <f>IF(A1122="","","PC-"&amp;TEXT(A1122,"mm/yyyy")&amp;"-"&amp;TEXT(COUNTIFS($A$2:A1122,"&gt;="&amp;EOMONTH(A1122,-1)+1,$A$2:A1122,"&lt;="&amp;EOMONTH(A1122,0)),"000"))</f>
        <v>PC-01/2026-039</v>
      </c>
      <c r="C1122" s="4" t="s">
        <v>421</v>
      </c>
      <c r="D1122" s="5" t="s">
        <v>29</v>
      </c>
      <c r="E1122" s="5" t="s">
        <v>41</v>
      </c>
      <c r="F1122" s="5"/>
      <c r="G1122" s="5" t="s">
        <v>42</v>
      </c>
      <c r="H1122" s="5" t="s">
        <v>23</v>
      </c>
      <c r="I1122" s="6">
        <v>100000</v>
      </c>
      <c r="J1122" s="6">
        <f>IF(D1122="Thu",I1122,0)</f>
        <v>0</v>
      </c>
      <c r="K1122" s="6">
        <f>IF(D1122="Chi",I1122,0)</f>
        <v>100000</v>
      </c>
      <c r="L1122" s="6" t="e">
        <f>L1121+J1122-K1122</f>
        <v>#VALUE!</v>
      </c>
      <c r="M1122" s="6">
        <f ca="1">IFERROR(__xludf.DUMMYFUNCTION("SUM(FILTER(J:J, H:H=""Tiền mặt"")) - SUM(FILTER(K:K, H:H=""Tiền mặt""))
"),959000)</f>
        <v>959000</v>
      </c>
      <c r="N1122" s="6">
        <f ca="1">IFERROR(__xludf.DUMMYFUNCTION("SUM(FILTER(J:J, H:H=""Chuyển khoản"")) - SUM(FILTER(K:K, H:H=""Chuyển khoản""))
"),4468984)</f>
        <v>4468984</v>
      </c>
      <c r="O1122" s="5"/>
      <c r="P1122" s="5"/>
      <c r="Q1122" s="5"/>
      <c r="R1122" s="5"/>
      <c r="S1122" s="5"/>
    </row>
    <row r="1123" spans="1:19" ht="15.75" customHeight="1" x14ac:dyDescent="0.2">
      <c r="A1123" s="3">
        <v>46050</v>
      </c>
      <c r="B1123" s="4" t="str">
        <f>IF(A1123="","","PC-"&amp;TEXT(A1123,"mm/yyyy")&amp;"-"&amp;TEXT(COUNTIFS($A$2:A1123,"&gt;="&amp;EOMONTH(A1123,-1)+1,$A$2:A1123,"&lt;="&amp;EOMONTH(A1123,0)),"000"))</f>
        <v>PC-01/2026-040</v>
      </c>
      <c r="C1123" s="5" t="s">
        <v>422</v>
      </c>
      <c r="D1123" s="5" t="s">
        <v>29</v>
      </c>
      <c r="E1123" s="5" t="s">
        <v>51</v>
      </c>
      <c r="F1123" s="5"/>
      <c r="G1123" s="5" t="s">
        <v>52</v>
      </c>
      <c r="H1123" s="5" t="s">
        <v>27</v>
      </c>
      <c r="I1123" s="6">
        <v>164434</v>
      </c>
      <c r="J1123" s="6">
        <f>IF(D1123="Thu",I1123,0)</f>
        <v>0</v>
      </c>
      <c r="K1123" s="6">
        <f>IF(D1123="Chi",I1123,0)</f>
        <v>164434</v>
      </c>
      <c r="L1123" s="6" t="e">
        <f>L1122+J1123-K1123</f>
        <v>#VALUE!</v>
      </c>
      <c r="M1123" s="6">
        <f ca="1">IFERROR(__xludf.DUMMYFUNCTION("SUM(FILTER(J:J, H:H=""Tiền mặt"")) - SUM(FILTER(K:K, H:H=""Tiền mặt""))
"),959000)</f>
        <v>959000</v>
      </c>
      <c r="N1123" s="6">
        <f ca="1">IFERROR(__xludf.DUMMYFUNCTION("SUM(FILTER(J:J, H:H=""Chuyển khoản"")) - SUM(FILTER(K:K, H:H=""Chuyển khoản""))
"),4468984)</f>
        <v>4468984</v>
      </c>
      <c r="O1123" s="5"/>
      <c r="P1123" s="5"/>
      <c r="Q1123" s="5"/>
      <c r="R1123" s="5"/>
      <c r="S1123" s="5"/>
    </row>
    <row r="1124" spans="1:19" ht="15.75" customHeight="1" x14ac:dyDescent="0.2">
      <c r="A1124" s="3">
        <v>46050</v>
      </c>
      <c r="B1124" s="4" t="str">
        <f>IF(A1124="","","PC-"&amp;TEXT(A1124,"mm/yyyy")&amp;"-"&amp;TEXT(COUNTIFS($A$2:A1124,"&gt;="&amp;EOMONTH(A1124,-1)+1,$A$2:A1124,"&lt;="&amp;EOMONTH(A1124,0)),"000"))</f>
        <v>PC-01/2026-041</v>
      </c>
      <c r="C1124" s="7" t="s">
        <v>423</v>
      </c>
      <c r="D1124" s="5" t="s">
        <v>20</v>
      </c>
      <c r="E1124" s="5" t="s">
        <v>21</v>
      </c>
      <c r="F1124" s="5"/>
      <c r="G1124" s="5" t="s">
        <v>22</v>
      </c>
      <c r="H1124" s="5" t="s">
        <v>23</v>
      </c>
      <c r="I1124" s="6">
        <v>2600000</v>
      </c>
      <c r="J1124" s="6">
        <f>IF(D1124="Thu",I1124,0)</f>
        <v>2600000</v>
      </c>
      <c r="K1124" s="6">
        <f>IF(D1124="Chi",I1124,0)</f>
        <v>0</v>
      </c>
      <c r="L1124" s="6" t="e">
        <f>L1123+J1124-K1124</f>
        <v>#VALUE!</v>
      </c>
      <c r="M1124" s="6">
        <f ca="1">IFERROR(__xludf.DUMMYFUNCTION("SUM(FILTER(J:J, H:H=""Tiền mặt"")) - SUM(FILTER(K:K, H:H=""Tiền mặt""))
"),959000)</f>
        <v>959000</v>
      </c>
      <c r="N1124" s="6">
        <f ca="1">IFERROR(__xludf.DUMMYFUNCTION("SUM(FILTER(J:J, H:H=""Chuyển khoản"")) - SUM(FILTER(K:K, H:H=""Chuyển khoản""))
"),4468984)</f>
        <v>4468984</v>
      </c>
      <c r="O1124" s="5"/>
      <c r="P1124" s="5"/>
      <c r="Q1124" s="5"/>
      <c r="R1124" s="5"/>
      <c r="S1124" s="5"/>
    </row>
    <row r="1125" spans="1:19" ht="15.75" customHeight="1" x14ac:dyDescent="0.2">
      <c r="A1125" s="3">
        <v>46050</v>
      </c>
      <c r="B1125" s="4" t="str">
        <f>IF(A1125="","","PC-"&amp;TEXT(A1125,"mm/yyyy")&amp;"-"&amp;TEXT(COUNTIFS($A$2:A1125,"&gt;="&amp;EOMONTH(A1125,-1)+1,$A$2:A1125,"&lt;="&amp;EOMONTH(A1125,0)),"000"))</f>
        <v>PC-01/2026-042</v>
      </c>
      <c r="C1125" s="5" t="s">
        <v>424</v>
      </c>
      <c r="D1125" s="5" t="s">
        <v>29</v>
      </c>
      <c r="E1125" s="5" t="s">
        <v>88</v>
      </c>
      <c r="F1125" s="5"/>
      <c r="G1125" s="5" t="s">
        <v>338</v>
      </c>
      <c r="H1125" s="5" t="s">
        <v>23</v>
      </c>
      <c r="I1125" s="6">
        <v>2000000</v>
      </c>
      <c r="J1125" s="6">
        <f>IF(D1125="Thu",I1125,0)</f>
        <v>0</v>
      </c>
      <c r="K1125" s="6">
        <f>IF(D1125="Chi",I1125,0)</f>
        <v>2000000</v>
      </c>
      <c r="L1125" s="6" t="e">
        <f>L1124+J1125-K1125</f>
        <v>#VALUE!</v>
      </c>
      <c r="M1125" s="6">
        <f ca="1">IFERROR(__xludf.DUMMYFUNCTION("SUM(FILTER(J:J, H:H=""Tiền mặt"")) - SUM(FILTER(K:K, H:H=""Tiền mặt""))
"),959000)</f>
        <v>959000</v>
      </c>
      <c r="N1125" s="6">
        <f ca="1">IFERROR(__xludf.DUMMYFUNCTION("SUM(FILTER(J:J, H:H=""Chuyển khoản"")) - SUM(FILTER(K:K, H:H=""Chuyển khoản""))
"),4468984)</f>
        <v>4468984</v>
      </c>
      <c r="O1125" s="5"/>
      <c r="P1125" s="5"/>
      <c r="Q1125" s="5"/>
      <c r="R1125" s="5"/>
      <c r="S1125" s="5"/>
    </row>
    <row r="1126" spans="1:19" ht="15.75" customHeight="1" x14ac:dyDescent="0.2">
      <c r="A1126" s="3">
        <v>46050</v>
      </c>
      <c r="B1126" s="4" t="str">
        <f>IF(A1126="","","PC-"&amp;TEXT(A1126,"mm/yyyy")&amp;"-"&amp;TEXT(COUNTIFS($A$2:A1126,"&gt;="&amp;EOMONTH(A1126,-1)+1,$A$2:A1126,"&lt;="&amp;EOMONTH(A1126,0)),"000"))</f>
        <v>PC-01/2026-043</v>
      </c>
      <c r="C1126" s="5" t="s">
        <v>425</v>
      </c>
      <c r="D1126" s="5" t="s">
        <v>29</v>
      </c>
      <c r="E1126" s="5" t="s">
        <v>88</v>
      </c>
      <c r="F1126" s="5"/>
      <c r="G1126" s="5" t="s">
        <v>426</v>
      </c>
      <c r="H1126" s="5" t="s">
        <v>23</v>
      </c>
      <c r="I1126" s="6">
        <v>300000</v>
      </c>
      <c r="J1126" s="6">
        <f>IF(D1126="Thu",I1126,0)</f>
        <v>0</v>
      </c>
      <c r="K1126" s="6">
        <f>IF(D1126="Chi",I1126,0)</f>
        <v>300000</v>
      </c>
      <c r="L1126" s="6" t="e">
        <f>L1125+J1126-K1126</f>
        <v>#VALUE!</v>
      </c>
      <c r="M1126" s="6">
        <f ca="1">IFERROR(__xludf.DUMMYFUNCTION("SUM(FILTER(J:J, H:H=""Tiền mặt"")) - SUM(FILTER(K:K, H:H=""Tiền mặt""))
"),959000)</f>
        <v>959000</v>
      </c>
      <c r="N1126" s="6">
        <f ca="1">IFERROR(__xludf.DUMMYFUNCTION("SUM(FILTER(J:J, H:H=""Chuyển khoản"")) - SUM(FILTER(K:K, H:H=""Chuyển khoản""))
"),4468984)</f>
        <v>4468984</v>
      </c>
      <c r="O1126" s="5"/>
      <c r="P1126" s="5"/>
      <c r="Q1126" s="5"/>
      <c r="R1126" s="5"/>
      <c r="S1126" s="5"/>
    </row>
    <row r="1127" spans="1:19" ht="15.75" customHeight="1" x14ac:dyDescent="0.2">
      <c r="A1127" s="3">
        <v>46050</v>
      </c>
      <c r="B1127" s="4" t="str">
        <f>IF(A1127="","","PC-"&amp;TEXT(A1127,"mm/yyyy")&amp;"-"&amp;TEXT(COUNTIFS($A$2:A1127,"&gt;="&amp;EOMONTH(A1127,-1)+1,$A$2:A1127,"&lt;="&amp;EOMONTH(A1127,0)),"000"))</f>
        <v>PC-01/2026-044</v>
      </c>
      <c r="C1127" s="5" t="s">
        <v>427</v>
      </c>
      <c r="D1127" s="5" t="s">
        <v>29</v>
      </c>
      <c r="E1127" s="5" t="s">
        <v>88</v>
      </c>
      <c r="F1127" s="5"/>
      <c r="G1127" s="5" t="s">
        <v>426</v>
      </c>
      <c r="H1127" s="5" t="s">
        <v>23</v>
      </c>
      <c r="I1127" s="6">
        <v>300000</v>
      </c>
      <c r="J1127" s="6">
        <f>IF(D1127="Thu",I1127,0)</f>
        <v>0</v>
      </c>
      <c r="K1127" s="6">
        <f>IF(D1127="Chi",I1127,0)</f>
        <v>300000</v>
      </c>
      <c r="L1127" s="6" t="e">
        <f>L1126+J1127-K1127</f>
        <v>#VALUE!</v>
      </c>
      <c r="M1127" s="6">
        <f ca="1">IFERROR(__xludf.DUMMYFUNCTION("SUM(FILTER(J:J, H:H=""Tiền mặt"")) - SUM(FILTER(K:K, H:H=""Tiền mặt""))
"),959000)</f>
        <v>959000</v>
      </c>
      <c r="N1127" s="6">
        <f ca="1">IFERROR(__xludf.DUMMYFUNCTION("SUM(FILTER(J:J, H:H=""Chuyển khoản"")) - SUM(FILTER(K:K, H:H=""Chuyển khoản""))
"),4468984)</f>
        <v>4468984</v>
      </c>
      <c r="O1127" s="5"/>
      <c r="P1127" s="5"/>
      <c r="Q1127" s="5"/>
      <c r="R1127" s="5"/>
      <c r="S1127" s="5"/>
    </row>
    <row r="1128" spans="1:19" ht="15.75" customHeight="1" x14ac:dyDescent="0.2">
      <c r="A1128" s="3">
        <v>46050</v>
      </c>
      <c r="B1128" s="4" t="str">
        <f>IF(A1128="","","PC-"&amp;TEXT(A1128,"mm/yyyy")&amp;"-"&amp;TEXT(COUNTIFS($A$2:A1128,"&gt;="&amp;EOMONTH(A1128,-1)+1,$A$2:A1128,"&lt;="&amp;EOMONTH(A1128,0)),"000"))</f>
        <v>PC-01/2026-045</v>
      </c>
      <c r="C1128" s="5" t="s">
        <v>428</v>
      </c>
      <c r="D1128" s="5" t="s">
        <v>29</v>
      </c>
      <c r="E1128" s="5" t="s">
        <v>429</v>
      </c>
      <c r="F1128" s="5"/>
      <c r="G1128" s="5" t="s">
        <v>430</v>
      </c>
      <c r="H1128" s="5" t="s">
        <v>27</v>
      </c>
      <c r="I1128" s="6">
        <v>972000</v>
      </c>
      <c r="J1128" s="6">
        <f>IF(D1128="Thu",I1128,0)</f>
        <v>0</v>
      </c>
      <c r="K1128" s="6">
        <f>IF(D1128="Chi",I1128,0)</f>
        <v>972000</v>
      </c>
      <c r="L1128" s="6" t="e">
        <f>L1127+J1128-K1128</f>
        <v>#VALUE!</v>
      </c>
      <c r="M1128" s="6">
        <f ca="1">IFERROR(__xludf.DUMMYFUNCTION("SUM(FILTER(J:J, H:H=""Tiền mặt"")) - SUM(FILTER(K:K, H:H=""Tiền mặt""))
"),959000)</f>
        <v>959000</v>
      </c>
      <c r="N1128" s="6">
        <f ca="1">IFERROR(__xludf.DUMMYFUNCTION("SUM(FILTER(J:J, H:H=""Chuyển khoản"")) - SUM(FILTER(K:K, H:H=""Chuyển khoản""))
"),4468984)</f>
        <v>4468984</v>
      </c>
      <c r="O1128" s="5"/>
      <c r="P1128" s="5"/>
      <c r="Q1128" s="5"/>
      <c r="R1128" s="5"/>
      <c r="S1128" s="5"/>
    </row>
    <row r="1129" spans="1:19" ht="15.75" customHeight="1" x14ac:dyDescent="0.2">
      <c r="A1129" s="3">
        <v>46049</v>
      </c>
      <c r="B1129" s="4" t="str">
        <f>IF(A1129="","","PC-"&amp;TEXT(A1129,"mm/yyyy")&amp;"-"&amp;TEXT(COUNTIFS($A$2:A1129,"&gt;="&amp;EOMONTH(A1129,-1)+1,$A$2:A1129,"&lt;="&amp;EOMONTH(A1129,0)),"000"))</f>
        <v>PC-01/2026-046</v>
      </c>
      <c r="C1129" s="5" t="s">
        <v>403</v>
      </c>
      <c r="D1129" s="5" t="s">
        <v>29</v>
      </c>
      <c r="E1129" s="5" t="s">
        <v>41</v>
      </c>
      <c r="F1129" s="5"/>
      <c r="G1129" s="5" t="s">
        <v>42</v>
      </c>
      <c r="H1129" s="5" t="s">
        <v>23</v>
      </c>
      <c r="I1129" s="6">
        <v>200000</v>
      </c>
      <c r="J1129" s="6">
        <f>IF(D1129="Thu",I1129,0)</f>
        <v>0</v>
      </c>
      <c r="K1129" s="6">
        <f>IF(D1129="Chi",I1129,0)</f>
        <v>200000</v>
      </c>
      <c r="L1129" s="6" t="e">
        <f>L1128+J1129-K1129</f>
        <v>#VALUE!</v>
      </c>
      <c r="M1129" s="6">
        <f ca="1">IFERROR(__xludf.DUMMYFUNCTION("SUM(FILTER(J:J, H:H=""Tiền mặt"")) - SUM(FILTER(K:K, H:H=""Tiền mặt""))
"),959000)</f>
        <v>959000</v>
      </c>
      <c r="N1129" s="6">
        <f ca="1">IFERROR(__xludf.DUMMYFUNCTION("SUM(FILTER(J:J, H:H=""Chuyển khoản"")) - SUM(FILTER(K:K, H:H=""Chuyển khoản""))
"),4468984)</f>
        <v>4468984</v>
      </c>
      <c r="O1129" s="5"/>
      <c r="P1129" s="5"/>
      <c r="Q1129" s="5"/>
      <c r="R1129" s="5"/>
      <c r="S1129" s="5"/>
    </row>
    <row r="1130" spans="1:19" ht="15.75" customHeight="1" x14ac:dyDescent="0.2">
      <c r="A1130" s="3">
        <v>46049</v>
      </c>
      <c r="B1130" s="4" t="str">
        <f>IF(A1130="","","PC-"&amp;TEXT(A1130,"mm/yyyy")&amp;"-"&amp;TEXT(COUNTIFS($A$2:A1130,"&gt;="&amp;EOMONTH(A1130,-1)+1,$A$2:A1130,"&lt;="&amp;EOMONTH(A1130,0)),"000"))</f>
        <v>PC-01/2026-047</v>
      </c>
      <c r="C1130" s="7" t="s">
        <v>404</v>
      </c>
      <c r="D1130" s="5" t="s">
        <v>29</v>
      </c>
      <c r="E1130" s="5" t="s">
        <v>88</v>
      </c>
      <c r="F1130" s="5"/>
      <c r="G1130" s="5" t="s">
        <v>89</v>
      </c>
      <c r="H1130" s="5" t="s">
        <v>23</v>
      </c>
      <c r="I1130" s="6">
        <v>139000</v>
      </c>
      <c r="J1130" s="6">
        <f>IF(D1130="Thu",I1130,0)</f>
        <v>0</v>
      </c>
      <c r="K1130" s="6">
        <f>IF(D1130="Chi",I1130,0)</f>
        <v>139000</v>
      </c>
      <c r="L1130" s="6" t="e">
        <f>L1129+J1130-K1130</f>
        <v>#VALUE!</v>
      </c>
      <c r="M1130" s="6">
        <f ca="1">IFERROR(__xludf.DUMMYFUNCTION("SUM(FILTER(J:J, H:H=""Tiền mặt"")) - SUM(FILTER(K:K, H:H=""Tiền mặt""))
"),959000)</f>
        <v>959000</v>
      </c>
      <c r="N1130" s="6">
        <f ca="1">IFERROR(__xludf.DUMMYFUNCTION("SUM(FILTER(J:J, H:H=""Chuyển khoản"")) - SUM(FILTER(K:K, H:H=""Chuyển khoản""))
"),4468984)</f>
        <v>4468984</v>
      </c>
      <c r="O1130" s="5"/>
      <c r="P1130" s="5"/>
      <c r="Q1130" s="5"/>
      <c r="R1130" s="5"/>
      <c r="S1130" s="5"/>
    </row>
    <row r="1131" spans="1:19" ht="15.75" customHeight="1" x14ac:dyDescent="0.2">
      <c r="A1131" s="3">
        <v>46049</v>
      </c>
      <c r="B1131" s="4" t="str">
        <f>IF(A1131="","","PC-"&amp;TEXT(A1131,"mm/yyyy")&amp;"-"&amp;TEXT(COUNTIFS($A$2:A1131,"&gt;="&amp;EOMONTH(A1131,-1)+1,$A$2:A1131,"&lt;="&amp;EOMONTH(A1131,0)),"000"))</f>
        <v>PC-01/2026-048</v>
      </c>
      <c r="C1131" s="5" t="s">
        <v>405</v>
      </c>
      <c r="D1131" s="5" t="s">
        <v>29</v>
      </c>
      <c r="E1131" s="5" t="s">
        <v>64</v>
      </c>
      <c r="F1131" s="5"/>
      <c r="G1131" s="5" t="s">
        <v>162</v>
      </c>
      <c r="H1131" s="5" t="s">
        <v>23</v>
      </c>
      <c r="I1131" s="6">
        <v>2000000</v>
      </c>
      <c r="J1131" s="6">
        <f>IF(D1131="Thu",I1131,0)</f>
        <v>0</v>
      </c>
      <c r="K1131" s="6">
        <f>IF(D1131="Chi",I1131,0)</f>
        <v>2000000</v>
      </c>
      <c r="L1131" s="6" t="e">
        <f>L1130+J1131-K1131</f>
        <v>#VALUE!</v>
      </c>
      <c r="M1131" s="6">
        <f ca="1">IFERROR(__xludf.DUMMYFUNCTION("SUM(FILTER(J:J, H:H=""Tiền mặt"")) - SUM(FILTER(K:K, H:H=""Tiền mặt""))
"),959000)</f>
        <v>959000</v>
      </c>
      <c r="N1131" s="6">
        <f ca="1">IFERROR(__xludf.DUMMYFUNCTION("SUM(FILTER(J:J, H:H=""Chuyển khoản"")) - SUM(FILTER(K:K, H:H=""Chuyển khoản""))
"),4468984)</f>
        <v>4468984</v>
      </c>
      <c r="O1131" s="5"/>
      <c r="P1131" s="5"/>
      <c r="Q1131" s="5"/>
      <c r="R1131" s="5"/>
      <c r="S1131" s="5"/>
    </row>
    <row r="1132" spans="1:19" ht="15.75" customHeight="1" x14ac:dyDescent="0.2">
      <c r="A1132" s="3">
        <v>46049</v>
      </c>
      <c r="B1132" s="4" t="str">
        <f>IF(A1132="","","PC-"&amp;TEXT(A1132,"mm/yyyy")&amp;"-"&amp;TEXT(COUNTIFS($A$2:A1132,"&gt;="&amp;EOMONTH(A1132,-1)+1,$A$2:A1132,"&lt;="&amp;EOMONTH(A1132,0)),"000"))</f>
        <v>PC-01/2026-049</v>
      </c>
      <c r="C1132" s="5" t="s">
        <v>406</v>
      </c>
      <c r="D1132" s="5" t="s">
        <v>20</v>
      </c>
      <c r="E1132" s="5" t="s">
        <v>21</v>
      </c>
      <c r="F1132" s="5"/>
      <c r="G1132" s="5" t="s">
        <v>22</v>
      </c>
      <c r="H1132" s="5" t="s">
        <v>23</v>
      </c>
      <c r="I1132" s="6">
        <v>10000000</v>
      </c>
      <c r="J1132" s="6">
        <f>IF(D1132="Thu",I1132,0)</f>
        <v>10000000</v>
      </c>
      <c r="K1132" s="6">
        <f>IF(D1132="Chi",I1132,0)</f>
        <v>0</v>
      </c>
      <c r="L1132" s="6" t="e">
        <f>L1131+J1132-K1132</f>
        <v>#VALUE!</v>
      </c>
      <c r="M1132" s="6">
        <f ca="1">IFERROR(__xludf.DUMMYFUNCTION("SUM(FILTER(J:J, H:H=""Tiền mặt"")) - SUM(FILTER(K:K, H:H=""Tiền mặt""))
"),959000)</f>
        <v>959000</v>
      </c>
      <c r="N1132" s="6">
        <f ca="1">IFERROR(__xludf.DUMMYFUNCTION("SUM(FILTER(J:J, H:H=""Chuyển khoản"")) - SUM(FILTER(K:K, H:H=""Chuyển khoản""))
"),4468984)</f>
        <v>4468984</v>
      </c>
      <c r="O1132" s="5"/>
      <c r="P1132" s="5"/>
      <c r="Q1132" s="5"/>
      <c r="R1132" s="5"/>
      <c r="S1132" s="5"/>
    </row>
    <row r="1133" spans="1:19" ht="15.75" customHeight="1" x14ac:dyDescent="0.2">
      <c r="A1133" s="3">
        <v>46049</v>
      </c>
      <c r="B1133" s="4" t="str">
        <f>IF(A1133="","","PC-"&amp;TEXT(A1133,"mm/yyyy")&amp;"-"&amp;TEXT(COUNTIFS($A$2:A1133,"&gt;="&amp;EOMONTH(A1133,-1)+1,$A$2:A1133,"&lt;="&amp;EOMONTH(A1133,0)),"000"))</f>
        <v>PC-01/2026-050</v>
      </c>
      <c r="C1133" s="5" t="s">
        <v>407</v>
      </c>
      <c r="D1133" s="5" t="s">
        <v>29</v>
      </c>
      <c r="E1133" s="5" t="s">
        <v>41</v>
      </c>
      <c r="F1133" s="5"/>
      <c r="G1133" s="5" t="s">
        <v>82</v>
      </c>
      <c r="H1133" s="5" t="s">
        <v>23</v>
      </c>
      <c r="I1133" s="6">
        <v>100000</v>
      </c>
      <c r="J1133" s="6">
        <f>IF(D1133="Thu",I1133,0)</f>
        <v>0</v>
      </c>
      <c r="K1133" s="6">
        <f>IF(D1133="Chi",I1133,0)</f>
        <v>100000</v>
      </c>
      <c r="L1133" s="6" t="e">
        <f>L1132+J1133-K1133</f>
        <v>#VALUE!</v>
      </c>
      <c r="M1133" s="6">
        <f ca="1">IFERROR(__xludf.DUMMYFUNCTION("SUM(FILTER(J:J, H:H=""Tiền mặt"")) - SUM(FILTER(K:K, H:H=""Tiền mặt""))
"),959000)</f>
        <v>959000</v>
      </c>
      <c r="N1133" s="6">
        <f ca="1">IFERROR(__xludf.DUMMYFUNCTION("SUM(FILTER(J:J, H:H=""Chuyển khoản"")) - SUM(FILTER(K:K, H:H=""Chuyển khoản""))
"),4468984)</f>
        <v>4468984</v>
      </c>
      <c r="O1133" s="5"/>
      <c r="P1133" s="5"/>
      <c r="Q1133" s="5"/>
      <c r="R1133" s="5"/>
      <c r="S1133" s="5"/>
    </row>
    <row r="1134" spans="1:19" ht="15.75" customHeight="1" x14ac:dyDescent="0.2">
      <c r="A1134" s="3">
        <v>46049</v>
      </c>
      <c r="B1134" s="4" t="str">
        <f>IF(A1134="","","PC-"&amp;TEXT(A1134,"mm/yyyy")&amp;"-"&amp;TEXT(COUNTIFS($A$2:A1134,"&gt;="&amp;EOMONTH(A1134,-1)+1,$A$2:A1134,"&lt;="&amp;EOMONTH(A1134,0)),"000"))</f>
        <v>PC-01/2026-051</v>
      </c>
      <c r="C1134" s="7" t="s">
        <v>408</v>
      </c>
      <c r="D1134" s="5" t="s">
        <v>29</v>
      </c>
      <c r="E1134" s="5" t="s">
        <v>346</v>
      </c>
      <c r="F1134" s="5"/>
      <c r="G1134" s="5" t="s">
        <v>347</v>
      </c>
      <c r="H1134" s="5" t="s">
        <v>27</v>
      </c>
      <c r="I1134" s="6">
        <v>1000000</v>
      </c>
      <c r="J1134" s="6">
        <f>IF(D1134="Thu",I1134,0)</f>
        <v>0</v>
      </c>
      <c r="K1134" s="6">
        <f>IF(D1134="Chi",I1134,0)</f>
        <v>1000000</v>
      </c>
      <c r="L1134" s="6" t="e">
        <f>L1133+J1134-K1134</f>
        <v>#VALUE!</v>
      </c>
      <c r="M1134" s="6">
        <f ca="1">IFERROR(__xludf.DUMMYFUNCTION("SUM(FILTER(J:J, H:H=""Tiền mặt"")) - SUM(FILTER(K:K, H:H=""Tiền mặt""))
"),959000)</f>
        <v>959000</v>
      </c>
      <c r="N1134" s="6">
        <f ca="1">IFERROR(__xludf.DUMMYFUNCTION("SUM(FILTER(J:J, H:H=""Chuyển khoản"")) - SUM(FILTER(K:K, H:H=""Chuyển khoản""))
"),4468984)</f>
        <v>4468984</v>
      </c>
      <c r="O1134" s="5"/>
      <c r="P1134" s="5"/>
      <c r="Q1134" s="5"/>
      <c r="R1134" s="5"/>
      <c r="S1134" s="5"/>
    </row>
    <row r="1135" spans="1:19" ht="15.75" customHeight="1" x14ac:dyDescent="0.2">
      <c r="A1135" s="3">
        <v>46049</v>
      </c>
      <c r="B1135" s="4" t="str">
        <f>IF(A1135="","","PC-"&amp;TEXT(A1135,"mm/yyyy")&amp;"-"&amp;TEXT(COUNTIFS($A$2:A1135,"&gt;="&amp;EOMONTH(A1135,-1)+1,$A$2:A1135,"&lt;="&amp;EOMONTH(A1135,0)),"000"))</f>
        <v>PC-01/2026-052</v>
      </c>
      <c r="C1135" s="5" t="s">
        <v>409</v>
      </c>
      <c r="D1135" s="5" t="s">
        <v>29</v>
      </c>
      <c r="E1135" s="5" t="s">
        <v>78</v>
      </c>
      <c r="F1135" s="5"/>
      <c r="G1135" s="5" t="s">
        <v>72</v>
      </c>
      <c r="H1135" s="5" t="s">
        <v>27</v>
      </c>
      <c r="I1135" s="6">
        <v>677000</v>
      </c>
      <c r="J1135" s="6">
        <f>IF(D1135="Thu",I1135,0)</f>
        <v>0</v>
      </c>
      <c r="K1135" s="6">
        <f>IF(D1135="Chi",I1135,0)</f>
        <v>677000</v>
      </c>
      <c r="L1135" s="6" t="e">
        <f>L1134+J1135-K1135</f>
        <v>#VALUE!</v>
      </c>
      <c r="M1135" s="6">
        <f ca="1">IFERROR(__xludf.DUMMYFUNCTION("SUM(FILTER(J:J, H:H=""Tiền mặt"")) - SUM(FILTER(K:K, H:H=""Tiền mặt""))
"),959000)</f>
        <v>959000</v>
      </c>
      <c r="N1135" s="6">
        <f ca="1">IFERROR(__xludf.DUMMYFUNCTION("SUM(FILTER(J:J, H:H=""Chuyển khoản"")) - SUM(FILTER(K:K, H:H=""Chuyển khoản""))
"),4468984)</f>
        <v>4468984</v>
      </c>
      <c r="O1135" s="5"/>
      <c r="P1135" s="5"/>
      <c r="Q1135" s="5"/>
      <c r="R1135" s="5"/>
      <c r="S1135" s="5"/>
    </row>
    <row r="1136" spans="1:19" ht="15.75" customHeight="1" x14ac:dyDescent="0.2">
      <c r="A1136" s="3">
        <v>46049</v>
      </c>
      <c r="B1136" s="4" t="str">
        <f>IF(A1136="","","PC-"&amp;TEXT(A1136,"mm/yyyy")&amp;"-"&amp;TEXT(COUNTIFS($A$2:A1136,"&gt;="&amp;EOMONTH(A1136,-1)+1,$A$2:A1136,"&lt;="&amp;EOMONTH(A1136,0)),"000"))</f>
        <v>PC-01/2026-053</v>
      </c>
      <c r="C1136" s="5" t="s">
        <v>410</v>
      </c>
      <c r="D1136" s="5" t="s">
        <v>29</v>
      </c>
      <c r="E1136" s="5" t="s">
        <v>41</v>
      </c>
      <c r="F1136" s="5"/>
      <c r="G1136" s="5" t="s">
        <v>82</v>
      </c>
      <c r="H1136" s="5" t="s">
        <v>23</v>
      </c>
      <c r="I1136" s="6">
        <v>100000</v>
      </c>
      <c r="J1136" s="6">
        <f>IF(D1136="Thu",I1136,0)</f>
        <v>0</v>
      </c>
      <c r="K1136" s="6">
        <f>IF(D1136="Chi",I1136,0)</f>
        <v>100000</v>
      </c>
      <c r="L1136" s="6" t="e">
        <f>L1135+J1136-K1136</f>
        <v>#VALUE!</v>
      </c>
      <c r="M1136" s="6">
        <f ca="1">IFERROR(__xludf.DUMMYFUNCTION("SUM(FILTER(J:J, H:H=""Tiền mặt"")) - SUM(FILTER(K:K, H:H=""Tiền mặt""))
"),959000)</f>
        <v>959000</v>
      </c>
      <c r="N1136" s="6">
        <f ca="1">IFERROR(__xludf.DUMMYFUNCTION("SUM(FILTER(J:J, H:H=""Chuyển khoản"")) - SUM(FILTER(K:K, H:H=""Chuyển khoản""))
"),4468984)</f>
        <v>4468984</v>
      </c>
      <c r="O1136" s="5"/>
      <c r="P1136" s="5"/>
      <c r="Q1136" s="5"/>
      <c r="R1136" s="5"/>
      <c r="S1136" s="5"/>
    </row>
    <row r="1137" spans="1:19" ht="15.75" customHeight="1" x14ac:dyDescent="0.2">
      <c r="A1137" s="3">
        <v>46049</v>
      </c>
      <c r="B1137" s="4" t="str">
        <f>IF(A1137="","","PC-"&amp;TEXT(A1137,"mm/yyyy")&amp;"-"&amp;TEXT(COUNTIFS($A$2:A1137,"&gt;="&amp;EOMONTH(A1137,-1)+1,$A$2:A1137,"&lt;="&amp;EOMONTH(A1137,0)),"000"))</f>
        <v>PC-01/2026-054</v>
      </c>
      <c r="C1137" s="5" t="s">
        <v>411</v>
      </c>
      <c r="D1137" s="5" t="s">
        <v>20</v>
      </c>
      <c r="E1137" s="5" t="s">
        <v>21</v>
      </c>
      <c r="F1137" s="5"/>
      <c r="G1137" s="5" t="s">
        <v>22</v>
      </c>
      <c r="H1137" s="5" t="s">
        <v>23</v>
      </c>
      <c r="I1137" s="6">
        <v>1500000</v>
      </c>
      <c r="J1137" s="6">
        <f>IF(D1137="Thu",I1137,0)</f>
        <v>1500000</v>
      </c>
      <c r="K1137" s="6">
        <f>IF(D1137="Chi",I1137,0)</f>
        <v>0</v>
      </c>
      <c r="L1137" s="6" t="e">
        <f>L1136+J1137-K1137</f>
        <v>#VALUE!</v>
      </c>
      <c r="M1137" s="6">
        <f ca="1">IFERROR(__xludf.DUMMYFUNCTION("SUM(FILTER(J:J, H:H=""Tiền mặt"")) - SUM(FILTER(K:K, H:H=""Tiền mặt""))
"),959000)</f>
        <v>959000</v>
      </c>
      <c r="N1137" s="6">
        <f ca="1">IFERROR(__xludf.DUMMYFUNCTION("SUM(FILTER(J:J, H:H=""Chuyển khoản"")) - SUM(FILTER(K:K, H:H=""Chuyển khoản""))
"),4468984)</f>
        <v>4468984</v>
      </c>
      <c r="O1137" s="5"/>
      <c r="P1137" s="5"/>
      <c r="Q1137" s="5"/>
      <c r="R1137" s="5"/>
      <c r="S1137" s="5"/>
    </row>
    <row r="1138" spans="1:19" ht="15.75" customHeight="1" x14ac:dyDescent="0.2">
      <c r="A1138" s="3">
        <v>46049</v>
      </c>
      <c r="B1138" s="4" t="str">
        <f>IF(A1138="","","PC-"&amp;TEXT(A1138,"mm/yyyy")&amp;"-"&amp;TEXT(COUNTIFS($A$2:A1138,"&gt;="&amp;EOMONTH(A1138,-1)+1,$A$2:A1138,"&lt;="&amp;EOMONTH(A1138,0)),"000"))</f>
        <v>PC-01/2026-055</v>
      </c>
      <c r="C1138" s="5" t="s">
        <v>412</v>
      </c>
      <c r="D1138" s="5" t="s">
        <v>29</v>
      </c>
      <c r="E1138" s="5" t="s">
        <v>44</v>
      </c>
      <c r="F1138" s="5"/>
      <c r="G1138" s="5" t="s">
        <v>413</v>
      </c>
      <c r="H1138" s="5" t="s">
        <v>23</v>
      </c>
      <c r="I1138" s="6">
        <v>1500000</v>
      </c>
      <c r="J1138" s="6">
        <f>IF(D1138="Thu",I1138,0)</f>
        <v>0</v>
      </c>
      <c r="K1138" s="6">
        <f>IF(D1138="Chi",I1138,0)</f>
        <v>1500000</v>
      </c>
      <c r="L1138" s="6" t="e">
        <f>L1137+J1138-K1138</f>
        <v>#VALUE!</v>
      </c>
      <c r="M1138" s="6">
        <f ca="1">IFERROR(__xludf.DUMMYFUNCTION("SUM(FILTER(J:J, H:H=""Tiền mặt"")) - SUM(FILTER(K:K, H:H=""Tiền mặt""))
"),959000)</f>
        <v>959000</v>
      </c>
      <c r="N1138" s="6">
        <f ca="1">IFERROR(__xludf.DUMMYFUNCTION("SUM(FILTER(J:J, H:H=""Chuyển khoản"")) - SUM(FILTER(K:K, H:H=""Chuyển khoản""))
"),4468984)</f>
        <v>4468984</v>
      </c>
      <c r="O1138" s="5"/>
      <c r="P1138" s="5"/>
      <c r="Q1138" s="5"/>
      <c r="R1138" s="5"/>
      <c r="S1138" s="5"/>
    </row>
    <row r="1139" spans="1:19" ht="15.75" customHeight="1" x14ac:dyDescent="0.2">
      <c r="A1139" s="3">
        <v>46049</v>
      </c>
      <c r="B1139" s="4" t="str">
        <f>IF(A1139="","","PC-"&amp;TEXT(A1139,"mm/yyyy")&amp;"-"&amp;TEXT(COUNTIFS($A$2:A1139,"&gt;="&amp;EOMONTH(A1139,-1)+1,$A$2:A1139,"&lt;="&amp;EOMONTH(A1139,0)),"000"))</f>
        <v>PC-01/2026-056</v>
      </c>
      <c r="C1139" s="5" t="s">
        <v>414</v>
      </c>
      <c r="D1139" s="5" t="s">
        <v>29</v>
      </c>
      <c r="E1139" s="5" t="s">
        <v>47</v>
      </c>
      <c r="F1139" s="5"/>
      <c r="G1139" s="5" t="s">
        <v>48</v>
      </c>
      <c r="H1139" s="5" t="s">
        <v>23</v>
      </c>
      <c r="I1139" s="6">
        <v>50000</v>
      </c>
      <c r="J1139" s="6">
        <f>IF(D1139="Thu",I1139,0)</f>
        <v>0</v>
      </c>
      <c r="K1139" s="6">
        <f>IF(D1139="Chi",I1139,0)</f>
        <v>50000</v>
      </c>
      <c r="L1139" s="6" t="e">
        <f>L1138+J1139-K1139</f>
        <v>#VALUE!</v>
      </c>
      <c r="M1139" s="6">
        <f ca="1">IFERROR(__xludf.DUMMYFUNCTION("SUM(FILTER(J:J, H:H=""Tiền mặt"")) - SUM(FILTER(K:K, H:H=""Tiền mặt""))
"),959000)</f>
        <v>959000</v>
      </c>
      <c r="N1139" s="6">
        <f ca="1">IFERROR(__xludf.DUMMYFUNCTION("SUM(FILTER(J:J, H:H=""Chuyển khoản"")) - SUM(FILTER(K:K, H:H=""Chuyển khoản""))
"),4468984)</f>
        <v>4468984</v>
      </c>
      <c r="O1139" s="5"/>
      <c r="P1139" s="5"/>
      <c r="Q1139" s="5"/>
      <c r="R1139" s="5"/>
      <c r="S1139" s="5"/>
    </row>
    <row r="1140" spans="1:19" ht="15.75" customHeight="1" x14ac:dyDescent="0.2">
      <c r="A1140" s="3">
        <v>46049</v>
      </c>
      <c r="B1140" s="4" t="str">
        <f>IF(A1140="","","PC-"&amp;TEXT(A1140,"mm/yyyy")&amp;"-"&amp;TEXT(COUNTIFS($A$2:A1140,"&gt;="&amp;EOMONTH(A1140,-1)+1,$A$2:A1140,"&lt;="&amp;EOMONTH(A1140,0)),"000"))</f>
        <v>PC-01/2026-057</v>
      </c>
      <c r="C1140" s="5" t="s">
        <v>415</v>
      </c>
      <c r="D1140" s="5" t="s">
        <v>29</v>
      </c>
      <c r="E1140" s="5" t="s">
        <v>41</v>
      </c>
      <c r="F1140" s="5"/>
      <c r="G1140" s="5" t="s">
        <v>42</v>
      </c>
      <c r="H1140" s="5" t="s">
        <v>23</v>
      </c>
      <c r="I1140" s="6">
        <v>100000</v>
      </c>
      <c r="J1140" s="6">
        <f>IF(D1140="Thu",I1140,0)</f>
        <v>0</v>
      </c>
      <c r="K1140" s="6">
        <f>IF(D1140="Chi",I1140,0)</f>
        <v>100000</v>
      </c>
      <c r="L1140" s="6" t="e">
        <f>L1139+J1140-K1140</f>
        <v>#VALUE!</v>
      </c>
      <c r="M1140" s="6">
        <f ca="1">IFERROR(__xludf.DUMMYFUNCTION("SUM(FILTER(J:J, H:H=""Tiền mặt"")) - SUM(FILTER(K:K, H:H=""Tiền mặt""))
"),959000)</f>
        <v>959000</v>
      </c>
      <c r="N1140" s="6">
        <f ca="1">IFERROR(__xludf.DUMMYFUNCTION("SUM(FILTER(J:J, H:H=""Chuyển khoản"")) - SUM(FILTER(K:K, H:H=""Chuyển khoản""))
"),4468984)</f>
        <v>4468984</v>
      </c>
      <c r="O1140" s="5"/>
      <c r="P1140" s="5"/>
      <c r="Q1140" s="5"/>
      <c r="R1140" s="5"/>
      <c r="S1140" s="5"/>
    </row>
    <row r="1141" spans="1:19" ht="15.75" customHeight="1" x14ac:dyDescent="0.2">
      <c r="A1141" s="3">
        <v>46049</v>
      </c>
      <c r="B1141" s="4" t="str">
        <f>IF(A1141="","","PC-"&amp;TEXT(A1141,"mm/yyyy")&amp;"-"&amp;TEXT(COUNTIFS($A$2:A1141,"&gt;="&amp;EOMONTH(A1141,-1)+1,$A$2:A1141,"&lt;="&amp;EOMONTH(A1141,0)),"000"))</f>
        <v>PC-01/2026-058</v>
      </c>
      <c r="C1141" s="5" t="s">
        <v>416</v>
      </c>
      <c r="D1141" s="5" t="s">
        <v>29</v>
      </c>
      <c r="E1141" s="5" t="s">
        <v>51</v>
      </c>
      <c r="F1141" s="5"/>
      <c r="G1141" s="5" t="s">
        <v>52</v>
      </c>
      <c r="H1141" s="5" t="s">
        <v>27</v>
      </c>
      <c r="I1141" s="6">
        <v>86900</v>
      </c>
      <c r="J1141" s="6">
        <f>IF(D1141="Thu",I1141,0)</f>
        <v>0</v>
      </c>
      <c r="K1141" s="6">
        <f>IF(D1141="Chi",I1141,0)</f>
        <v>86900</v>
      </c>
      <c r="L1141" s="6" t="e">
        <f>L1140+J1141-K1141</f>
        <v>#VALUE!</v>
      </c>
      <c r="M1141" s="6">
        <f ca="1">IFERROR(__xludf.DUMMYFUNCTION("SUM(FILTER(J:J, H:H=""Tiền mặt"")) - SUM(FILTER(K:K, H:H=""Tiền mặt""))
"),959000)</f>
        <v>959000</v>
      </c>
      <c r="N1141" s="6">
        <f ca="1">IFERROR(__xludf.DUMMYFUNCTION("SUM(FILTER(J:J, H:H=""Chuyển khoản"")) - SUM(FILTER(K:K, H:H=""Chuyển khoản""))
"),4468984)</f>
        <v>4468984</v>
      </c>
      <c r="O1141" s="5"/>
      <c r="P1141" s="5"/>
      <c r="Q1141" s="5"/>
      <c r="R1141" s="5"/>
      <c r="S1141" s="5"/>
    </row>
    <row r="1142" spans="1:19" ht="15.75" customHeight="1" x14ac:dyDescent="0.2">
      <c r="A1142" s="3">
        <v>46048</v>
      </c>
      <c r="B1142" s="4" t="str">
        <f>IF(A1142="","","PC-"&amp;TEXT(A1142,"mm/yyyy")&amp;"-"&amp;TEXT(COUNTIFS($A$2:A1142,"&gt;="&amp;EOMONTH(A1142,-1)+1,$A$2:A1142,"&lt;="&amp;EOMONTH(A1142,0)),"000"))</f>
        <v>PC-01/2026-059</v>
      </c>
      <c r="C1142" s="5" t="s">
        <v>373</v>
      </c>
      <c r="D1142" s="5" t="s">
        <v>29</v>
      </c>
      <c r="E1142" s="5" t="s">
        <v>44</v>
      </c>
      <c r="F1142" s="5"/>
      <c r="G1142" s="5" t="s">
        <v>374</v>
      </c>
      <c r="H1142" s="5" t="s">
        <v>23</v>
      </c>
      <c r="I1142" s="6">
        <v>2000000</v>
      </c>
      <c r="J1142" s="6">
        <f>IF(D1142="Thu",I1142,0)</f>
        <v>0</v>
      </c>
      <c r="K1142" s="6">
        <f>IF(D1142="Chi",I1142,0)</f>
        <v>2000000</v>
      </c>
      <c r="L1142" s="6" t="e">
        <f>L1141+J1142-K1142</f>
        <v>#VALUE!</v>
      </c>
      <c r="M1142" s="6">
        <f ca="1">IFERROR(__xludf.DUMMYFUNCTION("SUM(FILTER(J:J, H:H=""Tiền mặt"")) - SUM(FILTER(K:K, H:H=""Tiền mặt""))
"),959000)</f>
        <v>959000</v>
      </c>
      <c r="N1142" s="6">
        <f ca="1">IFERROR(__xludf.DUMMYFUNCTION("SUM(FILTER(J:J, H:H=""Chuyển khoản"")) - SUM(FILTER(K:K, H:H=""Chuyển khoản""))
"),4468984)</f>
        <v>4468984</v>
      </c>
      <c r="O1142" s="5"/>
      <c r="P1142" s="5"/>
      <c r="Q1142" s="5"/>
      <c r="R1142" s="5"/>
      <c r="S1142" s="5"/>
    </row>
    <row r="1143" spans="1:19" ht="15.75" customHeight="1" x14ac:dyDescent="0.2">
      <c r="A1143" s="3">
        <v>46048</v>
      </c>
      <c r="B1143" s="4" t="str">
        <f>IF(A1143="","","PC-"&amp;TEXT(A1143,"mm/yyyy")&amp;"-"&amp;TEXT(COUNTIFS($A$2:A1143,"&gt;="&amp;EOMONTH(A1143,-1)+1,$A$2:A1143,"&lt;="&amp;EOMONTH(A1143,0)),"000"))</f>
        <v>PC-01/2026-060</v>
      </c>
      <c r="C1143" s="5" t="s">
        <v>375</v>
      </c>
      <c r="D1143" s="5" t="s">
        <v>29</v>
      </c>
      <c r="E1143" s="5" t="s">
        <v>47</v>
      </c>
      <c r="F1143" s="5"/>
      <c r="G1143" s="5" t="s">
        <v>48</v>
      </c>
      <c r="H1143" s="5" t="s">
        <v>23</v>
      </c>
      <c r="I1143" s="6">
        <v>50000</v>
      </c>
      <c r="J1143" s="6">
        <f>IF(D1143="Thu",I1143,0)</f>
        <v>0</v>
      </c>
      <c r="K1143" s="6">
        <f>IF(D1143="Chi",I1143,0)</f>
        <v>50000</v>
      </c>
      <c r="L1143" s="6" t="e">
        <f>L1142+J1143-K1143</f>
        <v>#VALUE!</v>
      </c>
      <c r="M1143" s="6">
        <f ca="1">IFERROR(__xludf.DUMMYFUNCTION("SUM(FILTER(J:J, H:H=""Tiền mặt"")) - SUM(FILTER(K:K, H:H=""Tiền mặt""))
"),959000)</f>
        <v>959000</v>
      </c>
      <c r="N1143" s="6">
        <f ca="1">IFERROR(__xludf.DUMMYFUNCTION("SUM(FILTER(J:J, H:H=""Chuyển khoản"")) - SUM(FILTER(K:K, H:H=""Chuyển khoản""))
"),4468984)</f>
        <v>4468984</v>
      </c>
      <c r="O1143" s="5"/>
      <c r="P1143" s="5"/>
      <c r="Q1143" s="5"/>
      <c r="R1143" s="5"/>
      <c r="S1143" s="5"/>
    </row>
    <row r="1144" spans="1:19" ht="15.75" customHeight="1" x14ac:dyDescent="0.2">
      <c r="A1144" s="3">
        <v>46048</v>
      </c>
      <c r="B1144" s="4" t="str">
        <f>IF(A1144="","","PC-"&amp;TEXT(A1144,"mm/yyyy")&amp;"-"&amp;TEXT(COUNTIFS($A$2:A1144,"&gt;="&amp;EOMONTH(A1144,-1)+1,$A$2:A1144,"&lt;="&amp;EOMONTH(A1144,0)),"000"))</f>
        <v>PC-01/2026-061</v>
      </c>
      <c r="C1144" s="5" t="s">
        <v>376</v>
      </c>
      <c r="D1144" s="5" t="s">
        <v>29</v>
      </c>
      <c r="E1144" s="5" t="s">
        <v>41</v>
      </c>
      <c r="F1144" s="5"/>
      <c r="G1144" s="5" t="s">
        <v>42</v>
      </c>
      <c r="H1144" s="5" t="s">
        <v>23</v>
      </c>
      <c r="I1144" s="6">
        <v>100000</v>
      </c>
      <c r="J1144" s="6">
        <f>IF(D1144="Thu",I1144,0)</f>
        <v>0</v>
      </c>
      <c r="K1144" s="6">
        <f>IF(D1144="Chi",I1144,0)</f>
        <v>100000</v>
      </c>
      <c r="L1144" s="6" t="e">
        <f>L1143+J1144-K1144</f>
        <v>#VALUE!</v>
      </c>
      <c r="M1144" s="6">
        <f ca="1">IFERROR(__xludf.DUMMYFUNCTION("SUM(FILTER(J:J, H:H=""Tiền mặt"")) - SUM(FILTER(K:K, H:H=""Tiền mặt""))
"),959000)</f>
        <v>959000</v>
      </c>
      <c r="N1144" s="6">
        <f ca="1">IFERROR(__xludf.DUMMYFUNCTION("SUM(FILTER(J:J, H:H=""Chuyển khoản"")) - SUM(FILTER(K:K, H:H=""Chuyển khoản""))
"),4468984)</f>
        <v>4468984</v>
      </c>
      <c r="O1144" s="5"/>
      <c r="P1144" s="5"/>
      <c r="Q1144" s="5"/>
      <c r="R1144" s="5"/>
      <c r="S1144" s="5"/>
    </row>
    <row r="1145" spans="1:19" ht="15.75" customHeight="1" x14ac:dyDescent="0.2">
      <c r="A1145" s="3">
        <v>46048</v>
      </c>
      <c r="B1145" s="4" t="str">
        <f>IF(A1145="","","PC-"&amp;TEXT(A1145,"mm/yyyy")&amp;"-"&amp;TEXT(COUNTIFS($A$2:A1145,"&gt;="&amp;EOMONTH(A1145,-1)+1,$A$2:A1145,"&lt;="&amp;EOMONTH(A1145,0)),"000"))</f>
        <v>PC-01/2026-062</v>
      </c>
      <c r="C1145" s="5" t="s">
        <v>377</v>
      </c>
      <c r="D1145" s="5" t="s">
        <v>29</v>
      </c>
      <c r="E1145" s="5" t="s">
        <v>44</v>
      </c>
      <c r="F1145" s="5"/>
      <c r="G1145" s="5" t="s">
        <v>103</v>
      </c>
      <c r="H1145" s="5" t="s">
        <v>23</v>
      </c>
      <c r="I1145" s="6">
        <v>1500000</v>
      </c>
      <c r="J1145" s="6">
        <f>IF(D1145="Thu",I1145,0)</f>
        <v>0</v>
      </c>
      <c r="K1145" s="6">
        <f>IF(D1145="Chi",I1145,0)</f>
        <v>1500000</v>
      </c>
      <c r="L1145" s="6" t="e">
        <f>L1144+J1145-K1145</f>
        <v>#VALUE!</v>
      </c>
      <c r="M1145" s="6">
        <f ca="1">IFERROR(__xludf.DUMMYFUNCTION("SUM(FILTER(J:J, H:H=""Tiền mặt"")) - SUM(FILTER(K:K, H:H=""Tiền mặt""))
"),959000)</f>
        <v>959000</v>
      </c>
      <c r="N1145" s="6">
        <f ca="1">IFERROR(__xludf.DUMMYFUNCTION("SUM(FILTER(J:J, H:H=""Chuyển khoản"")) - SUM(FILTER(K:K, H:H=""Chuyển khoản""))
"),4468984)</f>
        <v>4468984</v>
      </c>
      <c r="O1145" s="5"/>
      <c r="P1145" s="5"/>
      <c r="Q1145" s="5"/>
      <c r="R1145" s="5"/>
      <c r="S1145" s="5"/>
    </row>
    <row r="1146" spans="1:19" ht="15.75" customHeight="1" x14ac:dyDescent="0.2">
      <c r="A1146" s="3">
        <v>46048</v>
      </c>
      <c r="B1146" s="4" t="str">
        <f>IF(A1146="","","PC-"&amp;TEXT(A1146,"mm/yyyy")&amp;"-"&amp;TEXT(COUNTIFS($A$2:A1146,"&gt;="&amp;EOMONTH(A1146,-1)+1,$A$2:A1146,"&lt;="&amp;EOMONTH(A1146,0)),"000"))</f>
        <v>PC-01/2026-063</v>
      </c>
      <c r="C1146" s="5" t="s">
        <v>378</v>
      </c>
      <c r="D1146" s="5" t="s">
        <v>29</v>
      </c>
      <c r="E1146" s="5" t="s">
        <v>47</v>
      </c>
      <c r="F1146" s="5"/>
      <c r="G1146" s="5" t="s">
        <v>48</v>
      </c>
      <c r="H1146" s="5" t="s">
        <v>23</v>
      </c>
      <c r="I1146" s="6">
        <v>50000</v>
      </c>
      <c r="J1146" s="6">
        <f>IF(D1146="Thu",I1146,0)</f>
        <v>0</v>
      </c>
      <c r="K1146" s="6">
        <f>IF(D1146="Chi",I1146,0)</f>
        <v>50000</v>
      </c>
      <c r="L1146" s="6" t="e">
        <f>L1145+J1146-K1146</f>
        <v>#VALUE!</v>
      </c>
      <c r="M1146" s="6">
        <f ca="1">IFERROR(__xludf.DUMMYFUNCTION("SUM(FILTER(J:J, H:H=""Tiền mặt"")) - SUM(FILTER(K:K, H:H=""Tiền mặt""))
"),959000)</f>
        <v>959000</v>
      </c>
      <c r="N1146" s="6">
        <f ca="1">IFERROR(__xludf.DUMMYFUNCTION("SUM(FILTER(J:J, H:H=""Chuyển khoản"")) - SUM(FILTER(K:K, H:H=""Chuyển khoản""))
"),4468984)</f>
        <v>4468984</v>
      </c>
      <c r="O1146" s="5"/>
      <c r="P1146" s="5"/>
      <c r="Q1146" s="5"/>
      <c r="R1146" s="5"/>
      <c r="S1146" s="5"/>
    </row>
    <row r="1147" spans="1:19" ht="15.75" customHeight="1" x14ac:dyDescent="0.2">
      <c r="A1147" s="3">
        <v>46048</v>
      </c>
      <c r="B1147" s="4" t="str">
        <f>IF(A1147="","","PC-"&amp;TEXT(A1147,"mm/yyyy")&amp;"-"&amp;TEXT(COUNTIFS($A$2:A1147,"&gt;="&amp;EOMONTH(A1147,-1)+1,$A$2:A1147,"&lt;="&amp;EOMONTH(A1147,0)),"000"))</f>
        <v>PC-01/2026-064</v>
      </c>
      <c r="C1147" s="5" t="s">
        <v>379</v>
      </c>
      <c r="D1147" s="5" t="s">
        <v>29</v>
      </c>
      <c r="E1147" s="5" t="s">
        <v>41</v>
      </c>
      <c r="F1147" s="5"/>
      <c r="G1147" s="5" t="s">
        <v>82</v>
      </c>
      <c r="H1147" s="5" t="s">
        <v>23</v>
      </c>
      <c r="I1147" s="6">
        <v>200000</v>
      </c>
      <c r="J1147" s="6">
        <f>IF(D1147="Thu",I1147,0)</f>
        <v>0</v>
      </c>
      <c r="K1147" s="6">
        <f>IF(D1147="Chi",I1147,0)</f>
        <v>200000</v>
      </c>
      <c r="L1147" s="6" t="e">
        <f>L1146+J1147-K1147</f>
        <v>#VALUE!</v>
      </c>
      <c r="M1147" s="6">
        <f ca="1">IFERROR(__xludf.DUMMYFUNCTION("SUM(FILTER(J:J, H:H=""Tiền mặt"")) - SUM(FILTER(K:K, H:H=""Tiền mặt""))
"),959000)</f>
        <v>959000</v>
      </c>
      <c r="N1147" s="6">
        <f ca="1">IFERROR(__xludf.DUMMYFUNCTION("SUM(FILTER(J:J, H:H=""Chuyển khoản"")) - SUM(FILTER(K:K, H:H=""Chuyển khoản""))
"),4468984)</f>
        <v>4468984</v>
      </c>
      <c r="O1147" s="5"/>
      <c r="P1147" s="5"/>
      <c r="Q1147" s="5"/>
      <c r="R1147" s="5"/>
      <c r="S1147" s="5"/>
    </row>
    <row r="1148" spans="1:19" ht="15.75" customHeight="1" x14ac:dyDescent="0.2">
      <c r="A1148" s="3">
        <v>46048</v>
      </c>
      <c r="B1148" s="4" t="str">
        <f>IF(A1148="","","PC-"&amp;TEXT(A1148,"mm/yyyy")&amp;"-"&amp;TEXT(COUNTIFS($A$2:A1148,"&gt;="&amp;EOMONTH(A1148,-1)+1,$A$2:A1148,"&lt;="&amp;EOMONTH(A1148,0)),"000"))</f>
        <v>PC-01/2026-065</v>
      </c>
      <c r="C1148" s="5" t="s">
        <v>380</v>
      </c>
      <c r="D1148" s="5" t="s">
        <v>29</v>
      </c>
      <c r="E1148" s="5" t="s">
        <v>41</v>
      </c>
      <c r="F1148" s="5"/>
      <c r="G1148" s="5" t="s">
        <v>381</v>
      </c>
      <c r="H1148" s="5" t="s">
        <v>23</v>
      </c>
      <c r="I1148" s="6">
        <v>1000000</v>
      </c>
      <c r="J1148" s="6">
        <f>IF(D1148="Thu",I1148,0)</f>
        <v>0</v>
      </c>
      <c r="K1148" s="6">
        <f>IF(D1148="Chi",I1148,0)</f>
        <v>1000000</v>
      </c>
      <c r="L1148" s="6" t="e">
        <f>L1147+J1148-K1148</f>
        <v>#VALUE!</v>
      </c>
      <c r="M1148" s="6">
        <f ca="1">IFERROR(__xludf.DUMMYFUNCTION("SUM(FILTER(J:J, H:H=""Tiền mặt"")) - SUM(FILTER(K:K, H:H=""Tiền mặt""))
"),959000)</f>
        <v>959000</v>
      </c>
      <c r="N1148" s="6">
        <f ca="1">IFERROR(__xludf.DUMMYFUNCTION("SUM(FILTER(J:J, H:H=""Chuyển khoản"")) - SUM(FILTER(K:K, H:H=""Chuyển khoản""))
"),4468984)</f>
        <v>4468984</v>
      </c>
      <c r="O1148" s="5"/>
      <c r="P1148" s="5"/>
      <c r="Q1148" s="5"/>
      <c r="R1148" s="5"/>
      <c r="S1148" s="5"/>
    </row>
    <row r="1149" spans="1:19" ht="15.75" customHeight="1" x14ac:dyDescent="0.2">
      <c r="A1149" s="3">
        <v>46048</v>
      </c>
      <c r="B1149" s="4" t="str">
        <f>IF(A1149="","","PC-"&amp;TEXT(A1149,"mm/yyyy")&amp;"-"&amp;TEXT(COUNTIFS($A$2:A1149,"&gt;="&amp;EOMONTH(A1149,-1)+1,$A$2:A1149,"&lt;="&amp;EOMONTH(A1149,0)),"000"))</f>
        <v>PC-01/2026-066</v>
      </c>
      <c r="C1149" s="5" t="s">
        <v>382</v>
      </c>
      <c r="D1149" s="5" t="s">
        <v>29</v>
      </c>
      <c r="E1149" s="5" t="s">
        <v>47</v>
      </c>
      <c r="F1149" s="5"/>
      <c r="G1149" s="5" t="s">
        <v>48</v>
      </c>
      <c r="H1149" s="5" t="s">
        <v>23</v>
      </c>
      <c r="I1149" s="6">
        <v>50000</v>
      </c>
      <c r="J1149" s="6">
        <f>IF(D1149="Thu",I1149,0)</f>
        <v>0</v>
      </c>
      <c r="K1149" s="6">
        <f>IF(D1149="Chi",I1149,0)</f>
        <v>50000</v>
      </c>
      <c r="L1149" s="6" t="e">
        <f>L1148+J1149-K1149</f>
        <v>#VALUE!</v>
      </c>
      <c r="M1149" s="6">
        <f ca="1">IFERROR(__xludf.DUMMYFUNCTION("SUM(FILTER(J:J, H:H=""Tiền mặt"")) - SUM(FILTER(K:K, H:H=""Tiền mặt""))
"),959000)</f>
        <v>959000</v>
      </c>
      <c r="N1149" s="6">
        <f ca="1">IFERROR(__xludf.DUMMYFUNCTION("SUM(FILTER(J:J, H:H=""Chuyển khoản"")) - SUM(FILTER(K:K, H:H=""Chuyển khoản""))
"),4468984)</f>
        <v>4468984</v>
      </c>
      <c r="O1149" s="5"/>
      <c r="P1149" s="5"/>
      <c r="Q1149" s="5"/>
      <c r="R1149" s="5"/>
      <c r="S1149" s="5"/>
    </row>
    <row r="1150" spans="1:19" ht="15.75" customHeight="1" x14ac:dyDescent="0.2">
      <c r="A1150" s="3">
        <v>46048</v>
      </c>
      <c r="B1150" s="4" t="str">
        <f>IF(A1150="","","PC-"&amp;TEXT(A1150,"mm/yyyy")&amp;"-"&amp;TEXT(COUNTIFS($A$2:A1150,"&gt;="&amp;EOMONTH(A1150,-1)+1,$A$2:A1150,"&lt;="&amp;EOMONTH(A1150,0)),"000"))</f>
        <v>PC-01/2026-067</v>
      </c>
      <c r="C1150" s="5" t="s">
        <v>383</v>
      </c>
      <c r="D1150" s="5" t="s">
        <v>29</v>
      </c>
      <c r="E1150" s="5" t="s">
        <v>36</v>
      </c>
      <c r="F1150" s="5"/>
      <c r="G1150" s="5" t="s">
        <v>72</v>
      </c>
      <c r="H1150" s="5" t="s">
        <v>27</v>
      </c>
      <c r="I1150" s="6">
        <v>125000</v>
      </c>
      <c r="J1150" s="6">
        <f>IF(D1150="Thu",I1150,0)</f>
        <v>0</v>
      </c>
      <c r="K1150" s="6">
        <f>IF(D1150="Chi",I1150,0)</f>
        <v>125000</v>
      </c>
      <c r="L1150" s="6" t="e">
        <f>L1149+J1150-K1150</f>
        <v>#VALUE!</v>
      </c>
      <c r="M1150" s="6">
        <f ca="1">IFERROR(__xludf.DUMMYFUNCTION("SUM(FILTER(J:J, H:H=""Tiền mặt"")) - SUM(FILTER(K:K, H:H=""Tiền mặt""))
"),959000)</f>
        <v>959000</v>
      </c>
      <c r="N1150" s="6">
        <f ca="1">IFERROR(__xludf.DUMMYFUNCTION("SUM(FILTER(J:J, H:H=""Chuyển khoản"")) - SUM(FILTER(K:K, H:H=""Chuyển khoản""))
"),4468984)</f>
        <v>4468984</v>
      </c>
      <c r="O1150" s="5"/>
      <c r="P1150" s="5"/>
      <c r="Q1150" s="5"/>
      <c r="R1150" s="5"/>
      <c r="S1150" s="5"/>
    </row>
    <row r="1151" spans="1:19" ht="15.75" customHeight="1" x14ac:dyDescent="0.2">
      <c r="A1151" s="3">
        <v>46048</v>
      </c>
      <c r="B1151" s="4" t="str">
        <f>IF(A1151="","","PC-"&amp;TEXT(A1151,"mm/yyyy")&amp;"-"&amp;TEXT(COUNTIFS($A$2:A1151,"&gt;="&amp;EOMONTH(A1151,-1)+1,$A$2:A1151,"&lt;="&amp;EOMONTH(A1151,0)),"000"))</f>
        <v>PC-01/2026-068</v>
      </c>
      <c r="C1151" s="5" t="s">
        <v>384</v>
      </c>
      <c r="D1151" s="5" t="s">
        <v>20</v>
      </c>
      <c r="E1151" s="5" t="s">
        <v>21</v>
      </c>
      <c r="F1151" s="5"/>
      <c r="G1151" s="5" t="s">
        <v>22</v>
      </c>
      <c r="H1151" s="5" t="s">
        <v>27</v>
      </c>
      <c r="I1151" s="6">
        <v>10000000</v>
      </c>
      <c r="J1151" s="6">
        <f>IF(D1151="Thu",I1151,0)</f>
        <v>10000000</v>
      </c>
      <c r="K1151" s="6">
        <f>IF(D1151="Chi",I1151,0)</f>
        <v>0</v>
      </c>
      <c r="L1151" s="6" t="e">
        <f>L1150+J1151-K1151</f>
        <v>#VALUE!</v>
      </c>
      <c r="M1151" s="6">
        <f ca="1">IFERROR(__xludf.DUMMYFUNCTION("SUM(FILTER(J:J, H:H=""Tiền mặt"")) - SUM(FILTER(K:K, H:H=""Tiền mặt""))
"),959000)</f>
        <v>959000</v>
      </c>
      <c r="N1151" s="6">
        <f ca="1">IFERROR(__xludf.DUMMYFUNCTION("SUM(FILTER(J:J, H:H=""Chuyển khoản"")) - SUM(FILTER(K:K, H:H=""Chuyển khoản""))
"),4468984)</f>
        <v>4468984</v>
      </c>
      <c r="O1151" s="5"/>
      <c r="P1151" s="5"/>
      <c r="Q1151" s="5"/>
      <c r="R1151" s="5"/>
      <c r="S1151" s="5"/>
    </row>
    <row r="1152" spans="1:19" ht="15.75" customHeight="1" x14ac:dyDescent="0.2">
      <c r="A1152" s="3">
        <v>46048</v>
      </c>
      <c r="B1152" s="4" t="str">
        <f>IF(A1152="","","PC-"&amp;TEXT(A1152,"mm/yyyy")&amp;"-"&amp;TEXT(COUNTIFS($A$2:A1152,"&gt;="&amp;EOMONTH(A1152,-1)+1,$A$2:A1152,"&lt;="&amp;EOMONTH(A1152,0)),"000"))</f>
        <v>PC-01/2026-069</v>
      </c>
      <c r="C1152" s="5" t="s">
        <v>385</v>
      </c>
      <c r="D1152" s="5" t="s">
        <v>29</v>
      </c>
      <c r="E1152" s="5" t="s">
        <v>71</v>
      </c>
      <c r="F1152" s="5"/>
      <c r="G1152" s="5" t="s">
        <v>122</v>
      </c>
      <c r="H1152" s="5" t="s">
        <v>27</v>
      </c>
      <c r="I1152" s="6">
        <v>107000</v>
      </c>
      <c r="J1152" s="6">
        <f>IF(D1152="Thu",I1152,0)</f>
        <v>0</v>
      </c>
      <c r="K1152" s="6">
        <f>IF(D1152="Chi",I1152,0)</f>
        <v>107000</v>
      </c>
      <c r="L1152" s="6" t="e">
        <f>L1151+J1152-K1152</f>
        <v>#VALUE!</v>
      </c>
      <c r="M1152" s="6">
        <f ca="1">IFERROR(__xludf.DUMMYFUNCTION("SUM(FILTER(J:J, H:H=""Tiền mặt"")) - SUM(FILTER(K:K, H:H=""Tiền mặt""))
"),959000)</f>
        <v>959000</v>
      </c>
      <c r="N1152" s="6">
        <f ca="1">IFERROR(__xludf.DUMMYFUNCTION("SUM(FILTER(J:J, H:H=""Chuyển khoản"")) - SUM(FILTER(K:K, H:H=""Chuyển khoản""))
"),4468984)</f>
        <v>4468984</v>
      </c>
      <c r="O1152" s="5"/>
      <c r="P1152" s="5"/>
      <c r="Q1152" s="5"/>
      <c r="R1152" s="5"/>
      <c r="S1152" s="5"/>
    </row>
    <row r="1153" spans="1:19" ht="15.75" customHeight="1" x14ac:dyDescent="0.2">
      <c r="A1153" s="3">
        <v>46048</v>
      </c>
      <c r="B1153" s="4" t="str">
        <f>IF(A1153="","","PC-"&amp;TEXT(A1153,"mm/yyyy")&amp;"-"&amp;TEXT(COUNTIFS($A$2:A1153,"&gt;="&amp;EOMONTH(A1153,-1)+1,$A$2:A1153,"&lt;="&amp;EOMONTH(A1153,0)),"000"))</f>
        <v>PC-01/2026-070</v>
      </c>
      <c r="C1153" s="5" t="s">
        <v>386</v>
      </c>
      <c r="D1153" s="5" t="s">
        <v>29</v>
      </c>
      <c r="E1153" s="5" t="s">
        <v>44</v>
      </c>
      <c r="F1153" s="5"/>
      <c r="G1153" s="5" t="s">
        <v>387</v>
      </c>
      <c r="H1153" s="5" t="s">
        <v>23</v>
      </c>
      <c r="I1153" s="6">
        <v>1500000</v>
      </c>
      <c r="J1153" s="6">
        <f>IF(D1153="Thu",I1153,0)</f>
        <v>0</v>
      </c>
      <c r="K1153" s="6">
        <f>IF(D1153="Chi",I1153,0)</f>
        <v>1500000</v>
      </c>
      <c r="L1153" s="6" t="e">
        <f>L1152+J1153-K1153</f>
        <v>#VALUE!</v>
      </c>
      <c r="M1153" s="6">
        <f ca="1">IFERROR(__xludf.DUMMYFUNCTION("SUM(FILTER(J:J, H:H=""Tiền mặt"")) - SUM(FILTER(K:K, H:H=""Tiền mặt""))
"),959000)</f>
        <v>959000</v>
      </c>
      <c r="N1153" s="6">
        <f ca="1">IFERROR(__xludf.DUMMYFUNCTION("SUM(FILTER(J:J, H:H=""Chuyển khoản"")) - SUM(FILTER(K:K, H:H=""Chuyển khoản""))
"),4468984)</f>
        <v>4468984</v>
      </c>
      <c r="O1153" s="5"/>
      <c r="P1153" s="5"/>
      <c r="Q1153" s="5"/>
      <c r="R1153" s="5"/>
      <c r="S1153" s="5"/>
    </row>
    <row r="1154" spans="1:19" ht="15.75" customHeight="1" x14ac:dyDescent="0.2">
      <c r="A1154" s="3">
        <v>46048</v>
      </c>
      <c r="B1154" s="4" t="str">
        <f>IF(A1154="","","PC-"&amp;TEXT(A1154,"mm/yyyy")&amp;"-"&amp;TEXT(COUNTIFS($A$2:A1154,"&gt;="&amp;EOMONTH(A1154,-1)+1,$A$2:A1154,"&lt;="&amp;EOMONTH(A1154,0)),"000"))</f>
        <v>PC-01/2026-071</v>
      </c>
      <c r="C1154" s="5" t="s">
        <v>388</v>
      </c>
      <c r="D1154" s="5" t="s">
        <v>29</v>
      </c>
      <c r="E1154" s="5" t="s">
        <v>47</v>
      </c>
      <c r="F1154" s="5"/>
      <c r="G1154" s="5" t="s">
        <v>48</v>
      </c>
      <c r="H1154" s="5" t="s">
        <v>23</v>
      </c>
      <c r="I1154" s="6">
        <v>50000</v>
      </c>
      <c r="J1154" s="6">
        <f>IF(D1154="Thu",I1154,0)</f>
        <v>0</v>
      </c>
      <c r="K1154" s="6">
        <f>IF(D1154="Chi",I1154,0)</f>
        <v>50000</v>
      </c>
      <c r="L1154" s="6" t="e">
        <f>L1153+J1154-K1154</f>
        <v>#VALUE!</v>
      </c>
      <c r="M1154" s="6">
        <f ca="1">IFERROR(__xludf.DUMMYFUNCTION("SUM(FILTER(J:J, H:H=""Tiền mặt"")) - SUM(FILTER(K:K, H:H=""Tiền mặt""))
"),959000)</f>
        <v>959000</v>
      </c>
      <c r="N1154" s="6">
        <f ca="1">IFERROR(__xludf.DUMMYFUNCTION("SUM(FILTER(J:J, H:H=""Chuyển khoản"")) - SUM(FILTER(K:K, H:H=""Chuyển khoản""))
"),4468984)</f>
        <v>4468984</v>
      </c>
      <c r="O1154" s="5"/>
      <c r="P1154" s="5"/>
      <c r="Q1154" s="5"/>
      <c r="R1154" s="5"/>
      <c r="S1154" s="5"/>
    </row>
    <row r="1155" spans="1:19" ht="15.75" customHeight="1" x14ac:dyDescent="0.2">
      <c r="A1155" s="3">
        <v>46048</v>
      </c>
      <c r="B1155" s="4" t="str">
        <f>IF(A1155="","","PC-"&amp;TEXT(A1155,"mm/yyyy")&amp;"-"&amp;TEXT(COUNTIFS($A$2:A1155,"&gt;="&amp;EOMONTH(A1155,-1)+1,$A$2:A1155,"&lt;="&amp;EOMONTH(A1155,0)),"000"))</f>
        <v>PC-01/2026-072</v>
      </c>
      <c r="C1155" s="5" t="s">
        <v>389</v>
      </c>
      <c r="D1155" s="5" t="s">
        <v>29</v>
      </c>
      <c r="E1155" s="5" t="s">
        <v>41</v>
      </c>
      <c r="F1155" s="5"/>
      <c r="G1155" s="5" t="s">
        <v>42</v>
      </c>
      <c r="H1155" s="5" t="s">
        <v>23</v>
      </c>
      <c r="I1155" s="6">
        <v>100000</v>
      </c>
      <c r="J1155" s="6">
        <f>IF(D1155="Thu",I1155,0)</f>
        <v>0</v>
      </c>
      <c r="K1155" s="6">
        <f>IF(D1155="Chi",I1155,0)</f>
        <v>100000</v>
      </c>
      <c r="L1155" s="6" t="e">
        <f>L1154+J1155-K1155</f>
        <v>#VALUE!</v>
      </c>
      <c r="M1155" s="6">
        <f ca="1">IFERROR(__xludf.DUMMYFUNCTION("SUM(FILTER(J:J, H:H=""Tiền mặt"")) - SUM(FILTER(K:K, H:H=""Tiền mặt""))
"),959000)</f>
        <v>959000</v>
      </c>
      <c r="N1155" s="6">
        <f ca="1">IFERROR(__xludf.DUMMYFUNCTION("SUM(FILTER(J:J, H:H=""Chuyển khoản"")) - SUM(FILTER(K:K, H:H=""Chuyển khoản""))
"),4468984)</f>
        <v>4468984</v>
      </c>
      <c r="O1155" s="5"/>
      <c r="P1155" s="5"/>
      <c r="Q1155" s="5"/>
      <c r="R1155" s="5"/>
      <c r="S1155" s="5"/>
    </row>
    <row r="1156" spans="1:19" ht="15.75" customHeight="1" x14ac:dyDescent="0.2">
      <c r="A1156" s="3">
        <v>46048</v>
      </c>
      <c r="B1156" s="4" t="str">
        <f>IF(A1156="","","PC-"&amp;TEXT(A1156,"mm/yyyy")&amp;"-"&amp;TEXT(COUNTIFS($A$2:A1156,"&gt;="&amp;EOMONTH(A1156,-1)+1,$A$2:A1156,"&lt;="&amp;EOMONTH(A1156,0)),"000"))</f>
        <v>PC-01/2026-073</v>
      </c>
      <c r="C1156" s="5" t="s">
        <v>390</v>
      </c>
      <c r="D1156" s="5" t="s">
        <v>29</v>
      </c>
      <c r="E1156" s="5" t="s">
        <v>41</v>
      </c>
      <c r="F1156" s="5"/>
      <c r="G1156" s="5" t="s">
        <v>82</v>
      </c>
      <c r="H1156" s="5" t="s">
        <v>23</v>
      </c>
      <c r="I1156" s="6">
        <v>100000</v>
      </c>
      <c r="J1156" s="6">
        <f>IF(D1156="Thu",I1156,0)</f>
        <v>0</v>
      </c>
      <c r="K1156" s="6">
        <f>IF(D1156="Chi",I1156,0)</f>
        <v>100000</v>
      </c>
      <c r="L1156" s="6" t="e">
        <f>L1155+J1156-K1156</f>
        <v>#VALUE!</v>
      </c>
      <c r="M1156" s="6">
        <f ca="1">IFERROR(__xludf.DUMMYFUNCTION("SUM(FILTER(J:J, H:H=""Tiền mặt"")) - SUM(FILTER(K:K, H:H=""Tiền mặt""))
"),959000)</f>
        <v>959000</v>
      </c>
      <c r="N1156" s="6">
        <f ca="1">IFERROR(__xludf.DUMMYFUNCTION("SUM(FILTER(J:J, H:H=""Chuyển khoản"")) - SUM(FILTER(K:K, H:H=""Chuyển khoản""))
"),4468984)</f>
        <v>4468984</v>
      </c>
      <c r="O1156" s="5"/>
      <c r="P1156" s="5"/>
      <c r="Q1156" s="5"/>
      <c r="R1156" s="5"/>
      <c r="S1156" s="5"/>
    </row>
    <row r="1157" spans="1:19" ht="15.75" customHeight="1" x14ac:dyDescent="0.2">
      <c r="A1157" s="3">
        <v>46048</v>
      </c>
      <c r="B1157" s="4" t="str">
        <f>IF(A1157="","","PC-"&amp;TEXT(A1157,"mm/yyyy")&amp;"-"&amp;TEXT(COUNTIFS($A$2:A1157,"&gt;="&amp;EOMONTH(A1157,-1)+1,$A$2:A1157,"&lt;="&amp;EOMONTH(A1157,0)),"000"))</f>
        <v>PC-01/2026-074</v>
      </c>
      <c r="C1157" s="5" t="s">
        <v>391</v>
      </c>
      <c r="D1157" s="5" t="s">
        <v>29</v>
      </c>
      <c r="E1157" s="5" t="s">
        <v>88</v>
      </c>
      <c r="F1157" s="5"/>
      <c r="G1157" s="5" t="s">
        <v>392</v>
      </c>
      <c r="H1157" s="5" t="s">
        <v>23</v>
      </c>
      <c r="I1157" s="6">
        <v>300000</v>
      </c>
      <c r="J1157" s="6">
        <f>IF(D1157="Thu",I1157,0)</f>
        <v>0</v>
      </c>
      <c r="K1157" s="6">
        <f>IF(D1157="Chi",I1157,0)</f>
        <v>300000</v>
      </c>
      <c r="L1157" s="6" t="e">
        <f>L1156+J1157-K1157</f>
        <v>#VALUE!</v>
      </c>
      <c r="M1157" s="6">
        <f ca="1">IFERROR(__xludf.DUMMYFUNCTION("SUM(FILTER(J:J, H:H=""Tiền mặt"")) - SUM(FILTER(K:K, H:H=""Tiền mặt""))
"),959000)</f>
        <v>959000</v>
      </c>
      <c r="N1157" s="6">
        <f ca="1">IFERROR(__xludf.DUMMYFUNCTION("SUM(FILTER(J:J, H:H=""Chuyển khoản"")) - SUM(FILTER(K:K, H:H=""Chuyển khoản""))
"),4468984)</f>
        <v>4468984</v>
      </c>
      <c r="O1157" s="5"/>
      <c r="P1157" s="5"/>
      <c r="Q1157" s="5"/>
      <c r="R1157" s="5"/>
      <c r="S1157" s="5"/>
    </row>
    <row r="1158" spans="1:19" ht="15.75" customHeight="1" x14ac:dyDescent="0.2">
      <c r="A1158" s="3">
        <v>46048</v>
      </c>
      <c r="B1158" s="4" t="str">
        <f>IF(A1158="","","PC-"&amp;TEXT(A1158,"mm/yyyy")&amp;"-"&amp;TEXT(COUNTIFS($A$2:A1158,"&gt;="&amp;EOMONTH(A1158,-1)+1,$A$2:A1158,"&lt;="&amp;EOMONTH(A1158,0)),"000"))</f>
        <v>PC-01/2026-075</v>
      </c>
      <c r="C1158" s="5" t="s">
        <v>393</v>
      </c>
      <c r="D1158" s="5" t="s">
        <v>29</v>
      </c>
      <c r="E1158" s="5" t="s">
        <v>44</v>
      </c>
      <c r="F1158" s="5"/>
      <c r="G1158" s="5" t="s">
        <v>99</v>
      </c>
      <c r="H1158" s="5" t="s">
        <v>23</v>
      </c>
      <c r="I1158" s="6">
        <v>2000000</v>
      </c>
      <c r="J1158" s="6">
        <f>IF(D1158="Thu",I1158,0)</f>
        <v>0</v>
      </c>
      <c r="K1158" s="6">
        <f>IF(D1158="Chi",I1158,0)</f>
        <v>2000000</v>
      </c>
      <c r="L1158" s="6" t="e">
        <f>L1157+J1158-K1158</f>
        <v>#VALUE!</v>
      </c>
      <c r="M1158" s="6">
        <f ca="1">IFERROR(__xludf.DUMMYFUNCTION("SUM(FILTER(J:J, H:H=""Tiền mặt"")) - SUM(FILTER(K:K, H:H=""Tiền mặt""))
"),959000)</f>
        <v>959000</v>
      </c>
      <c r="N1158" s="6">
        <f ca="1">IFERROR(__xludf.DUMMYFUNCTION("SUM(FILTER(J:J, H:H=""Chuyển khoản"")) - SUM(FILTER(K:K, H:H=""Chuyển khoản""))
"),4468984)</f>
        <v>4468984</v>
      </c>
      <c r="O1158" s="5"/>
      <c r="P1158" s="5"/>
      <c r="Q1158" s="5"/>
      <c r="R1158" s="5"/>
      <c r="S1158" s="5"/>
    </row>
    <row r="1159" spans="1:19" ht="15.75" customHeight="1" x14ac:dyDescent="0.2">
      <c r="A1159" s="3">
        <v>46048</v>
      </c>
      <c r="B1159" s="4" t="str">
        <f>IF(A1159="","","PC-"&amp;TEXT(A1159,"mm/yyyy")&amp;"-"&amp;TEXT(COUNTIFS($A$2:A1159,"&gt;="&amp;EOMONTH(A1159,-1)+1,$A$2:A1159,"&lt;="&amp;EOMONTH(A1159,0)),"000"))</f>
        <v>PC-01/2026-076</v>
      </c>
      <c r="C1159" s="5" t="s">
        <v>394</v>
      </c>
      <c r="D1159" s="5" t="s">
        <v>29</v>
      </c>
      <c r="E1159" s="5" t="s">
        <v>41</v>
      </c>
      <c r="F1159" s="5"/>
      <c r="G1159" s="5" t="s">
        <v>42</v>
      </c>
      <c r="H1159" s="5" t="s">
        <v>23</v>
      </c>
      <c r="I1159" s="6">
        <v>100000</v>
      </c>
      <c r="J1159" s="6">
        <f>IF(D1159="Thu",I1159,0)</f>
        <v>0</v>
      </c>
      <c r="K1159" s="6">
        <f>IF(D1159="Chi",I1159,0)</f>
        <v>100000</v>
      </c>
      <c r="L1159" s="6" t="e">
        <f>L1158+J1159-K1159</f>
        <v>#VALUE!</v>
      </c>
      <c r="M1159" s="6">
        <f ca="1">IFERROR(__xludf.DUMMYFUNCTION("SUM(FILTER(J:J, H:H=""Tiền mặt"")) - SUM(FILTER(K:K, H:H=""Tiền mặt""))
"),959000)</f>
        <v>959000</v>
      </c>
      <c r="N1159" s="6">
        <f ca="1">IFERROR(__xludf.DUMMYFUNCTION("SUM(FILTER(J:J, H:H=""Chuyển khoản"")) - SUM(FILTER(K:K, H:H=""Chuyển khoản""))
"),4468984)</f>
        <v>4468984</v>
      </c>
      <c r="O1159" s="5"/>
      <c r="P1159" s="5"/>
      <c r="Q1159" s="5"/>
      <c r="R1159" s="5"/>
      <c r="S1159" s="5"/>
    </row>
    <row r="1160" spans="1:19" ht="15.75" customHeight="1" x14ac:dyDescent="0.2">
      <c r="A1160" s="3">
        <v>46048</v>
      </c>
      <c r="B1160" s="4" t="str">
        <f>IF(A1160="","","PC-"&amp;TEXT(A1160,"mm/yyyy")&amp;"-"&amp;TEXT(COUNTIFS($A$2:A1160,"&gt;="&amp;EOMONTH(A1160,-1)+1,$A$2:A1160,"&lt;="&amp;EOMONTH(A1160,0)),"000"))</f>
        <v>PC-01/2026-077</v>
      </c>
      <c r="C1160" s="5" t="s">
        <v>395</v>
      </c>
      <c r="D1160" s="5" t="s">
        <v>29</v>
      </c>
      <c r="E1160" s="5" t="s">
        <v>88</v>
      </c>
      <c r="F1160" s="5"/>
      <c r="G1160" s="5" t="s">
        <v>392</v>
      </c>
      <c r="H1160" s="5" t="s">
        <v>23</v>
      </c>
      <c r="I1160" s="6">
        <v>300000</v>
      </c>
      <c r="J1160" s="6">
        <f>IF(D1160="Thu",I1160,0)</f>
        <v>0</v>
      </c>
      <c r="K1160" s="6">
        <f>IF(D1160="Chi",I1160,0)</f>
        <v>300000</v>
      </c>
      <c r="L1160" s="6" t="e">
        <f>L1159+J1160-K1160</f>
        <v>#VALUE!</v>
      </c>
      <c r="M1160" s="6">
        <f ca="1">IFERROR(__xludf.DUMMYFUNCTION("SUM(FILTER(J:J, H:H=""Tiền mặt"")) - SUM(FILTER(K:K, H:H=""Tiền mặt""))
"),959000)</f>
        <v>959000</v>
      </c>
      <c r="N1160" s="6">
        <f ca="1">IFERROR(__xludf.DUMMYFUNCTION("SUM(FILTER(J:J, H:H=""Chuyển khoản"")) - SUM(FILTER(K:K, H:H=""Chuyển khoản""))
"),4468984)</f>
        <v>4468984</v>
      </c>
      <c r="O1160" s="5"/>
      <c r="P1160" s="5"/>
      <c r="Q1160" s="5"/>
      <c r="R1160" s="5"/>
      <c r="S1160" s="5"/>
    </row>
    <row r="1161" spans="1:19" ht="15.75" customHeight="1" x14ac:dyDescent="0.2">
      <c r="A1161" s="3">
        <v>46048</v>
      </c>
      <c r="B1161" s="4" t="str">
        <f>IF(A1161="","","PC-"&amp;TEXT(A1161,"mm/yyyy")&amp;"-"&amp;TEXT(COUNTIFS($A$2:A1161,"&gt;="&amp;EOMONTH(A1161,-1)+1,$A$2:A1161,"&lt;="&amp;EOMONTH(A1161,0)),"000"))</f>
        <v>PC-01/2026-078</v>
      </c>
      <c r="C1161" s="5" t="s">
        <v>396</v>
      </c>
      <c r="D1161" s="5" t="s">
        <v>29</v>
      </c>
      <c r="E1161" s="5" t="s">
        <v>71</v>
      </c>
      <c r="F1161" s="5"/>
      <c r="G1161" s="5" t="s">
        <v>219</v>
      </c>
      <c r="H1161" s="5" t="s">
        <v>27</v>
      </c>
      <c r="I1161" s="6">
        <v>75000</v>
      </c>
      <c r="J1161" s="6">
        <f>IF(D1161="Thu",I1161,0)</f>
        <v>0</v>
      </c>
      <c r="K1161" s="6">
        <f>IF(D1161="Chi",I1161,0)</f>
        <v>75000</v>
      </c>
      <c r="L1161" s="6" t="e">
        <f>L1160+J1161-K1161</f>
        <v>#VALUE!</v>
      </c>
      <c r="M1161" s="6">
        <f ca="1">IFERROR(__xludf.DUMMYFUNCTION("SUM(FILTER(J:J, H:H=""Tiền mặt"")) - SUM(FILTER(K:K, H:H=""Tiền mặt""))
"),959000)</f>
        <v>959000</v>
      </c>
      <c r="N1161" s="6">
        <f ca="1">IFERROR(__xludf.DUMMYFUNCTION("SUM(FILTER(J:J, H:H=""Chuyển khoản"")) - SUM(FILTER(K:K, H:H=""Chuyển khoản""))
"),4468984)</f>
        <v>4468984</v>
      </c>
      <c r="O1161" s="5"/>
      <c r="P1161" s="5"/>
      <c r="Q1161" s="5"/>
      <c r="R1161" s="5"/>
      <c r="S1161" s="5"/>
    </row>
    <row r="1162" spans="1:19" ht="15.75" customHeight="1" x14ac:dyDescent="0.2">
      <c r="A1162" s="3">
        <v>46048</v>
      </c>
      <c r="B1162" s="4" t="str">
        <f>IF(A1162="","","PC-"&amp;TEXT(A1162,"mm/yyyy")&amp;"-"&amp;TEXT(COUNTIFS($A$2:A1162,"&gt;="&amp;EOMONTH(A1162,-1)+1,$A$2:A1162,"&lt;="&amp;EOMONTH(A1162,0)),"000"))</f>
        <v>PC-01/2026-079</v>
      </c>
      <c r="C1162" s="7" t="s">
        <v>397</v>
      </c>
      <c r="D1162" s="5" t="s">
        <v>29</v>
      </c>
      <c r="E1162" s="5" t="s">
        <v>41</v>
      </c>
      <c r="F1162" s="5"/>
      <c r="G1162" s="5" t="s">
        <v>82</v>
      </c>
      <c r="H1162" s="5" t="s">
        <v>23</v>
      </c>
      <c r="I1162" s="6">
        <v>100000</v>
      </c>
      <c r="J1162" s="6">
        <f>IF(D1162="Thu",I1162,0)</f>
        <v>0</v>
      </c>
      <c r="K1162" s="6">
        <f>IF(D1162="Chi",I1162,0)</f>
        <v>100000</v>
      </c>
      <c r="L1162" s="6" t="e">
        <f>L1161+J1162-K1162</f>
        <v>#VALUE!</v>
      </c>
      <c r="M1162" s="6">
        <f ca="1">IFERROR(__xludf.DUMMYFUNCTION("SUM(FILTER(J:J, H:H=""Tiền mặt"")) - SUM(FILTER(K:K, H:H=""Tiền mặt""))
"),959000)</f>
        <v>959000</v>
      </c>
      <c r="N1162" s="6">
        <f ca="1">IFERROR(__xludf.DUMMYFUNCTION("SUM(FILTER(J:J, H:H=""Chuyển khoản"")) - SUM(FILTER(K:K, H:H=""Chuyển khoản""))
"),4468984)</f>
        <v>4468984</v>
      </c>
      <c r="O1162" s="5"/>
      <c r="P1162" s="5"/>
      <c r="Q1162" s="5"/>
      <c r="R1162" s="5"/>
      <c r="S1162" s="5"/>
    </row>
    <row r="1163" spans="1:19" ht="15.75" customHeight="1" x14ac:dyDescent="0.2">
      <c r="A1163" s="3">
        <v>46048</v>
      </c>
      <c r="B1163" s="4" t="str">
        <f>IF(A1163="","","PC-"&amp;TEXT(A1163,"mm/yyyy")&amp;"-"&amp;TEXT(COUNTIFS($A$2:A1163,"&gt;="&amp;EOMONTH(A1163,-1)+1,$A$2:A1163,"&lt;="&amp;EOMONTH(A1163,0)),"000"))</f>
        <v>PC-01/2026-080</v>
      </c>
      <c r="C1163" s="5" t="s">
        <v>398</v>
      </c>
      <c r="D1163" s="5" t="s">
        <v>29</v>
      </c>
      <c r="E1163" s="5" t="s">
        <v>141</v>
      </c>
      <c r="F1163" s="5"/>
      <c r="G1163" s="5" t="s">
        <v>52</v>
      </c>
      <c r="H1163" s="5" t="s">
        <v>27</v>
      </c>
      <c r="I1163" s="6">
        <v>1679000</v>
      </c>
      <c r="J1163" s="6">
        <f>IF(D1163="Thu",I1163,0)</f>
        <v>0</v>
      </c>
      <c r="K1163" s="6">
        <f>IF(D1163="Chi",I1163,0)</f>
        <v>1679000</v>
      </c>
      <c r="L1163" s="6" t="e">
        <f>L1162+J1163-K1163</f>
        <v>#VALUE!</v>
      </c>
      <c r="M1163" s="6">
        <f ca="1">IFERROR(__xludf.DUMMYFUNCTION("SUM(FILTER(J:J, H:H=""Tiền mặt"")) - SUM(FILTER(K:K, H:H=""Tiền mặt""))
"),959000)</f>
        <v>959000</v>
      </c>
      <c r="N1163" s="6">
        <f ca="1">IFERROR(__xludf.DUMMYFUNCTION("SUM(FILTER(J:J, H:H=""Chuyển khoản"")) - SUM(FILTER(K:K, H:H=""Chuyển khoản""))
"),4468984)</f>
        <v>4468984</v>
      </c>
      <c r="O1163" s="5"/>
      <c r="P1163" s="5"/>
      <c r="Q1163" s="5"/>
      <c r="R1163" s="5"/>
      <c r="S1163" s="5"/>
    </row>
    <row r="1164" spans="1:19" ht="15.75" customHeight="1" x14ac:dyDescent="0.2">
      <c r="A1164" s="3">
        <v>46048</v>
      </c>
      <c r="B1164" s="4" t="str">
        <f>IF(A1164="","","PC-"&amp;TEXT(A1164,"mm/yyyy")&amp;"-"&amp;TEXT(COUNTIFS($A$2:A1164,"&gt;="&amp;EOMONTH(A1164,-1)+1,$A$2:A1164,"&lt;="&amp;EOMONTH(A1164,0)),"000"))</f>
        <v>PC-01/2026-081</v>
      </c>
      <c r="C1164" s="5" t="s">
        <v>399</v>
      </c>
      <c r="D1164" s="5" t="s">
        <v>29</v>
      </c>
      <c r="E1164" s="5" t="s">
        <v>41</v>
      </c>
      <c r="F1164" s="5"/>
      <c r="G1164" s="5" t="s">
        <v>82</v>
      </c>
      <c r="H1164" s="5" t="s">
        <v>23</v>
      </c>
      <c r="I1164" s="6">
        <v>100000</v>
      </c>
      <c r="J1164" s="6">
        <f>IF(D1164="Thu",I1164,0)</f>
        <v>0</v>
      </c>
      <c r="K1164" s="6">
        <f>IF(D1164="Chi",I1164,0)</f>
        <v>100000</v>
      </c>
      <c r="L1164" s="6" t="e">
        <f>L1163+J1164-K1164</f>
        <v>#VALUE!</v>
      </c>
      <c r="M1164" s="6">
        <f ca="1">IFERROR(__xludf.DUMMYFUNCTION("SUM(FILTER(J:J, H:H=""Tiền mặt"")) - SUM(FILTER(K:K, H:H=""Tiền mặt""))
"),959000)</f>
        <v>959000</v>
      </c>
      <c r="N1164" s="6">
        <f ca="1">IFERROR(__xludf.DUMMYFUNCTION("SUM(FILTER(J:J, H:H=""Chuyển khoản"")) - SUM(FILTER(K:K, H:H=""Chuyển khoản""))
"),4468984)</f>
        <v>4468984</v>
      </c>
      <c r="O1164" s="5"/>
      <c r="P1164" s="5"/>
      <c r="Q1164" s="5"/>
      <c r="R1164" s="5"/>
      <c r="S1164" s="5"/>
    </row>
    <row r="1165" spans="1:19" ht="15.75" customHeight="1" x14ac:dyDescent="0.2">
      <c r="A1165" s="3">
        <v>46048</v>
      </c>
      <c r="B1165" s="4" t="str">
        <f>IF(A1165="","","PC-"&amp;TEXT(A1165,"mm/yyyy")&amp;"-"&amp;TEXT(COUNTIFS($A$2:A1165,"&gt;="&amp;EOMONTH(A1165,-1)+1,$A$2:A1165,"&lt;="&amp;EOMONTH(A1165,0)),"000"))</f>
        <v>PC-01/2026-082</v>
      </c>
      <c r="C1165" s="5" t="s">
        <v>400</v>
      </c>
      <c r="D1165" s="5" t="s">
        <v>29</v>
      </c>
      <c r="E1165" s="5" t="s">
        <v>141</v>
      </c>
      <c r="F1165" s="5"/>
      <c r="G1165" s="5" t="s">
        <v>52</v>
      </c>
      <c r="H1165" s="5" t="s">
        <v>27</v>
      </c>
      <c r="I1165" s="6">
        <v>1020000</v>
      </c>
      <c r="J1165" s="6">
        <f>IF(D1165="Thu",I1165,0)</f>
        <v>0</v>
      </c>
      <c r="K1165" s="6">
        <f>IF(D1165="Chi",I1165,0)</f>
        <v>1020000</v>
      </c>
      <c r="L1165" s="6" t="e">
        <f>L1164+J1165-K1165</f>
        <v>#VALUE!</v>
      </c>
      <c r="M1165" s="6">
        <f ca="1">IFERROR(__xludf.DUMMYFUNCTION("SUM(FILTER(J:J, H:H=""Tiền mặt"")) - SUM(FILTER(K:K, H:H=""Tiền mặt""))
"),959000)</f>
        <v>959000</v>
      </c>
      <c r="N1165" s="6">
        <f ca="1">IFERROR(__xludf.DUMMYFUNCTION("SUM(FILTER(J:J, H:H=""Chuyển khoản"")) - SUM(FILTER(K:K, H:H=""Chuyển khoản""))
"),4468984)</f>
        <v>4468984</v>
      </c>
      <c r="O1165" s="5"/>
      <c r="P1165" s="5"/>
      <c r="Q1165" s="5"/>
      <c r="R1165" s="5"/>
      <c r="S1165" s="5"/>
    </row>
    <row r="1166" spans="1:19" ht="15.75" customHeight="1" x14ac:dyDescent="0.2">
      <c r="A1166" s="3">
        <v>46048</v>
      </c>
      <c r="B1166" s="4" t="str">
        <f>IF(A1166="","","PC-"&amp;TEXT(A1166,"mm/yyyy")&amp;"-"&amp;TEXT(COUNTIFS($A$2:A1166,"&gt;="&amp;EOMONTH(A1166,-1)+1,$A$2:A1166,"&lt;="&amp;EOMONTH(A1166,0)),"000"))</f>
        <v>PC-01/2026-083</v>
      </c>
      <c r="C1166" s="5" t="s">
        <v>401</v>
      </c>
      <c r="D1166" s="5" t="s">
        <v>29</v>
      </c>
      <c r="E1166" s="5" t="s">
        <v>141</v>
      </c>
      <c r="F1166" s="5"/>
      <c r="G1166" s="5" t="s">
        <v>52</v>
      </c>
      <c r="H1166" s="5" t="s">
        <v>27</v>
      </c>
      <c r="I1166" s="6">
        <v>1751000</v>
      </c>
      <c r="J1166" s="6">
        <f>IF(D1166="Thu",I1166,0)</f>
        <v>0</v>
      </c>
      <c r="K1166" s="6">
        <f>IF(D1166="Chi",I1166,0)</f>
        <v>1751000</v>
      </c>
      <c r="L1166" s="6" t="e">
        <f>L1165+J1166-K1166</f>
        <v>#VALUE!</v>
      </c>
      <c r="M1166" s="6">
        <f ca="1">IFERROR(__xludf.DUMMYFUNCTION("SUM(FILTER(J:J, H:H=""Tiền mặt"")) - SUM(FILTER(K:K, H:H=""Tiền mặt""))
"),959000)</f>
        <v>959000</v>
      </c>
      <c r="N1166" s="6">
        <f ca="1">IFERROR(__xludf.DUMMYFUNCTION("SUM(FILTER(J:J, H:H=""Chuyển khoản"")) - SUM(FILTER(K:K, H:H=""Chuyển khoản""))
"),4468984)</f>
        <v>4468984</v>
      </c>
      <c r="O1166" s="5"/>
      <c r="P1166" s="5"/>
      <c r="Q1166" s="5"/>
      <c r="R1166" s="5"/>
      <c r="S1166" s="5"/>
    </row>
    <row r="1167" spans="1:19" ht="15.75" customHeight="1" x14ac:dyDescent="0.2">
      <c r="A1167" s="3">
        <v>46048</v>
      </c>
      <c r="B1167" s="4" t="str">
        <f>IF(A1167="","","PC-"&amp;TEXT(A1167,"mm/yyyy")&amp;"-"&amp;TEXT(COUNTIFS($A$2:A1167,"&gt;="&amp;EOMONTH(A1167,-1)+1,$A$2:A1167,"&lt;="&amp;EOMONTH(A1167,0)),"000"))</f>
        <v>PC-01/2026-084</v>
      </c>
      <c r="C1167" s="5" t="s">
        <v>402</v>
      </c>
      <c r="D1167" s="5" t="s">
        <v>29</v>
      </c>
      <c r="E1167" s="5" t="s">
        <v>71</v>
      </c>
      <c r="F1167" s="5"/>
      <c r="G1167" s="5" t="s">
        <v>219</v>
      </c>
      <c r="H1167" s="5" t="s">
        <v>27</v>
      </c>
      <c r="I1167" s="6">
        <v>75000</v>
      </c>
      <c r="J1167" s="6">
        <f>IF(D1167="Thu",I1167,0)</f>
        <v>0</v>
      </c>
      <c r="K1167" s="6">
        <f>IF(D1167="Chi",I1167,0)</f>
        <v>75000</v>
      </c>
      <c r="L1167" s="6" t="e">
        <f>L1166+J1167-K1167</f>
        <v>#VALUE!</v>
      </c>
      <c r="M1167" s="6">
        <f ca="1">IFERROR(__xludf.DUMMYFUNCTION("SUM(FILTER(J:J, H:H=""Tiền mặt"")) - SUM(FILTER(K:K, H:H=""Tiền mặt""))
"),959000)</f>
        <v>959000</v>
      </c>
      <c r="N1167" s="6">
        <f ca="1">IFERROR(__xludf.DUMMYFUNCTION("SUM(FILTER(J:J, H:H=""Chuyển khoản"")) - SUM(FILTER(K:K, H:H=""Chuyển khoản""))
"),4468984)</f>
        <v>4468984</v>
      </c>
      <c r="O1167" s="5"/>
      <c r="P1167" s="5"/>
      <c r="Q1167" s="5"/>
      <c r="R1167" s="5"/>
      <c r="S1167" s="5"/>
    </row>
    <row r="1168" spans="1:19" ht="15.75" customHeight="1" x14ac:dyDescent="0.2">
      <c r="A1168" s="3">
        <v>46046</v>
      </c>
      <c r="B1168" s="4" t="str">
        <f>IF(A1168="","","PC-"&amp;TEXT(A1168,"mm/yyyy")&amp;"-"&amp;TEXT(COUNTIFS($A$2:A1168,"&gt;="&amp;EOMONTH(A1168,-1)+1,$A$2:A1168,"&lt;="&amp;EOMONTH(A1168,0)),"000"))</f>
        <v>PC-01/2026-085</v>
      </c>
      <c r="C1168" s="5" t="s">
        <v>361</v>
      </c>
      <c r="D1168" s="5" t="s">
        <v>29</v>
      </c>
      <c r="E1168" s="5" t="s">
        <v>36</v>
      </c>
      <c r="F1168" s="5"/>
      <c r="G1168" s="5" t="s">
        <v>37</v>
      </c>
      <c r="H1168" s="5" t="s">
        <v>23</v>
      </c>
      <c r="I1168" s="6">
        <v>95000</v>
      </c>
      <c r="J1168" s="6">
        <f>IF(D1168="Thu",I1168,0)</f>
        <v>0</v>
      </c>
      <c r="K1168" s="6">
        <f>IF(D1168="Chi",I1168,0)</f>
        <v>95000</v>
      </c>
      <c r="L1168" s="6" t="e">
        <f>L1167+J1168-K1168</f>
        <v>#VALUE!</v>
      </c>
      <c r="M1168" s="6">
        <f ca="1">IFERROR(__xludf.DUMMYFUNCTION("SUM(FILTER(J:J, H:H=""Tiền mặt"")) - SUM(FILTER(K:K, H:H=""Tiền mặt""))
"),959000)</f>
        <v>959000</v>
      </c>
      <c r="N1168" s="6">
        <f ca="1">IFERROR(__xludf.DUMMYFUNCTION("SUM(FILTER(J:J, H:H=""Chuyển khoản"")) - SUM(FILTER(K:K, H:H=""Chuyển khoản""))
"),4468984)</f>
        <v>4468984</v>
      </c>
      <c r="O1168" s="5"/>
      <c r="P1168" s="5"/>
      <c r="Q1168" s="5"/>
      <c r="R1168" s="5"/>
      <c r="S1168" s="5"/>
    </row>
    <row r="1169" spans="1:19" ht="15.75" customHeight="1" x14ac:dyDescent="0.2">
      <c r="A1169" s="3">
        <v>46046</v>
      </c>
      <c r="B1169" s="4" t="str">
        <f>IF(A1169="","","PC-"&amp;TEXT(A1169,"mm/yyyy")&amp;"-"&amp;TEXT(COUNTIFS($A$2:A1169,"&gt;="&amp;EOMONTH(A1169,-1)+1,$A$2:A1169,"&lt;="&amp;EOMONTH(A1169,0)),"000"))</f>
        <v>PC-01/2026-086</v>
      </c>
      <c r="C1169" s="5" t="s">
        <v>362</v>
      </c>
      <c r="D1169" s="5" t="s">
        <v>29</v>
      </c>
      <c r="E1169" s="5" t="s">
        <v>153</v>
      </c>
      <c r="F1169" s="5"/>
      <c r="G1169" s="5" t="s">
        <v>154</v>
      </c>
      <c r="H1169" s="5" t="s">
        <v>27</v>
      </c>
      <c r="I1169" s="6">
        <v>1120000</v>
      </c>
      <c r="J1169" s="6">
        <f>IF(D1169="Thu",I1169,0)</f>
        <v>0</v>
      </c>
      <c r="K1169" s="6">
        <f>IF(D1169="Chi",I1169,0)</f>
        <v>1120000</v>
      </c>
      <c r="L1169" s="6" t="e">
        <f>L1168+J1169-K1169</f>
        <v>#VALUE!</v>
      </c>
      <c r="M1169" s="6">
        <f ca="1">IFERROR(__xludf.DUMMYFUNCTION("SUM(FILTER(J:J, H:H=""Tiền mặt"")) - SUM(FILTER(K:K, H:H=""Tiền mặt""))
"),959000)</f>
        <v>959000</v>
      </c>
      <c r="N1169" s="6">
        <f ca="1">IFERROR(__xludf.DUMMYFUNCTION("SUM(FILTER(J:J, H:H=""Chuyển khoản"")) - SUM(FILTER(K:K, H:H=""Chuyển khoản""))
"),4468984)</f>
        <v>4468984</v>
      </c>
      <c r="O1169" s="5"/>
      <c r="P1169" s="5"/>
      <c r="Q1169" s="5"/>
      <c r="R1169" s="5"/>
      <c r="S1169" s="5"/>
    </row>
    <row r="1170" spans="1:19" ht="15.75" customHeight="1" x14ac:dyDescent="0.2">
      <c r="A1170" s="3">
        <v>46046</v>
      </c>
      <c r="B1170" s="4" t="str">
        <f>IF(A1170="","","PC-"&amp;TEXT(A1170,"mm/yyyy")&amp;"-"&amp;TEXT(COUNTIFS($A$2:A1170,"&gt;="&amp;EOMONTH(A1170,-1)+1,$A$2:A1170,"&lt;="&amp;EOMONTH(A1170,0)),"000"))</f>
        <v>PC-01/2026-087</v>
      </c>
      <c r="C1170" s="5" t="s">
        <v>363</v>
      </c>
      <c r="D1170" s="5" t="s">
        <v>29</v>
      </c>
      <c r="E1170" s="5" t="s">
        <v>51</v>
      </c>
      <c r="F1170" s="5"/>
      <c r="G1170" s="5" t="s">
        <v>54</v>
      </c>
      <c r="H1170" s="5" t="s">
        <v>27</v>
      </c>
      <c r="I1170" s="6">
        <v>111540</v>
      </c>
      <c r="J1170" s="6">
        <f>IF(D1170="Thu",I1170,0)</f>
        <v>0</v>
      </c>
      <c r="K1170" s="6">
        <f>IF(D1170="Chi",I1170,0)</f>
        <v>111540</v>
      </c>
      <c r="L1170" s="6" t="e">
        <f>L1169+J1170-K1170</f>
        <v>#VALUE!</v>
      </c>
      <c r="M1170" s="6">
        <f ca="1">IFERROR(__xludf.DUMMYFUNCTION("SUM(FILTER(J:J, H:H=""Tiền mặt"")) - SUM(FILTER(K:K, H:H=""Tiền mặt""))
"),959000)</f>
        <v>959000</v>
      </c>
      <c r="N1170" s="6">
        <f ca="1">IFERROR(__xludf.DUMMYFUNCTION("SUM(FILTER(J:J, H:H=""Chuyển khoản"")) - SUM(FILTER(K:K, H:H=""Chuyển khoản""))
"),4468984)</f>
        <v>4468984</v>
      </c>
      <c r="O1170" s="5"/>
      <c r="P1170" s="5"/>
      <c r="Q1170" s="5"/>
      <c r="R1170" s="5"/>
      <c r="S1170" s="5"/>
    </row>
    <row r="1171" spans="1:19" ht="15.75" customHeight="1" x14ac:dyDescent="0.2">
      <c r="A1171" s="3">
        <v>46046</v>
      </c>
      <c r="B1171" s="4" t="str">
        <f>IF(A1171="","","PC-"&amp;TEXT(A1171,"mm/yyyy")&amp;"-"&amp;TEXT(COUNTIFS($A$2:A1171,"&gt;="&amp;EOMONTH(A1171,-1)+1,$A$2:A1171,"&lt;="&amp;EOMONTH(A1171,0)),"000"))</f>
        <v>PC-01/2026-088</v>
      </c>
      <c r="C1171" s="5" t="s">
        <v>364</v>
      </c>
      <c r="D1171" s="5" t="s">
        <v>29</v>
      </c>
      <c r="E1171" s="5" t="s">
        <v>51</v>
      </c>
      <c r="F1171" s="5"/>
      <c r="G1171" s="5" t="s">
        <v>54</v>
      </c>
      <c r="H1171" s="5" t="s">
        <v>27</v>
      </c>
      <c r="I1171" s="6">
        <v>99555</v>
      </c>
      <c r="J1171" s="6">
        <f>IF(D1171="Thu",I1171,0)</f>
        <v>0</v>
      </c>
      <c r="K1171" s="6">
        <f>IF(D1171="Chi",I1171,0)</f>
        <v>99555</v>
      </c>
      <c r="L1171" s="6" t="e">
        <f>L1170+J1171-K1171</f>
        <v>#VALUE!</v>
      </c>
      <c r="M1171" s="6">
        <f ca="1">IFERROR(__xludf.DUMMYFUNCTION("SUM(FILTER(J:J, H:H=""Tiền mặt"")) - SUM(FILTER(K:K, H:H=""Tiền mặt""))
"),959000)</f>
        <v>959000</v>
      </c>
      <c r="N1171" s="6">
        <f ca="1">IFERROR(__xludf.DUMMYFUNCTION("SUM(FILTER(J:J, H:H=""Chuyển khoản"")) - SUM(FILTER(K:K, H:H=""Chuyển khoản""))
"),4468984)</f>
        <v>4468984</v>
      </c>
      <c r="O1171" s="5"/>
      <c r="P1171" s="5"/>
      <c r="Q1171" s="5"/>
      <c r="R1171" s="5"/>
      <c r="S1171" s="5"/>
    </row>
    <row r="1172" spans="1:19" ht="15.75" customHeight="1" x14ac:dyDescent="0.2">
      <c r="A1172" s="3">
        <v>46046</v>
      </c>
      <c r="B1172" s="4" t="str">
        <f>IF(A1172="","","PC-"&amp;TEXT(A1172,"mm/yyyy")&amp;"-"&amp;TEXT(COUNTIFS($A$2:A1172,"&gt;="&amp;EOMONTH(A1172,-1)+1,$A$2:A1172,"&lt;="&amp;EOMONTH(A1172,0)),"000"))</f>
        <v>PC-01/2026-089</v>
      </c>
      <c r="C1172" s="5" t="s">
        <v>365</v>
      </c>
      <c r="D1172" s="5" t="s">
        <v>20</v>
      </c>
      <c r="E1172" s="5" t="s">
        <v>21</v>
      </c>
      <c r="F1172" s="5"/>
      <c r="G1172" s="5" t="s">
        <v>54</v>
      </c>
      <c r="H1172" s="5" t="s">
        <v>23</v>
      </c>
      <c r="I1172" s="6">
        <v>50000</v>
      </c>
      <c r="J1172" s="6">
        <f>IF(D1172="Thu",I1172,0)</f>
        <v>50000</v>
      </c>
      <c r="K1172" s="6">
        <f>IF(D1172="Chi",I1172,0)</f>
        <v>0</v>
      </c>
      <c r="L1172" s="6" t="e">
        <f>L1171+J1172-K1172</f>
        <v>#VALUE!</v>
      </c>
      <c r="M1172" s="6">
        <f ca="1">IFERROR(__xludf.DUMMYFUNCTION("SUM(FILTER(J:J, H:H=""Tiền mặt"")) - SUM(FILTER(K:K, H:H=""Tiền mặt""))
"),959000)</f>
        <v>959000</v>
      </c>
      <c r="N1172" s="6">
        <f ca="1">IFERROR(__xludf.DUMMYFUNCTION("SUM(FILTER(J:J, H:H=""Chuyển khoản"")) - SUM(FILTER(K:K, H:H=""Chuyển khoản""))
"),4468984)</f>
        <v>4468984</v>
      </c>
      <c r="O1172" s="5"/>
      <c r="P1172" s="5"/>
      <c r="Q1172" s="5"/>
      <c r="R1172" s="5"/>
      <c r="S1172" s="5"/>
    </row>
    <row r="1173" spans="1:19" ht="15.75" customHeight="1" x14ac:dyDescent="0.2">
      <c r="A1173" s="3">
        <v>46046</v>
      </c>
      <c r="B1173" s="4" t="str">
        <f>IF(A1173="","","PC-"&amp;TEXT(A1173,"mm/yyyy")&amp;"-"&amp;TEXT(COUNTIFS($A$2:A1173,"&gt;="&amp;EOMONTH(A1173,-1)+1,$A$2:A1173,"&lt;="&amp;EOMONTH(A1173,0)),"000"))</f>
        <v>PC-01/2026-090</v>
      </c>
      <c r="C1173" s="5" t="s">
        <v>366</v>
      </c>
      <c r="D1173" s="5" t="s">
        <v>29</v>
      </c>
      <c r="E1173" s="5" t="s">
        <v>41</v>
      </c>
      <c r="F1173" s="5"/>
      <c r="G1173" s="5" t="s">
        <v>82</v>
      </c>
      <c r="H1173" s="5" t="s">
        <v>23</v>
      </c>
      <c r="I1173" s="6">
        <v>100000</v>
      </c>
      <c r="J1173" s="6">
        <f>IF(D1173="Thu",I1173,0)</f>
        <v>0</v>
      </c>
      <c r="K1173" s="6">
        <f>IF(D1173="Chi",I1173,0)</f>
        <v>100000</v>
      </c>
      <c r="L1173" s="6" t="e">
        <f>L1172+J1173-K1173</f>
        <v>#VALUE!</v>
      </c>
      <c r="M1173" s="6">
        <f ca="1">IFERROR(__xludf.DUMMYFUNCTION("SUM(FILTER(J:J, H:H=""Tiền mặt"")) - SUM(FILTER(K:K, H:H=""Tiền mặt""))
"),959000)</f>
        <v>959000</v>
      </c>
      <c r="N1173" s="6">
        <f ca="1">IFERROR(__xludf.DUMMYFUNCTION("SUM(FILTER(J:J, H:H=""Chuyển khoản"")) - SUM(FILTER(K:K, H:H=""Chuyển khoản""))
"),4468984)</f>
        <v>4468984</v>
      </c>
      <c r="O1173" s="5"/>
      <c r="P1173" s="5"/>
      <c r="Q1173" s="5"/>
      <c r="R1173" s="5"/>
      <c r="S1173" s="5"/>
    </row>
    <row r="1174" spans="1:19" ht="15.75" customHeight="1" x14ac:dyDescent="0.2">
      <c r="A1174" s="3">
        <v>46046</v>
      </c>
      <c r="B1174" s="4" t="str">
        <f>IF(A1174="","","PC-"&amp;TEXT(A1174,"mm/yyyy")&amp;"-"&amp;TEXT(COUNTIFS($A$2:A1174,"&gt;="&amp;EOMONTH(A1174,-1)+1,$A$2:A1174,"&lt;="&amp;EOMONTH(A1174,0)),"000"))</f>
        <v>PC-01/2026-091</v>
      </c>
      <c r="C1174" s="5" t="s">
        <v>367</v>
      </c>
      <c r="D1174" s="5" t="s">
        <v>20</v>
      </c>
      <c r="E1174" s="5" t="s">
        <v>21</v>
      </c>
      <c r="F1174" s="5"/>
      <c r="G1174" s="5" t="s">
        <v>22</v>
      </c>
      <c r="H1174" s="5" t="s">
        <v>23</v>
      </c>
      <c r="I1174" s="6">
        <v>4000000</v>
      </c>
      <c r="J1174" s="6">
        <f>IF(D1174="Thu",I1174,0)</f>
        <v>4000000</v>
      </c>
      <c r="K1174" s="6">
        <f>IF(D1174="Chi",I1174,0)</f>
        <v>0</v>
      </c>
      <c r="L1174" s="6" t="e">
        <f>L1173+J1174-K1174</f>
        <v>#VALUE!</v>
      </c>
      <c r="M1174" s="6">
        <f ca="1">IFERROR(__xludf.DUMMYFUNCTION("SUM(FILTER(J:J, H:H=""Tiền mặt"")) - SUM(FILTER(K:K, H:H=""Tiền mặt""))
"),959000)</f>
        <v>959000</v>
      </c>
      <c r="N1174" s="6">
        <f ca="1">IFERROR(__xludf.DUMMYFUNCTION("SUM(FILTER(J:J, H:H=""Chuyển khoản"")) - SUM(FILTER(K:K, H:H=""Chuyển khoản""))
"),4468984)</f>
        <v>4468984</v>
      </c>
      <c r="O1174" s="5"/>
      <c r="P1174" s="5"/>
      <c r="Q1174" s="5"/>
      <c r="R1174" s="5"/>
      <c r="S1174" s="5"/>
    </row>
    <row r="1175" spans="1:19" ht="15.75" customHeight="1" x14ac:dyDescent="0.2">
      <c r="A1175" s="3">
        <v>46046</v>
      </c>
      <c r="B1175" s="4" t="str">
        <f>IF(A1175="","","PC-"&amp;TEXT(A1175,"mm/yyyy")&amp;"-"&amp;TEXT(COUNTIFS($A$2:A1175,"&gt;="&amp;EOMONTH(A1175,-1)+1,$A$2:A1175,"&lt;="&amp;EOMONTH(A1175,0)),"000"))</f>
        <v>PC-01/2026-092</v>
      </c>
      <c r="C1175" s="5" t="s">
        <v>368</v>
      </c>
      <c r="D1175" s="5" t="s">
        <v>29</v>
      </c>
      <c r="E1175" s="5" t="s">
        <v>71</v>
      </c>
      <c r="F1175" s="5"/>
      <c r="G1175" s="5" t="s">
        <v>241</v>
      </c>
      <c r="H1175" s="5" t="s">
        <v>27</v>
      </c>
      <c r="I1175" s="6">
        <v>80000</v>
      </c>
      <c r="J1175" s="6">
        <f>IF(D1175="Thu",I1175,0)</f>
        <v>0</v>
      </c>
      <c r="K1175" s="6">
        <f>IF(D1175="Chi",I1175,0)</f>
        <v>80000</v>
      </c>
      <c r="L1175" s="6" t="e">
        <f>L1174+J1175-K1175</f>
        <v>#VALUE!</v>
      </c>
      <c r="M1175" s="6">
        <f ca="1">IFERROR(__xludf.DUMMYFUNCTION("SUM(FILTER(J:J, H:H=""Tiền mặt"")) - SUM(FILTER(K:K, H:H=""Tiền mặt""))
"),959000)</f>
        <v>959000</v>
      </c>
      <c r="N1175" s="6">
        <f ca="1">IFERROR(__xludf.DUMMYFUNCTION("SUM(FILTER(J:J, H:H=""Chuyển khoản"")) - SUM(FILTER(K:K, H:H=""Chuyển khoản""))
"),4468984)</f>
        <v>4468984</v>
      </c>
      <c r="O1175" s="5"/>
      <c r="P1175" s="5"/>
      <c r="Q1175" s="5"/>
      <c r="R1175" s="5"/>
      <c r="S1175" s="5"/>
    </row>
    <row r="1176" spans="1:19" ht="15.75" customHeight="1" x14ac:dyDescent="0.2">
      <c r="A1176" s="3">
        <v>46046</v>
      </c>
      <c r="B1176" s="4" t="str">
        <f>IF(A1176="","","PC-"&amp;TEXT(A1176,"mm/yyyy")&amp;"-"&amp;TEXT(COUNTIFS($A$2:A1176,"&gt;="&amp;EOMONTH(A1176,-1)+1,$A$2:A1176,"&lt;="&amp;EOMONTH(A1176,0)),"000"))</f>
        <v>PC-01/2026-093</v>
      </c>
      <c r="C1176" s="5" t="s">
        <v>369</v>
      </c>
      <c r="D1176" s="5" t="s">
        <v>29</v>
      </c>
      <c r="E1176" s="5" t="s">
        <v>78</v>
      </c>
      <c r="F1176" s="5"/>
      <c r="G1176" s="5" t="s">
        <v>72</v>
      </c>
      <c r="H1176" s="5" t="s">
        <v>27</v>
      </c>
      <c r="I1176" s="6">
        <v>81000</v>
      </c>
      <c r="J1176" s="6">
        <f>IF(D1176="Thu",I1176,0)</f>
        <v>0</v>
      </c>
      <c r="K1176" s="6">
        <f>IF(D1176="Chi",I1176,0)</f>
        <v>81000</v>
      </c>
      <c r="L1176" s="6" t="e">
        <f>L1175+J1176-K1176</f>
        <v>#VALUE!</v>
      </c>
      <c r="M1176" s="6">
        <f ca="1">IFERROR(__xludf.DUMMYFUNCTION("SUM(FILTER(J:J, H:H=""Tiền mặt"")) - SUM(FILTER(K:K, H:H=""Tiền mặt""))
"),959000)</f>
        <v>959000</v>
      </c>
      <c r="N1176" s="6">
        <f ca="1">IFERROR(__xludf.DUMMYFUNCTION("SUM(FILTER(J:J, H:H=""Chuyển khoản"")) - SUM(FILTER(K:K, H:H=""Chuyển khoản""))
"),4468984)</f>
        <v>4468984</v>
      </c>
      <c r="O1176" s="5"/>
      <c r="P1176" s="5"/>
      <c r="Q1176" s="5"/>
      <c r="R1176" s="5"/>
      <c r="S1176" s="5"/>
    </row>
    <row r="1177" spans="1:19" ht="15.75" customHeight="1" x14ac:dyDescent="0.2">
      <c r="A1177" s="3">
        <v>46046</v>
      </c>
      <c r="B1177" s="4" t="str">
        <f>IF(A1177="","","PC-"&amp;TEXT(A1177,"mm/yyyy")&amp;"-"&amp;TEXT(COUNTIFS($A$2:A1177,"&gt;="&amp;EOMONTH(A1177,-1)+1,$A$2:A1177,"&lt;="&amp;EOMONTH(A1177,0)),"000"))</f>
        <v>PC-01/2026-094</v>
      </c>
      <c r="C1177" s="5" t="s">
        <v>370</v>
      </c>
      <c r="D1177" s="5" t="s">
        <v>29</v>
      </c>
      <c r="E1177" s="5" t="s">
        <v>71</v>
      </c>
      <c r="F1177" s="5"/>
      <c r="G1177" s="5" t="s">
        <v>122</v>
      </c>
      <c r="H1177" s="5" t="s">
        <v>27</v>
      </c>
      <c r="I1177" s="6">
        <v>55000</v>
      </c>
      <c r="J1177" s="6">
        <f>IF(D1177="Thu",I1177,0)</f>
        <v>0</v>
      </c>
      <c r="K1177" s="6">
        <f>IF(D1177="Chi",I1177,0)</f>
        <v>55000</v>
      </c>
      <c r="L1177" s="6" t="e">
        <f>L1176+J1177-K1177</f>
        <v>#VALUE!</v>
      </c>
      <c r="M1177" s="6">
        <f ca="1">IFERROR(__xludf.DUMMYFUNCTION("SUM(FILTER(J:J, H:H=""Tiền mặt"")) - SUM(FILTER(K:K, H:H=""Tiền mặt""))
"),959000)</f>
        <v>959000</v>
      </c>
      <c r="N1177" s="6">
        <f ca="1">IFERROR(__xludf.DUMMYFUNCTION("SUM(FILTER(J:J, H:H=""Chuyển khoản"")) - SUM(FILTER(K:K, H:H=""Chuyển khoản""))
"),4468984)</f>
        <v>4468984</v>
      </c>
      <c r="O1177" s="5"/>
      <c r="P1177" s="5"/>
      <c r="Q1177" s="5"/>
      <c r="R1177" s="5"/>
      <c r="S1177" s="5"/>
    </row>
    <row r="1178" spans="1:19" ht="15.75" customHeight="1" x14ac:dyDescent="0.2">
      <c r="A1178" s="3">
        <v>46046</v>
      </c>
      <c r="B1178" s="4" t="str">
        <f>IF(A1178="","","PC-"&amp;TEXT(A1178,"mm/yyyy")&amp;"-"&amp;TEXT(COUNTIFS($A$2:A1178,"&gt;="&amp;EOMONTH(A1178,-1)+1,$A$2:A1178,"&lt;="&amp;EOMONTH(A1178,0)),"000"))</f>
        <v>PC-01/2026-095</v>
      </c>
      <c r="C1178" s="5" t="s">
        <v>371</v>
      </c>
      <c r="D1178" s="5" t="s">
        <v>29</v>
      </c>
      <c r="E1178" s="5" t="s">
        <v>153</v>
      </c>
      <c r="F1178" s="5"/>
      <c r="G1178" s="5" t="s">
        <v>72</v>
      </c>
      <c r="H1178" s="5" t="s">
        <v>27</v>
      </c>
      <c r="I1178" s="6">
        <v>286000</v>
      </c>
      <c r="J1178" s="6">
        <f>IF(D1178="Thu",I1178,0)</f>
        <v>0</v>
      </c>
      <c r="K1178" s="6">
        <f>IF(D1178="Chi",I1178,0)</f>
        <v>286000</v>
      </c>
      <c r="L1178" s="6" t="e">
        <f>L1177+J1178-K1178</f>
        <v>#VALUE!</v>
      </c>
      <c r="M1178" s="6">
        <f ca="1">IFERROR(__xludf.DUMMYFUNCTION("SUM(FILTER(J:J, H:H=""Tiền mặt"")) - SUM(FILTER(K:K, H:H=""Tiền mặt""))
"),959000)</f>
        <v>959000</v>
      </c>
      <c r="N1178" s="6">
        <f ca="1">IFERROR(__xludf.DUMMYFUNCTION("SUM(FILTER(J:J, H:H=""Chuyển khoản"")) - SUM(FILTER(K:K, H:H=""Chuyển khoản""))
"),4468984)</f>
        <v>4468984</v>
      </c>
      <c r="O1178" s="5"/>
      <c r="P1178" s="5"/>
      <c r="Q1178" s="5"/>
      <c r="R1178" s="5"/>
      <c r="S1178" s="5"/>
    </row>
    <row r="1179" spans="1:19" ht="15.75" customHeight="1" x14ac:dyDescent="0.2">
      <c r="A1179" s="3">
        <v>46046</v>
      </c>
      <c r="B1179" s="4" t="str">
        <f>IF(A1179="","","PC-"&amp;TEXT(A1179,"mm/yyyy")&amp;"-"&amp;TEXT(COUNTIFS($A$2:A1179,"&gt;="&amp;EOMONTH(A1179,-1)+1,$A$2:A1179,"&lt;="&amp;EOMONTH(A1179,0)),"000"))</f>
        <v>PC-01/2026-096</v>
      </c>
      <c r="C1179" s="5" t="s">
        <v>372</v>
      </c>
      <c r="D1179" s="5" t="s">
        <v>29</v>
      </c>
      <c r="E1179" s="5" t="s">
        <v>71</v>
      </c>
      <c r="F1179" s="5"/>
      <c r="G1179" s="5" t="s">
        <v>122</v>
      </c>
      <c r="H1179" s="5" t="s">
        <v>23</v>
      </c>
      <c r="I1179" s="6">
        <v>100000</v>
      </c>
      <c r="J1179" s="6">
        <f>IF(D1179="Thu",I1179,0)</f>
        <v>0</v>
      </c>
      <c r="K1179" s="6">
        <f>IF(D1179="Chi",I1179,0)</f>
        <v>100000</v>
      </c>
      <c r="L1179" s="6" t="e">
        <f>L1178+J1179-K1179</f>
        <v>#VALUE!</v>
      </c>
      <c r="M1179" s="6">
        <f ca="1">IFERROR(__xludf.DUMMYFUNCTION("SUM(FILTER(J:J, H:H=""Tiền mặt"")) - SUM(FILTER(K:K, H:H=""Tiền mặt""))
"),959000)</f>
        <v>959000</v>
      </c>
      <c r="N1179" s="6">
        <f ca="1">IFERROR(__xludf.DUMMYFUNCTION("SUM(FILTER(J:J, H:H=""Chuyển khoản"")) - SUM(FILTER(K:K, H:H=""Chuyển khoản""))
"),4468984)</f>
        <v>4468984</v>
      </c>
      <c r="O1179" s="5"/>
      <c r="P1179" s="5"/>
      <c r="Q1179" s="5"/>
      <c r="R1179" s="5"/>
      <c r="S1179" s="5"/>
    </row>
    <row r="1180" spans="1:19" ht="15.75" customHeight="1" x14ac:dyDescent="0.2">
      <c r="A1180" s="3">
        <v>46045</v>
      </c>
      <c r="B1180" s="4" t="str">
        <f>IF(A1180="","","PC-"&amp;TEXT(A1180,"mm/yyyy")&amp;"-"&amp;TEXT(COUNTIFS($A$2:A1180,"&gt;="&amp;EOMONTH(A1180,-1)+1,$A$2:A1180,"&lt;="&amp;EOMONTH(A1180,0)),"000"))</f>
        <v>PC-01/2026-097</v>
      </c>
      <c r="C1180" s="7" t="s">
        <v>349</v>
      </c>
      <c r="D1180" s="5" t="s">
        <v>29</v>
      </c>
      <c r="E1180" s="5" t="s">
        <v>33</v>
      </c>
      <c r="F1180" s="5"/>
      <c r="G1180" s="5" t="s">
        <v>350</v>
      </c>
      <c r="H1180" s="5" t="s">
        <v>23</v>
      </c>
      <c r="I1180" s="6">
        <v>500000</v>
      </c>
      <c r="J1180" s="6">
        <f>IF(D1180="Thu",I1180,0)</f>
        <v>0</v>
      </c>
      <c r="K1180" s="6">
        <f>IF(D1180="Chi",I1180,0)</f>
        <v>500000</v>
      </c>
      <c r="L1180" s="6" t="e">
        <f>L1179+J1180-K1180</f>
        <v>#VALUE!</v>
      </c>
      <c r="M1180" s="6">
        <f ca="1">IFERROR(__xludf.DUMMYFUNCTION("SUM(FILTER(J:J, H:H=""Tiền mặt"")) - SUM(FILTER(K:K, H:H=""Tiền mặt""))
"),959000)</f>
        <v>959000</v>
      </c>
      <c r="N1180" s="6">
        <f ca="1">IFERROR(__xludf.DUMMYFUNCTION("SUM(FILTER(J:J, H:H=""Chuyển khoản"")) - SUM(FILTER(K:K, H:H=""Chuyển khoản""))
"),4468984)</f>
        <v>4468984</v>
      </c>
      <c r="O1180" s="5"/>
      <c r="P1180" s="5"/>
      <c r="Q1180" s="5"/>
      <c r="R1180" s="5"/>
      <c r="S1180" s="5"/>
    </row>
    <row r="1181" spans="1:19" ht="15.75" customHeight="1" x14ac:dyDescent="0.2">
      <c r="A1181" s="3">
        <v>46045</v>
      </c>
      <c r="B1181" s="4" t="str">
        <f>IF(A1181="","","PC-"&amp;TEXT(A1181,"mm/yyyy")&amp;"-"&amp;TEXT(COUNTIFS($A$2:A1181,"&gt;="&amp;EOMONTH(A1181,-1)+1,$A$2:A1181,"&lt;="&amp;EOMONTH(A1181,0)),"000"))</f>
        <v>PC-01/2026-098</v>
      </c>
      <c r="C1181" s="7" t="s">
        <v>351</v>
      </c>
      <c r="D1181" s="5" t="s">
        <v>29</v>
      </c>
      <c r="E1181" s="5" t="s">
        <v>64</v>
      </c>
      <c r="F1181" s="5"/>
      <c r="G1181" s="5" t="s">
        <v>219</v>
      </c>
      <c r="H1181" s="5" t="s">
        <v>27</v>
      </c>
      <c r="I1181" s="6">
        <v>2300000</v>
      </c>
      <c r="J1181" s="6">
        <f>IF(D1181="Thu",I1181,0)</f>
        <v>0</v>
      </c>
      <c r="K1181" s="6">
        <f>IF(D1181="Chi",I1181,0)</f>
        <v>2300000</v>
      </c>
      <c r="L1181" s="6" t="e">
        <f>L1180+J1181-K1181</f>
        <v>#VALUE!</v>
      </c>
      <c r="M1181" s="6">
        <f ca="1">IFERROR(__xludf.DUMMYFUNCTION("SUM(FILTER(J:J, H:H=""Tiền mặt"")) - SUM(FILTER(K:K, H:H=""Tiền mặt""))
"),959000)</f>
        <v>959000</v>
      </c>
      <c r="N1181" s="6">
        <f ca="1">IFERROR(__xludf.DUMMYFUNCTION("SUM(FILTER(J:J, H:H=""Chuyển khoản"")) - SUM(FILTER(K:K, H:H=""Chuyển khoản""))
"),4468984)</f>
        <v>4468984</v>
      </c>
      <c r="O1181" s="5"/>
      <c r="P1181" s="5"/>
      <c r="Q1181" s="5"/>
      <c r="R1181" s="5"/>
      <c r="S1181" s="5"/>
    </row>
    <row r="1182" spans="1:19" ht="15.75" customHeight="1" x14ac:dyDescent="0.2">
      <c r="A1182" s="3">
        <v>46045</v>
      </c>
      <c r="B1182" s="4" t="str">
        <f>IF(A1182="","","PC-"&amp;TEXT(A1182,"mm/yyyy")&amp;"-"&amp;TEXT(COUNTIFS($A$2:A1182,"&gt;="&amp;EOMONTH(A1182,-1)+1,$A$2:A1182,"&lt;="&amp;EOMONTH(A1182,0)),"000"))</f>
        <v>PC-01/2026-099</v>
      </c>
      <c r="C1182" s="5" t="s">
        <v>352</v>
      </c>
      <c r="D1182" s="5" t="s">
        <v>29</v>
      </c>
      <c r="E1182" s="5" t="s">
        <v>44</v>
      </c>
      <c r="F1182" s="5"/>
      <c r="G1182" s="5" t="s">
        <v>353</v>
      </c>
      <c r="H1182" s="5" t="s">
        <v>23</v>
      </c>
      <c r="I1182" s="6">
        <v>1500000</v>
      </c>
      <c r="J1182" s="6">
        <f>IF(D1182="Thu",I1182,0)</f>
        <v>0</v>
      </c>
      <c r="K1182" s="6">
        <f>IF(D1182="Chi",I1182,0)</f>
        <v>1500000</v>
      </c>
      <c r="L1182" s="6" t="e">
        <f>L1181+J1182-K1182</f>
        <v>#VALUE!</v>
      </c>
      <c r="M1182" s="6">
        <f ca="1">IFERROR(__xludf.DUMMYFUNCTION("SUM(FILTER(J:J, H:H=""Tiền mặt"")) - SUM(FILTER(K:K, H:H=""Tiền mặt""))
"),959000)</f>
        <v>959000</v>
      </c>
      <c r="N1182" s="6">
        <f ca="1">IFERROR(__xludf.DUMMYFUNCTION("SUM(FILTER(J:J, H:H=""Chuyển khoản"")) - SUM(FILTER(K:K, H:H=""Chuyển khoản""))
"),4468984)</f>
        <v>4468984</v>
      </c>
      <c r="O1182" s="5"/>
      <c r="P1182" s="5"/>
      <c r="Q1182" s="5"/>
      <c r="R1182" s="5"/>
      <c r="S1182" s="5"/>
    </row>
    <row r="1183" spans="1:19" ht="15.75" customHeight="1" x14ac:dyDescent="0.2">
      <c r="A1183" s="3">
        <v>46045</v>
      </c>
      <c r="B1183" s="4" t="str">
        <f>IF(A1183="","","PC-"&amp;TEXT(A1183,"mm/yyyy")&amp;"-"&amp;TEXT(COUNTIFS($A$2:A1183,"&gt;="&amp;EOMONTH(A1183,-1)+1,$A$2:A1183,"&lt;="&amp;EOMONTH(A1183,0)),"000"))</f>
        <v>PC-01/2026-100</v>
      </c>
      <c r="C1183" s="5" t="s">
        <v>354</v>
      </c>
      <c r="D1183" s="5" t="s">
        <v>29</v>
      </c>
      <c r="E1183" s="5" t="s">
        <v>47</v>
      </c>
      <c r="F1183" s="5"/>
      <c r="G1183" s="5" t="s">
        <v>48</v>
      </c>
      <c r="H1183" s="5" t="s">
        <v>23</v>
      </c>
      <c r="I1183" s="6">
        <v>50000</v>
      </c>
      <c r="J1183" s="6">
        <f>IF(D1183="Thu",I1183,0)</f>
        <v>0</v>
      </c>
      <c r="K1183" s="6">
        <f>IF(D1183="Chi",I1183,0)</f>
        <v>50000</v>
      </c>
      <c r="L1183" s="6" t="e">
        <f>L1182+J1183-K1183</f>
        <v>#VALUE!</v>
      </c>
      <c r="M1183" s="6">
        <f ca="1">IFERROR(__xludf.DUMMYFUNCTION("SUM(FILTER(J:J, H:H=""Tiền mặt"")) - SUM(FILTER(K:K, H:H=""Tiền mặt""))
"),959000)</f>
        <v>959000</v>
      </c>
      <c r="N1183" s="6">
        <f ca="1">IFERROR(__xludf.DUMMYFUNCTION("SUM(FILTER(J:J, H:H=""Chuyển khoản"")) - SUM(FILTER(K:K, H:H=""Chuyển khoản""))
"),4468984)</f>
        <v>4468984</v>
      </c>
      <c r="O1183" s="5"/>
      <c r="P1183" s="5"/>
      <c r="Q1183" s="5"/>
      <c r="R1183" s="5"/>
      <c r="S1183" s="5"/>
    </row>
    <row r="1184" spans="1:19" ht="15.75" customHeight="1" x14ac:dyDescent="0.2">
      <c r="A1184" s="3">
        <v>46045</v>
      </c>
      <c r="B1184" s="4" t="str">
        <f>IF(A1184="","","PC-"&amp;TEXT(A1184,"mm/yyyy")&amp;"-"&amp;TEXT(COUNTIFS($A$2:A1184,"&gt;="&amp;EOMONTH(A1184,-1)+1,$A$2:A1184,"&lt;="&amp;EOMONTH(A1184,0)),"000"))</f>
        <v>PC-01/2026-101</v>
      </c>
      <c r="C1184" s="5" t="s">
        <v>355</v>
      </c>
      <c r="D1184" s="5" t="s">
        <v>29</v>
      </c>
      <c r="E1184" s="5" t="s">
        <v>41</v>
      </c>
      <c r="F1184" s="5"/>
      <c r="G1184" s="5" t="s">
        <v>82</v>
      </c>
      <c r="H1184" s="5" t="s">
        <v>23</v>
      </c>
      <c r="I1184" s="6">
        <v>100000</v>
      </c>
      <c r="J1184" s="6">
        <f>IF(D1184="Thu",I1184,0)</f>
        <v>0</v>
      </c>
      <c r="K1184" s="6">
        <f>IF(D1184="Chi",I1184,0)</f>
        <v>100000</v>
      </c>
      <c r="L1184" s="6" t="e">
        <f>L1183+J1184-K1184</f>
        <v>#VALUE!</v>
      </c>
      <c r="M1184" s="6">
        <f ca="1">IFERROR(__xludf.DUMMYFUNCTION("SUM(FILTER(J:J, H:H=""Tiền mặt"")) - SUM(FILTER(K:K, H:H=""Tiền mặt""))
"),959000)</f>
        <v>959000</v>
      </c>
      <c r="N1184" s="6">
        <f ca="1">IFERROR(__xludf.DUMMYFUNCTION("SUM(FILTER(J:J, H:H=""Chuyển khoản"")) - SUM(FILTER(K:K, H:H=""Chuyển khoản""))
"),4468984)</f>
        <v>4468984</v>
      </c>
      <c r="O1184" s="5"/>
      <c r="P1184" s="5"/>
      <c r="Q1184" s="5"/>
      <c r="R1184" s="5"/>
      <c r="S1184" s="5"/>
    </row>
    <row r="1185" spans="1:19" ht="15.75" customHeight="1" x14ac:dyDescent="0.2">
      <c r="A1185" s="3">
        <v>46045</v>
      </c>
      <c r="B1185" s="4" t="str">
        <f>IF(A1185="","","PC-"&amp;TEXT(A1185,"mm/yyyy")&amp;"-"&amp;TEXT(COUNTIFS($A$2:A1185,"&gt;="&amp;EOMONTH(A1185,-1)+1,$A$2:A1185,"&lt;="&amp;EOMONTH(A1185,0)),"000"))</f>
        <v>PC-01/2026-102</v>
      </c>
      <c r="C1185" s="5" t="s">
        <v>356</v>
      </c>
      <c r="D1185" s="5" t="s">
        <v>29</v>
      </c>
      <c r="E1185" s="5" t="s">
        <v>41</v>
      </c>
      <c r="F1185" s="5"/>
      <c r="G1185" s="5" t="s">
        <v>82</v>
      </c>
      <c r="H1185" s="5" t="s">
        <v>23</v>
      </c>
      <c r="I1185" s="6">
        <v>100000</v>
      </c>
      <c r="J1185" s="6">
        <f>IF(D1185="Thu",I1185,0)</f>
        <v>0</v>
      </c>
      <c r="K1185" s="6">
        <f>IF(D1185="Chi",I1185,0)</f>
        <v>100000</v>
      </c>
      <c r="L1185" s="6" t="e">
        <f>L1184+J1185-K1185</f>
        <v>#VALUE!</v>
      </c>
      <c r="M1185" s="6">
        <f ca="1">IFERROR(__xludf.DUMMYFUNCTION("SUM(FILTER(J:J, H:H=""Tiền mặt"")) - SUM(FILTER(K:K, H:H=""Tiền mặt""))
"),959000)</f>
        <v>959000</v>
      </c>
      <c r="N1185" s="6">
        <f ca="1">IFERROR(__xludf.DUMMYFUNCTION("SUM(FILTER(J:J, H:H=""Chuyển khoản"")) - SUM(FILTER(K:K, H:H=""Chuyển khoản""))
"),4468984)</f>
        <v>4468984</v>
      </c>
      <c r="O1185" s="5"/>
      <c r="P1185" s="5"/>
      <c r="Q1185" s="5"/>
      <c r="R1185" s="5"/>
      <c r="S1185" s="5"/>
    </row>
    <row r="1186" spans="1:19" ht="15.75" customHeight="1" x14ac:dyDescent="0.2">
      <c r="A1186" s="3">
        <v>46045</v>
      </c>
      <c r="B1186" s="4" t="str">
        <f>IF(A1186="","","PC-"&amp;TEXT(A1186,"mm/yyyy")&amp;"-"&amp;TEXT(COUNTIFS($A$2:A1186,"&gt;="&amp;EOMONTH(A1186,-1)+1,$A$2:A1186,"&lt;="&amp;EOMONTH(A1186,0)),"000"))</f>
        <v>PC-01/2026-103</v>
      </c>
      <c r="C1186" s="5" t="s">
        <v>357</v>
      </c>
      <c r="D1186" s="5" t="s">
        <v>29</v>
      </c>
      <c r="E1186" s="5" t="s">
        <v>41</v>
      </c>
      <c r="F1186" s="5"/>
      <c r="G1186" s="5" t="s">
        <v>82</v>
      </c>
      <c r="H1186" s="5" t="s">
        <v>23</v>
      </c>
      <c r="I1186" s="6">
        <v>100000</v>
      </c>
      <c r="J1186" s="6">
        <f>IF(D1186="Thu",I1186,0)</f>
        <v>0</v>
      </c>
      <c r="K1186" s="6">
        <f>IF(D1186="Chi",I1186,0)</f>
        <v>100000</v>
      </c>
      <c r="L1186" s="6" t="e">
        <f>L1185+J1186-K1186</f>
        <v>#VALUE!</v>
      </c>
      <c r="M1186" s="6">
        <f ca="1">IFERROR(__xludf.DUMMYFUNCTION("SUM(FILTER(J:J, H:H=""Tiền mặt"")) - SUM(FILTER(K:K, H:H=""Tiền mặt""))
"),959000)</f>
        <v>959000</v>
      </c>
      <c r="N1186" s="6">
        <f ca="1">IFERROR(__xludf.DUMMYFUNCTION("SUM(FILTER(J:J, H:H=""Chuyển khoản"")) - SUM(FILTER(K:K, H:H=""Chuyển khoản""))
"),4468984)</f>
        <v>4468984</v>
      </c>
      <c r="O1186" s="5"/>
      <c r="P1186" s="5"/>
      <c r="Q1186" s="5"/>
      <c r="R1186" s="5"/>
      <c r="S1186" s="5"/>
    </row>
    <row r="1187" spans="1:19" ht="15.75" customHeight="1" x14ac:dyDescent="0.2">
      <c r="A1187" s="3">
        <v>46045</v>
      </c>
      <c r="B1187" s="4" t="str">
        <f>IF(A1187="","","PC-"&amp;TEXT(A1187,"mm/yyyy")&amp;"-"&amp;TEXT(COUNTIFS($A$2:A1187,"&gt;="&amp;EOMONTH(A1187,-1)+1,$A$2:A1187,"&lt;="&amp;EOMONTH(A1187,0)),"000"))</f>
        <v>PC-01/2026-104</v>
      </c>
      <c r="C1187" s="5" t="s">
        <v>358</v>
      </c>
      <c r="D1187" s="5" t="s">
        <v>29</v>
      </c>
      <c r="E1187" s="5" t="s">
        <v>141</v>
      </c>
      <c r="F1187" s="5"/>
      <c r="G1187" s="5" t="s">
        <v>52</v>
      </c>
      <c r="H1187" s="5" t="s">
        <v>27</v>
      </c>
      <c r="I1187" s="6">
        <v>1623000</v>
      </c>
      <c r="J1187" s="6">
        <f>IF(D1187="Thu",I1187,0)</f>
        <v>0</v>
      </c>
      <c r="K1187" s="6">
        <f>IF(D1187="Chi",I1187,0)</f>
        <v>1623000</v>
      </c>
      <c r="L1187" s="6" t="e">
        <f>L1186+J1187-K1187</f>
        <v>#VALUE!</v>
      </c>
      <c r="M1187" s="6">
        <f ca="1">IFERROR(__xludf.DUMMYFUNCTION("SUM(FILTER(J:J, H:H=""Tiền mặt"")) - SUM(FILTER(K:K, H:H=""Tiền mặt""))
"),959000)</f>
        <v>959000</v>
      </c>
      <c r="N1187" s="6">
        <f ca="1">IFERROR(__xludf.DUMMYFUNCTION("SUM(FILTER(J:J, H:H=""Chuyển khoản"")) - SUM(FILTER(K:K, H:H=""Chuyển khoản""))
"),4468984)</f>
        <v>4468984</v>
      </c>
      <c r="O1187" s="5"/>
      <c r="P1187" s="5"/>
      <c r="Q1187" s="5"/>
      <c r="R1187" s="5"/>
      <c r="S1187" s="5"/>
    </row>
    <row r="1188" spans="1:19" ht="15.75" customHeight="1" x14ac:dyDescent="0.2">
      <c r="A1188" s="3">
        <v>46045</v>
      </c>
      <c r="B1188" s="4" t="str">
        <f>IF(A1188="","","PC-"&amp;TEXT(A1188,"mm/yyyy")&amp;"-"&amp;TEXT(COUNTIFS($A$2:A1188,"&gt;="&amp;EOMONTH(A1188,-1)+1,$A$2:A1188,"&lt;="&amp;EOMONTH(A1188,0)),"000"))</f>
        <v>PC-01/2026-105</v>
      </c>
      <c r="C1188" s="5" t="s">
        <v>359</v>
      </c>
      <c r="D1188" s="5" t="s">
        <v>29</v>
      </c>
      <c r="E1188" s="5" t="s">
        <v>64</v>
      </c>
      <c r="F1188" s="5"/>
      <c r="G1188" s="5" t="s">
        <v>217</v>
      </c>
      <c r="H1188" s="5" t="s">
        <v>27</v>
      </c>
      <c r="I1188" s="6">
        <v>200000</v>
      </c>
      <c r="J1188" s="6">
        <f>IF(D1188="Thu",I1188,0)</f>
        <v>0</v>
      </c>
      <c r="K1188" s="6">
        <f>IF(D1188="Chi",I1188,0)</f>
        <v>200000</v>
      </c>
      <c r="L1188" s="6" t="e">
        <f>L1187+J1188-K1188</f>
        <v>#VALUE!</v>
      </c>
      <c r="M1188" s="6">
        <f ca="1">IFERROR(__xludf.DUMMYFUNCTION("SUM(FILTER(J:J, H:H=""Tiền mặt"")) - SUM(FILTER(K:K, H:H=""Tiền mặt""))
"),959000)</f>
        <v>959000</v>
      </c>
      <c r="N1188" s="6">
        <f ca="1">IFERROR(__xludf.DUMMYFUNCTION("SUM(FILTER(J:J, H:H=""Chuyển khoản"")) - SUM(FILTER(K:K, H:H=""Chuyển khoản""))
"),4468984)</f>
        <v>4468984</v>
      </c>
      <c r="O1188" s="5"/>
      <c r="P1188" s="5"/>
      <c r="Q1188" s="5"/>
      <c r="R1188" s="5"/>
      <c r="S1188" s="5"/>
    </row>
    <row r="1189" spans="1:19" ht="15.75" customHeight="1" x14ac:dyDescent="0.2">
      <c r="A1189" s="3">
        <v>46045</v>
      </c>
      <c r="B1189" s="4" t="str">
        <f>IF(A1189="","","PC-"&amp;TEXT(A1189,"mm/yyyy")&amp;"-"&amp;TEXT(COUNTIFS($A$2:A1189,"&gt;="&amp;EOMONTH(A1189,-1)+1,$A$2:A1189,"&lt;="&amp;EOMONTH(A1189,0)),"000"))</f>
        <v>PC-01/2026-106</v>
      </c>
      <c r="C1189" s="5" t="s">
        <v>360</v>
      </c>
      <c r="D1189" s="5" t="s">
        <v>29</v>
      </c>
      <c r="E1189" s="5" t="s">
        <v>71</v>
      </c>
      <c r="F1189" s="5"/>
      <c r="G1189" s="5" t="s">
        <v>219</v>
      </c>
      <c r="H1189" s="5" t="s">
        <v>27</v>
      </c>
      <c r="I1189" s="6">
        <v>75000</v>
      </c>
      <c r="J1189" s="6">
        <f>IF(D1189="Thu",I1189,0)</f>
        <v>0</v>
      </c>
      <c r="K1189" s="6">
        <f>IF(D1189="Chi",I1189,0)</f>
        <v>75000</v>
      </c>
      <c r="L1189" s="6" t="e">
        <f>L1188+J1189-K1189</f>
        <v>#VALUE!</v>
      </c>
      <c r="M1189" s="6">
        <f ca="1">IFERROR(__xludf.DUMMYFUNCTION("SUM(FILTER(J:J, H:H=""Tiền mặt"")) - SUM(FILTER(K:K, H:H=""Tiền mặt""))
"),959000)</f>
        <v>959000</v>
      </c>
      <c r="N1189" s="6">
        <f ca="1">IFERROR(__xludf.DUMMYFUNCTION("SUM(FILTER(J:J, H:H=""Chuyển khoản"")) - SUM(FILTER(K:K, H:H=""Chuyển khoản""))
"),4468984)</f>
        <v>4468984</v>
      </c>
      <c r="O1189" s="5"/>
      <c r="P1189" s="5"/>
      <c r="Q1189" s="5"/>
      <c r="R1189" s="5"/>
      <c r="S1189" s="5"/>
    </row>
    <row r="1190" spans="1:19" ht="15.75" customHeight="1" x14ac:dyDescent="0.2">
      <c r="A1190" s="3">
        <v>46044</v>
      </c>
      <c r="B1190" s="4" t="str">
        <f>IF(A1190="","","PC-"&amp;TEXT(A1190,"mm/yyyy")&amp;"-"&amp;TEXT(COUNTIFS($A$2:A1190,"&gt;="&amp;EOMONTH(A1190,-1)+1,$A$2:A1190,"&lt;="&amp;EOMONTH(A1190,0)),"000"))</f>
        <v>PC-01/2026-107</v>
      </c>
      <c r="C1190" s="7" t="s">
        <v>323</v>
      </c>
      <c r="D1190" s="5" t="s">
        <v>29</v>
      </c>
      <c r="E1190" s="5" t="s">
        <v>36</v>
      </c>
      <c r="F1190" s="5"/>
      <c r="G1190" s="5" t="s">
        <v>37</v>
      </c>
      <c r="H1190" s="5" t="s">
        <v>23</v>
      </c>
      <c r="I1190" s="6">
        <v>178000</v>
      </c>
      <c r="J1190" s="6">
        <f>IF(D1190="Thu",I1190,0)</f>
        <v>0</v>
      </c>
      <c r="K1190" s="6">
        <f>IF(D1190="Chi",I1190,0)</f>
        <v>178000</v>
      </c>
      <c r="L1190" s="6" t="e">
        <f>L1189+J1190-K1190</f>
        <v>#VALUE!</v>
      </c>
      <c r="M1190" s="6">
        <f ca="1">IFERROR(__xludf.DUMMYFUNCTION("SUM(FILTER(J:J, H:H=""Tiền mặt"")) - SUM(FILTER(K:K, H:H=""Tiền mặt""))
"),959000)</f>
        <v>959000</v>
      </c>
      <c r="N1190" s="6">
        <f ca="1">IFERROR(__xludf.DUMMYFUNCTION("SUM(FILTER(J:J, H:H=""Chuyển khoản"")) - SUM(FILTER(K:K, H:H=""Chuyển khoản""))
"),4468984)</f>
        <v>4468984</v>
      </c>
      <c r="O1190" s="5"/>
      <c r="P1190" s="5"/>
      <c r="Q1190" s="5"/>
      <c r="R1190" s="5"/>
      <c r="S1190" s="5"/>
    </row>
    <row r="1191" spans="1:19" ht="15.75" customHeight="1" x14ac:dyDescent="0.2">
      <c r="A1191" s="3">
        <v>46044</v>
      </c>
      <c r="B1191" s="4" t="str">
        <f>IF(A1191="","","PC-"&amp;TEXT(A1191,"mm/yyyy")&amp;"-"&amp;TEXT(COUNTIFS($A$2:A1191,"&gt;="&amp;EOMONTH(A1191,-1)+1,$A$2:A1191,"&lt;="&amp;EOMONTH(A1191,0)),"000"))</f>
        <v>PC-01/2026-108</v>
      </c>
      <c r="C1191" s="5" t="s">
        <v>324</v>
      </c>
      <c r="D1191" s="5" t="s">
        <v>29</v>
      </c>
      <c r="E1191" s="5" t="s">
        <v>30</v>
      </c>
      <c r="F1191" s="5"/>
      <c r="G1191" s="5" t="s">
        <v>37</v>
      </c>
      <c r="H1191" s="5" t="s">
        <v>23</v>
      </c>
      <c r="I1191" s="6">
        <v>50000</v>
      </c>
      <c r="J1191" s="6">
        <f>IF(D1191="Thu",I1191,0)</f>
        <v>0</v>
      </c>
      <c r="K1191" s="6">
        <f>IF(D1191="Chi",I1191,0)</f>
        <v>50000</v>
      </c>
      <c r="L1191" s="6" t="e">
        <f>L1190+J1191-K1191</f>
        <v>#VALUE!</v>
      </c>
      <c r="M1191" s="6">
        <f ca="1">IFERROR(__xludf.DUMMYFUNCTION("SUM(FILTER(J:J, H:H=""Tiền mặt"")) - SUM(FILTER(K:K, H:H=""Tiền mặt""))
"),959000)</f>
        <v>959000</v>
      </c>
      <c r="N1191" s="6">
        <f ca="1">IFERROR(__xludf.DUMMYFUNCTION("SUM(FILTER(J:J, H:H=""Chuyển khoản"")) - SUM(FILTER(K:K, H:H=""Chuyển khoản""))
"),4468984)</f>
        <v>4468984</v>
      </c>
      <c r="O1191" s="5"/>
      <c r="P1191" s="5"/>
      <c r="Q1191" s="5"/>
      <c r="R1191" s="5"/>
      <c r="S1191" s="5"/>
    </row>
    <row r="1192" spans="1:19" ht="15.75" customHeight="1" x14ac:dyDescent="0.2">
      <c r="A1192" s="3">
        <v>46044</v>
      </c>
      <c r="B1192" s="4" t="str">
        <f>IF(A1192="","","PC-"&amp;TEXT(A1192,"mm/yyyy")&amp;"-"&amp;TEXT(COUNTIFS($A$2:A1192,"&gt;="&amp;EOMONTH(A1192,-1)+1,$A$2:A1192,"&lt;="&amp;EOMONTH(A1192,0)),"000"))</f>
        <v>PC-01/2026-109</v>
      </c>
      <c r="C1192" s="5" t="s">
        <v>325</v>
      </c>
      <c r="D1192" s="5" t="s">
        <v>29</v>
      </c>
      <c r="E1192" s="5" t="s">
        <v>41</v>
      </c>
      <c r="F1192" s="5"/>
      <c r="G1192" s="5" t="s">
        <v>326</v>
      </c>
      <c r="H1192" s="5" t="s">
        <v>23</v>
      </c>
      <c r="I1192" s="6">
        <v>100000</v>
      </c>
      <c r="J1192" s="6">
        <f>IF(D1192="Thu",I1192,0)</f>
        <v>0</v>
      </c>
      <c r="K1192" s="6">
        <f>IF(D1192="Chi",I1192,0)</f>
        <v>100000</v>
      </c>
      <c r="L1192" s="6" t="e">
        <f>L1191+J1192-K1192</f>
        <v>#VALUE!</v>
      </c>
      <c r="M1192" s="6">
        <f ca="1">IFERROR(__xludf.DUMMYFUNCTION("SUM(FILTER(J:J, H:H=""Tiền mặt"")) - SUM(FILTER(K:K, H:H=""Tiền mặt""))
"),959000)</f>
        <v>959000</v>
      </c>
      <c r="N1192" s="6">
        <f ca="1">IFERROR(__xludf.DUMMYFUNCTION("SUM(FILTER(J:J, H:H=""Chuyển khoản"")) - SUM(FILTER(K:K, H:H=""Chuyển khoản""))
"),4468984)</f>
        <v>4468984</v>
      </c>
      <c r="O1192" s="5"/>
      <c r="P1192" s="5"/>
      <c r="Q1192" s="5"/>
      <c r="R1192" s="5"/>
      <c r="S1192" s="5"/>
    </row>
    <row r="1193" spans="1:19" ht="15.75" customHeight="1" x14ac:dyDescent="0.2">
      <c r="A1193" s="3">
        <v>46044</v>
      </c>
      <c r="B1193" s="4" t="str">
        <f>IF(A1193="","","PC-"&amp;TEXT(A1193,"mm/yyyy")&amp;"-"&amp;TEXT(COUNTIFS($A$2:A1193,"&gt;="&amp;EOMONTH(A1193,-1)+1,$A$2:A1193,"&lt;="&amp;EOMONTH(A1193,0)),"000"))</f>
        <v>PC-01/2026-110</v>
      </c>
      <c r="C1193" s="5" t="s">
        <v>327</v>
      </c>
      <c r="D1193" s="5" t="s">
        <v>29</v>
      </c>
      <c r="E1193" s="5" t="s">
        <v>41</v>
      </c>
      <c r="F1193" s="5"/>
      <c r="G1193" s="5" t="s">
        <v>82</v>
      </c>
      <c r="H1193" s="5" t="s">
        <v>23</v>
      </c>
      <c r="I1193" s="6">
        <v>100000</v>
      </c>
      <c r="J1193" s="6">
        <f>IF(D1193="Thu",I1193,0)</f>
        <v>0</v>
      </c>
      <c r="K1193" s="6">
        <f>IF(D1193="Chi",I1193,0)</f>
        <v>100000</v>
      </c>
      <c r="L1193" s="6" t="e">
        <f>L1192+J1193-K1193</f>
        <v>#VALUE!</v>
      </c>
      <c r="M1193" s="6">
        <f ca="1">IFERROR(__xludf.DUMMYFUNCTION("SUM(FILTER(J:J, H:H=""Tiền mặt"")) - SUM(FILTER(K:K, H:H=""Tiền mặt""))
"),959000)</f>
        <v>959000</v>
      </c>
      <c r="N1193" s="6">
        <f ca="1">IFERROR(__xludf.DUMMYFUNCTION("SUM(FILTER(J:J, H:H=""Chuyển khoản"")) - SUM(FILTER(K:K, H:H=""Chuyển khoản""))
"),4468984)</f>
        <v>4468984</v>
      </c>
      <c r="O1193" s="5"/>
      <c r="P1193" s="5"/>
      <c r="Q1193" s="5"/>
      <c r="R1193" s="5"/>
      <c r="S1193" s="5"/>
    </row>
    <row r="1194" spans="1:19" ht="15.75" customHeight="1" x14ac:dyDescent="0.2">
      <c r="A1194" s="3">
        <v>46044</v>
      </c>
      <c r="B1194" s="4" t="str">
        <f>IF(A1194="","","PC-"&amp;TEXT(A1194,"mm/yyyy")&amp;"-"&amp;TEXT(COUNTIFS($A$2:A1194,"&gt;="&amp;EOMONTH(A1194,-1)+1,$A$2:A1194,"&lt;="&amp;EOMONTH(A1194,0)),"000"))</f>
        <v>PC-01/2026-111</v>
      </c>
      <c r="C1194" s="4" t="s">
        <v>328</v>
      </c>
      <c r="D1194" s="5" t="s">
        <v>29</v>
      </c>
      <c r="E1194" s="5" t="s">
        <v>51</v>
      </c>
      <c r="F1194" s="5"/>
      <c r="G1194" s="5" t="s">
        <v>52</v>
      </c>
      <c r="H1194" s="5" t="s">
        <v>27</v>
      </c>
      <c r="I1194" s="6">
        <v>107800</v>
      </c>
      <c r="J1194" s="6">
        <f>IF(D1194="Thu",I1194,0)</f>
        <v>0</v>
      </c>
      <c r="K1194" s="6">
        <f>IF(D1194="Chi",I1194,0)</f>
        <v>107800</v>
      </c>
      <c r="L1194" s="6" t="e">
        <f>L1193+J1194-K1194</f>
        <v>#VALUE!</v>
      </c>
      <c r="M1194" s="6">
        <f ca="1">IFERROR(__xludf.DUMMYFUNCTION("SUM(FILTER(J:J, H:H=""Tiền mặt"")) - SUM(FILTER(K:K, H:H=""Tiền mặt""))
"),959000)</f>
        <v>959000</v>
      </c>
      <c r="N1194" s="6">
        <f ca="1">IFERROR(__xludf.DUMMYFUNCTION("SUM(FILTER(J:J, H:H=""Chuyển khoản"")) - SUM(FILTER(K:K, H:H=""Chuyển khoản""))
"),4468984)</f>
        <v>4468984</v>
      </c>
      <c r="O1194" s="5"/>
      <c r="P1194" s="5"/>
      <c r="Q1194" s="5"/>
      <c r="R1194" s="5"/>
      <c r="S1194" s="5"/>
    </row>
    <row r="1195" spans="1:19" ht="15.75" customHeight="1" x14ac:dyDescent="0.2">
      <c r="A1195" s="3">
        <v>46044</v>
      </c>
      <c r="B1195" s="4" t="str">
        <f>IF(A1195="","","PC-"&amp;TEXT(A1195,"mm/yyyy")&amp;"-"&amp;TEXT(COUNTIFS($A$2:A1195,"&gt;="&amp;EOMONTH(A1195,-1)+1,$A$2:A1195,"&lt;="&amp;EOMONTH(A1195,0)),"000"))</f>
        <v>PC-01/2026-112</v>
      </c>
      <c r="C1195" s="5" t="s">
        <v>329</v>
      </c>
      <c r="D1195" s="5" t="s">
        <v>29</v>
      </c>
      <c r="E1195" s="5" t="s">
        <v>51</v>
      </c>
      <c r="F1195" s="5"/>
      <c r="G1195" s="5" t="s">
        <v>52</v>
      </c>
      <c r="H1195" s="5" t="s">
        <v>27</v>
      </c>
      <c r="I1195" s="6">
        <v>86540</v>
      </c>
      <c r="J1195" s="6">
        <f>IF(D1195="Thu",I1195,0)</f>
        <v>0</v>
      </c>
      <c r="K1195" s="6">
        <f>IF(D1195="Chi",I1195,0)</f>
        <v>86540</v>
      </c>
      <c r="L1195" s="6" t="e">
        <f>L1194+J1195-K1195</f>
        <v>#VALUE!</v>
      </c>
      <c r="M1195" s="6">
        <f ca="1">IFERROR(__xludf.DUMMYFUNCTION("SUM(FILTER(J:J, H:H=""Tiền mặt"")) - SUM(FILTER(K:K, H:H=""Tiền mặt""))
"),959000)</f>
        <v>959000</v>
      </c>
      <c r="N1195" s="6">
        <f ca="1">IFERROR(__xludf.DUMMYFUNCTION("SUM(FILTER(J:J, H:H=""Chuyển khoản"")) - SUM(FILTER(K:K, H:H=""Chuyển khoản""))
"),4468984)</f>
        <v>4468984</v>
      </c>
      <c r="O1195" s="5"/>
      <c r="P1195" s="5"/>
      <c r="Q1195" s="5"/>
      <c r="R1195" s="5"/>
      <c r="S1195" s="5"/>
    </row>
    <row r="1196" spans="1:19" ht="15.75" customHeight="1" x14ac:dyDescent="0.2">
      <c r="A1196" s="3">
        <v>46044</v>
      </c>
      <c r="B1196" s="4" t="str">
        <f>IF(A1196="","","PC-"&amp;TEXT(A1196,"mm/yyyy")&amp;"-"&amp;TEXT(COUNTIFS($A$2:A1196,"&gt;="&amp;EOMONTH(A1196,-1)+1,$A$2:A1196,"&lt;="&amp;EOMONTH(A1196,0)),"000"))</f>
        <v>PC-01/2026-113</v>
      </c>
      <c r="C1196" s="5" t="s">
        <v>330</v>
      </c>
      <c r="D1196" s="5" t="s">
        <v>29</v>
      </c>
      <c r="E1196" s="5" t="s">
        <v>141</v>
      </c>
      <c r="F1196" s="5"/>
      <c r="G1196" s="5" t="s">
        <v>52</v>
      </c>
      <c r="H1196" s="5" t="s">
        <v>27</v>
      </c>
      <c r="I1196" s="6">
        <v>1722000</v>
      </c>
      <c r="J1196" s="6">
        <f>IF(D1196="Thu",I1196,0)</f>
        <v>0</v>
      </c>
      <c r="K1196" s="6">
        <f>IF(D1196="Chi",I1196,0)</f>
        <v>1722000</v>
      </c>
      <c r="L1196" s="6" t="e">
        <f>L1195+J1196-K1196</f>
        <v>#VALUE!</v>
      </c>
      <c r="M1196" s="6">
        <f ca="1">IFERROR(__xludf.DUMMYFUNCTION("SUM(FILTER(J:J, H:H=""Tiền mặt"")) - SUM(FILTER(K:K, H:H=""Tiền mặt""))
"),959000)</f>
        <v>959000</v>
      </c>
      <c r="N1196" s="6">
        <f ca="1">IFERROR(__xludf.DUMMYFUNCTION("SUM(FILTER(J:J, H:H=""Chuyển khoản"")) - SUM(FILTER(K:K, H:H=""Chuyển khoản""))
"),4468984)</f>
        <v>4468984</v>
      </c>
      <c r="O1196" s="5"/>
      <c r="P1196" s="5"/>
      <c r="Q1196" s="5"/>
      <c r="R1196" s="5"/>
      <c r="S1196" s="5"/>
    </row>
    <row r="1197" spans="1:19" ht="15.75" customHeight="1" x14ac:dyDescent="0.2">
      <c r="A1197" s="3">
        <v>46044</v>
      </c>
      <c r="B1197" s="4" t="str">
        <f>IF(A1197="","","PC-"&amp;TEXT(A1197,"mm/yyyy")&amp;"-"&amp;TEXT(COUNTIFS($A$2:A1197,"&gt;="&amp;EOMONTH(A1197,-1)+1,$A$2:A1197,"&lt;="&amp;EOMONTH(A1197,0)),"000"))</f>
        <v>PC-01/2026-114</v>
      </c>
      <c r="C1197" s="5" t="s">
        <v>331</v>
      </c>
      <c r="D1197" s="5" t="s">
        <v>29</v>
      </c>
      <c r="E1197" s="5" t="s">
        <v>71</v>
      </c>
      <c r="F1197" s="5"/>
      <c r="G1197" s="5" t="s">
        <v>332</v>
      </c>
      <c r="H1197" s="5" t="s">
        <v>27</v>
      </c>
      <c r="I1197" s="6">
        <v>60000</v>
      </c>
      <c r="J1197" s="6">
        <f>IF(D1197="Thu",I1197,0)</f>
        <v>0</v>
      </c>
      <c r="K1197" s="6">
        <f>IF(D1197="Chi",I1197,0)</f>
        <v>60000</v>
      </c>
      <c r="L1197" s="6" t="e">
        <f>L1196+J1197-K1197</f>
        <v>#VALUE!</v>
      </c>
      <c r="M1197" s="6">
        <f ca="1">IFERROR(__xludf.DUMMYFUNCTION("SUM(FILTER(J:J, H:H=""Tiền mặt"")) - SUM(FILTER(K:K, H:H=""Tiền mặt""))
"),959000)</f>
        <v>959000</v>
      </c>
      <c r="N1197" s="6">
        <f ca="1">IFERROR(__xludf.DUMMYFUNCTION("SUM(FILTER(J:J, H:H=""Chuyển khoản"")) - SUM(FILTER(K:K, H:H=""Chuyển khoản""))
"),4468984)</f>
        <v>4468984</v>
      </c>
      <c r="O1197" s="5"/>
      <c r="P1197" s="5"/>
      <c r="Q1197" s="5"/>
      <c r="R1197" s="5"/>
      <c r="S1197" s="5"/>
    </row>
    <row r="1198" spans="1:19" ht="15.75" customHeight="1" x14ac:dyDescent="0.2">
      <c r="A1198" s="3">
        <v>46044</v>
      </c>
      <c r="B1198" s="4" t="str">
        <f>IF(A1198="","","PC-"&amp;TEXT(A1198,"mm/yyyy")&amp;"-"&amp;TEXT(COUNTIFS($A$2:A1198,"&gt;="&amp;EOMONTH(A1198,-1)+1,$A$2:A1198,"&lt;="&amp;EOMONTH(A1198,0)),"000"))</f>
        <v>PC-01/2026-115</v>
      </c>
      <c r="C1198" s="5" t="s">
        <v>333</v>
      </c>
      <c r="D1198" s="5" t="s">
        <v>29</v>
      </c>
      <c r="E1198" s="5" t="s">
        <v>51</v>
      </c>
      <c r="F1198" s="5"/>
      <c r="G1198" s="5" t="s">
        <v>52</v>
      </c>
      <c r="H1198" s="5" t="s">
        <v>27</v>
      </c>
      <c r="I1198" s="6">
        <v>138049</v>
      </c>
      <c r="J1198" s="6">
        <f>IF(D1198="Thu",I1198,0)</f>
        <v>0</v>
      </c>
      <c r="K1198" s="6">
        <f>IF(D1198="Chi",I1198,0)</f>
        <v>138049</v>
      </c>
      <c r="L1198" s="6" t="e">
        <f>L1197+J1198-K1198</f>
        <v>#VALUE!</v>
      </c>
      <c r="M1198" s="6">
        <f ca="1">IFERROR(__xludf.DUMMYFUNCTION("SUM(FILTER(J:J, H:H=""Tiền mặt"")) - SUM(FILTER(K:K, H:H=""Tiền mặt""))
"),959000)</f>
        <v>959000</v>
      </c>
      <c r="N1198" s="6">
        <f ca="1">IFERROR(__xludf.DUMMYFUNCTION("SUM(FILTER(J:J, H:H=""Chuyển khoản"")) - SUM(FILTER(K:K, H:H=""Chuyển khoản""))
"),4468984)</f>
        <v>4468984</v>
      </c>
      <c r="O1198" s="5"/>
      <c r="P1198" s="5"/>
      <c r="Q1198" s="5"/>
      <c r="R1198" s="5"/>
      <c r="S1198" s="5"/>
    </row>
    <row r="1199" spans="1:19" ht="15.75" customHeight="1" x14ac:dyDescent="0.2">
      <c r="A1199" s="3">
        <v>46044</v>
      </c>
      <c r="B1199" s="4" t="str">
        <f>IF(A1199="","","PC-"&amp;TEXT(A1199,"mm/yyyy")&amp;"-"&amp;TEXT(COUNTIFS($A$2:A1199,"&gt;="&amp;EOMONTH(A1199,-1)+1,$A$2:A1199,"&lt;="&amp;EOMONTH(A1199,0)),"000"))</f>
        <v>PC-01/2026-116</v>
      </c>
      <c r="C1199" s="5" t="s">
        <v>334</v>
      </c>
      <c r="D1199" s="5" t="s">
        <v>20</v>
      </c>
      <c r="E1199" s="5" t="s">
        <v>21</v>
      </c>
      <c r="F1199" s="5"/>
      <c r="G1199" s="5" t="s">
        <v>22</v>
      </c>
      <c r="H1199" s="5" t="s">
        <v>27</v>
      </c>
      <c r="I1199" s="6">
        <v>10000000</v>
      </c>
      <c r="J1199" s="6">
        <f>IF(D1199="Thu",I1199,0)</f>
        <v>10000000</v>
      </c>
      <c r="K1199" s="6">
        <f>IF(D1199="Chi",I1199,0)</f>
        <v>0</v>
      </c>
      <c r="L1199" s="6" t="e">
        <f>L1198+J1199-K1199</f>
        <v>#VALUE!</v>
      </c>
      <c r="M1199" s="6">
        <f ca="1">IFERROR(__xludf.DUMMYFUNCTION("SUM(FILTER(J:J, H:H=""Tiền mặt"")) - SUM(FILTER(K:K, H:H=""Tiền mặt""))
"),959000)</f>
        <v>959000</v>
      </c>
      <c r="N1199" s="6">
        <f ca="1">IFERROR(__xludf.DUMMYFUNCTION("SUM(FILTER(J:J, H:H=""Chuyển khoản"")) - SUM(FILTER(K:K, H:H=""Chuyển khoản""))
"),4468984)</f>
        <v>4468984</v>
      </c>
      <c r="O1199" s="5"/>
      <c r="P1199" s="5"/>
      <c r="Q1199" s="5"/>
      <c r="R1199" s="5"/>
      <c r="S1199" s="5"/>
    </row>
    <row r="1200" spans="1:19" ht="15.75" customHeight="1" x14ac:dyDescent="0.2">
      <c r="A1200" s="3">
        <v>46044</v>
      </c>
      <c r="B1200" s="4" t="str">
        <f>IF(A1200="","","PC-"&amp;TEXT(A1200,"mm/yyyy")&amp;"-"&amp;TEXT(COUNTIFS($A$2:A1200,"&gt;="&amp;EOMONTH(A1200,-1)+1,$A$2:A1200,"&lt;="&amp;EOMONTH(A1200,0)),"000"))</f>
        <v>PC-01/2026-117</v>
      </c>
      <c r="C1200" s="5" t="s">
        <v>335</v>
      </c>
      <c r="D1200" s="5" t="s">
        <v>20</v>
      </c>
      <c r="E1200" s="5" t="s">
        <v>21</v>
      </c>
      <c r="F1200" s="5"/>
      <c r="G1200" s="5" t="s">
        <v>22</v>
      </c>
      <c r="H1200" s="5" t="s">
        <v>23</v>
      </c>
      <c r="I1200" s="6">
        <v>10000000</v>
      </c>
      <c r="J1200" s="6">
        <f>IF(D1200="Thu",I1200,0)</f>
        <v>10000000</v>
      </c>
      <c r="K1200" s="6">
        <f>IF(D1200="Chi",I1200,0)</f>
        <v>0</v>
      </c>
      <c r="L1200" s="6" t="e">
        <f>L1199+J1200-K1200</f>
        <v>#VALUE!</v>
      </c>
      <c r="M1200" s="6">
        <f ca="1">IFERROR(__xludf.DUMMYFUNCTION("SUM(FILTER(J:J, H:H=""Tiền mặt"")) - SUM(FILTER(K:K, H:H=""Tiền mặt""))
"),959000)</f>
        <v>959000</v>
      </c>
      <c r="N1200" s="6">
        <f ca="1">IFERROR(__xludf.DUMMYFUNCTION("SUM(FILTER(J:J, H:H=""Chuyển khoản"")) - SUM(FILTER(K:K, H:H=""Chuyển khoản""))
"),4468984)</f>
        <v>4468984</v>
      </c>
      <c r="O1200" s="5"/>
      <c r="P1200" s="5"/>
      <c r="Q1200" s="5"/>
      <c r="R1200" s="5"/>
      <c r="S1200" s="5"/>
    </row>
    <row r="1201" spans="1:19" ht="15.75" customHeight="1" x14ac:dyDescent="0.2">
      <c r="A1201" s="3">
        <v>46044</v>
      </c>
      <c r="B1201" s="4" t="str">
        <f>IF(A1201="","","PC-"&amp;TEXT(A1201,"mm/yyyy")&amp;"-"&amp;TEXT(COUNTIFS($A$2:A1201,"&gt;="&amp;EOMONTH(A1201,-1)+1,$A$2:A1201,"&lt;="&amp;EOMONTH(A1201,0)),"000"))</f>
        <v>PC-01/2026-118</v>
      </c>
      <c r="C1201" s="5" t="s">
        <v>336</v>
      </c>
      <c r="D1201" s="5" t="s">
        <v>29</v>
      </c>
      <c r="E1201" s="5" t="s">
        <v>30</v>
      </c>
      <c r="F1201" s="5"/>
      <c r="G1201" s="5" t="s">
        <v>72</v>
      </c>
      <c r="H1201" s="5" t="s">
        <v>27</v>
      </c>
      <c r="I1201" s="6">
        <v>495000</v>
      </c>
      <c r="J1201" s="6">
        <f>IF(D1201="Thu",I1201,0)</f>
        <v>0</v>
      </c>
      <c r="K1201" s="6">
        <f>IF(D1201="Chi",I1201,0)</f>
        <v>495000</v>
      </c>
      <c r="L1201" s="6" t="e">
        <f>L1200+J1201-K1201</f>
        <v>#VALUE!</v>
      </c>
      <c r="M1201" s="6">
        <f ca="1">IFERROR(__xludf.DUMMYFUNCTION("SUM(FILTER(J:J, H:H=""Tiền mặt"")) - SUM(FILTER(K:K, H:H=""Tiền mặt""))
"),959000)</f>
        <v>959000</v>
      </c>
      <c r="N1201" s="6">
        <f ca="1">IFERROR(__xludf.DUMMYFUNCTION("SUM(FILTER(J:J, H:H=""Chuyển khoản"")) - SUM(FILTER(K:K, H:H=""Chuyển khoản""))
"),4468984)</f>
        <v>4468984</v>
      </c>
      <c r="O1201" s="5"/>
      <c r="P1201" s="5"/>
      <c r="Q1201" s="5"/>
      <c r="R1201" s="5"/>
      <c r="S1201" s="5"/>
    </row>
    <row r="1202" spans="1:19" ht="15.75" customHeight="1" x14ac:dyDescent="0.2">
      <c r="A1202" s="3">
        <v>46044</v>
      </c>
      <c r="B1202" s="4" t="str">
        <f>IF(A1202="","","PC-"&amp;TEXT(A1202,"mm/yyyy")&amp;"-"&amp;TEXT(COUNTIFS($A$2:A1202,"&gt;="&amp;EOMONTH(A1202,-1)+1,$A$2:A1202,"&lt;="&amp;EOMONTH(A1202,0)),"000"))</f>
        <v>PC-01/2026-119</v>
      </c>
      <c r="C1202" s="52" t="s">
        <v>337</v>
      </c>
      <c r="D1202" s="5" t="s">
        <v>29</v>
      </c>
      <c r="E1202" s="5" t="s">
        <v>88</v>
      </c>
      <c r="F1202" s="5"/>
      <c r="G1202" s="5" t="s">
        <v>338</v>
      </c>
      <c r="H1202" s="5" t="s">
        <v>23</v>
      </c>
      <c r="I1202" s="6">
        <v>2000000</v>
      </c>
      <c r="J1202" s="6">
        <f>IF(D1202="Thu",I1202,0)</f>
        <v>0</v>
      </c>
      <c r="K1202" s="6">
        <f>IF(D1202="Chi",I1202,0)</f>
        <v>2000000</v>
      </c>
      <c r="L1202" s="6" t="e">
        <f>L1201+J1202-K1202</f>
        <v>#VALUE!</v>
      </c>
      <c r="M1202" s="6">
        <f ca="1">IFERROR(__xludf.DUMMYFUNCTION("SUM(FILTER(J:J, H:H=""Tiền mặt"")) - SUM(FILTER(K:K, H:H=""Tiền mặt""))
"),959000)</f>
        <v>959000</v>
      </c>
      <c r="N1202" s="6">
        <f ca="1">IFERROR(__xludf.DUMMYFUNCTION("SUM(FILTER(J:J, H:H=""Chuyển khoản"")) - SUM(FILTER(K:K, H:H=""Chuyển khoản""))
"),4468984)</f>
        <v>4468984</v>
      </c>
      <c r="O1202" s="5"/>
      <c r="P1202" s="5"/>
      <c r="Q1202" s="5"/>
      <c r="R1202" s="5"/>
      <c r="S1202" s="5"/>
    </row>
    <row r="1203" spans="1:19" ht="15.75" customHeight="1" x14ac:dyDescent="0.2">
      <c r="A1203" s="3">
        <v>46044</v>
      </c>
      <c r="B1203" s="4" t="str">
        <f>IF(A1203="","","PC-"&amp;TEXT(A1203,"mm/yyyy")&amp;"-"&amp;TEXT(COUNTIFS($A$2:A1203,"&gt;="&amp;EOMONTH(A1203,-1)+1,$A$2:A1203,"&lt;="&amp;EOMONTH(A1203,0)),"000"))</f>
        <v>PC-01/2026-120</v>
      </c>
      <c r="C1203" s="5" t="s">
        <v>339</v>
      </c>
      <c r="D1203" s="5" t="s">
        <v>29</v>
      </c>
      <c r="E1203" s="5" t="s">
        <v>51</v>
      </c>
      <c r="F1203" s="5"/>
      <c r="G1203" s="5" t="s">
        <v>52</v>
      </c>
      <c r="H1203" s="5" t="s">
        <v>27</v>
      </c>
      <c r="I1203" s="6">
        <v>89794</v>
      </c>
      <c r="J1203" s="6">
        <f>IF(D1203="Thu",I1203,0)</f>
        <v>0</v>
      </c>
      <c r="K1203" s="6">
        <f>IF(D1203="Chi",I1203,0)</f>
        <v>89794</v>
      </c>
      <c r="L1203" s="6" t="e">
        <f>L1202+J1203-K1203</f>
        <v>#VALUE!</v>
      </c>
      <c r="M1203" s="6">
        <f ca="1">IFERROR(__xludf.DUMMYFUNCTION("SUM(FILTER(J:J, H:H=""Tiền mặt"")) - SUM(FILTER(K:K, H:H=""Tiền mặt""))
"),959000)</f>
        <v>959000</v>
      </c>
      <c r="N1203" s="6">
        <f ca="1">IFERROR(__xludf.DUMMYFUNCTION("SUM(FILTER(J:J, H:H=""Chuyển khoản"")) - SUM(FILTER(K:K, H:H=""Chuyển khoản""))
"),4468984)</f>
        <v>4468984</v>
      </c>
      <c r="O1203" s="5"/>
      <c r="P1203" s="5"/>
      <c r="Q1203" s="5"/>
      <c r="R1203" s="5"/>
      <c r="S1203" s="5"/>
    </row>
    <row r="1204" spans="1:19" ht="15.75" customHeight="1" x14ac:dyDescent="0.2">
      <c r="A1204" s="3">
        <v>46044</v>
      </c>
      <c r="B1204" s="4" t="str">
        <f>IF(A1204="","","PC-"&amp;TEXT(A1204,"mm/yyyy")&amp;"-"&amp;TEXT(COUNTIFS($A$2:A1204,"&gt;="&amp;EOMONTH(A1204,-1)+1,$A$2:A1204,"&lt;="&amp;EOMONTH(A1204,0)),"000"))</f>
        <v>PC-01/2026-121</v>
      </c>
      <c r="C1204" s="5" t="s">
        <v>340</v>
      </c>
      <c r="D1204" s="5" t="s">
        <v>29</v>
      </c>
      <c r="E1204" s="5" t="s">
        <v>64</v>
      </c>
      <c r="F1204" s="5"/>
      <c r="G1204" s="5" t="s">
        <v>341</v>
      </c>
      <c r="H1204" s="5" t="s">
        <v>23</v>
      </c>
      <c r="I1204" s="6">
        <v>2000000</v>
      </c>
      <c r="J1204" s="6">
        <f>IF(D1204="Thu",I1204,0)</f>
        <v>0</v>
      </c>
      <c r="K1204" s="6">
        <f>IF(D1204="Chi",I1204,0)</f>
        <v>2000000</v>
      </c>
      <c r="L1204" s="6" t="e">
        <f>L1203+J1204-K1204</f>
        <v>#VALUE!</v>
      </c>
      <c r="M1204" s="6">
        <f ca="1">IFERROR(__xludf.DUMMYFUNCTION("SUM(FILTER(J:J, H:H=""Tiền mặt"")) - SUM(FILTER(K:K, H:H=""Tiền mặt""))
"),959000)</f>
        <v>959000</v>
      </c>
      <c r="N1204" s="6">
        <f ca="1">IFERROR(__xludf.DUMMYFUNCTION("SUM(FILTER(J:J, H:H=""Chuyển khoản"")) - SUM(FILTER(K:K, H:H=""Chuyển khoản""))
"),4468984)</f>
        <v>4468984</v>
      </c>
      <c r="O1204" s="5"/>
      <c r="P1204" s="5"/>
      <c r="Q1204" s="5"/>
      <c r="R1204" s="5"/>
      <c r="S1204" s="5"/>
    </row>
    <row r="1205" spans="1:19" ht="15.75" customHeight="1" x14ac:dyDescent="0.2">
      <c r="A1205" s="3">
        <v>46044</v>
      </c>
      <c r="B1205" s="4" t="str">
        <f>IF(A1205="","","PC-"&amp;TEXT(A1205,"mm/yyyy")&amp;"-"&amp;TEXT(COUNTIFS($A$2:A1205,"&gt;="&amp;EOMONTH(A1205,-1)+1,$A$2:A1205,"&lt;="&amp;EOMONTH(A1205,0)),"000"))</f>
        <v>PC-01/2026-122</v>
      </c>
      <c r="C1205" s="5" t="s">
        <v>342</v>
      </c>
      <c r="D1205" s="5" t="s">
        <v>20</v>
      </c>
      <c r="E1205" s="5" t="s">
        <v>21</v>
      </c>
      <c r="F1205" s="5"/>
      <c r="G1205" s="5" t="s">
        <v>343</v>
      </c>
      <c r="H1205" s="5" t="s">
        <v>23</v>
      </c>
      <c r="I1205" s="6">
        <v>2000000</v>
      </c>
      <c r="J1205" s="6">
        <f>IF(D1205="Thu",I1205,0)</f>
        <v>2000000</v>
      </c>
      <c r="K1205" s="6">
        <f>IF(D1205="Chi",I1205,0)</f>
        <v>0</v>
      </c>
      <c r="L1205" s="6" t="e">
        <f>L1204+J1205-K1205</f>
        <v>#VALUE!</v>
      </c>
      <c r="M1205" s="6">
        <f ca="1">IFERROR(__xludf.DUMMYFUNCTION("SUM(FILTER(J:J, H:H=""Tiền mặt"")) - SUM(FILTER(K:K, H:H=""Tiền mặt""))
"),959000)</f>
        <v>959000</v>
      </c>
      <c r="N1205" s="6">
        <f ca="1">IFERROR(__xludf.DUMMYFUNCTION("SUM(FILTER(J:J, H:H=""Chuyển khoản"")) - SUM(FILTER(K:K, H:H=""Chuyển khoản""))
"),4468984)</f>
        <v>4468984</v>
      </c>
      <c r="O1205" s="5"/>
      <c r="P1205" s="5"/>
      <c r="Q1205" s="5"/>
      <c r="R1205" s="5"/>
      <c r="S1205" s="5"/>
    </row>
    <row r="1206" spans="1:19" ht="15.75" customHeight="1" x14ac:dyDescent="0.2">
      <c r="A1206" s="3">
        <v>46044</v>
      </c>
      <c r="B1206" s="4" t="str">
        <f>IF(A1206="","","PC-"&amp;TEXT(A1206,"mm/yyyy")&amp;"-"&amp;TEXT(COUNTIFS($A$2:A1206,"&gt;="&amp;EOMONTH(A1206,-1)+1,$A$2:A1206,"&lt;="&amp;EOMONTH(A1206,0)),"000"))</f>
        <v>PC-01/2026-123</v>
      </c>
      <c r="C1206" s="5" t="s">
        <v>344</v>
      </c>
      <c r="D1206" s="5" t="s">
        <v>29</v>
      </c>
      <c r="E1206" s="5" t="s">
        <v>41</v>
      </c>
      <c r="F1206" s="5"/>
      <c r="G1206" s="5" t="s">
        <v>82</v>
      </c>
      <c r="H1206" s="5" t="s">
        <v>23</v>
      </c>
      <c r="I1206" s="6">
        <v>200000</v>
      </c>
      <c r="J1206" s="6">
        <f>IF(D1206="Thu",I1206,0)</f>
        <v>0</v>
      </c>
      <c r="K1206" s="6">
        <f>IF(D1206="Chi",I1206,0)</f>
        <v>200000</v>
      </c>
      <c r="L1206" s="6" t="e">
        <f>L1205+J1206-K1206</f>
        <v>#VALUE!</v>
      </c>
      <c r="M1206" s="6">
        <f ca="1">IFERROR(__xludf.DUMMYFUNCTION("SUM(FILTER(J:J, H:H=""Tiền mặt"")) - SUM(FILTER(K:K, H:H=""Tiền mặt""))
"),959000)</f>
        <v>959000</v>
      </c>
      <c r="N1206" s="6">
        <f ca="1">IFERROR(__xludf.DUMMYFUNCTION("SUM(FILTER(J:J, H:H=""Chuyển khoản"")) - SUM(FILTER(K:K, H:H=""Chuyển khoản""))
"),4468984)</f>
        <v>4468984</v>
      </c>
      <c r="O1206" s="5"/>
      <c r="P1206" s="5"/>
      <c r="Q1206" s="5"/>
      <c r="R1206" s="5"/>
      <c r="S1206" s="5"/>
    </row>
    <row r="1207" spans="1:19" ht="15.75" customHeight="1" x14ac:dyDescent="0.2">
      <c r="A1207" s="3">
        <v>46044</v>
      </c>
      <c r="B1207" s="4" t="str">
        <f>IF(A1207="","","PC-"&amp;TEXT(A1207,"mm/yyyy")&amp;"-"&amp;TEXT(COUNTIFS($A$2:A1207,"&gt;="&amp;EOMONTH(A1207,-1)+1,$A$2:A1207,"&lt;="&amp;EOMONTH(A1207,0)),"000"))</f>
        <v>PC-01/2026-124</v>
      </c>
      <c r="C1207" s="7" t="s">
        <v>345</v>
      </c>
      <c r="D1207" s="5" t="s">
        <v>29</v>
      </c>
      <c r="E1207" s="5" t="s">
        <v>346</v>
      </c>
      <c r="F1207" s="5"/>
      <c r="G1207" s="5" t="s">
        <v>347</v>
      </c>
      <c r="H1207" s="5" t="s">
        <v>27</v>
      </c>
      <c r="I1207" s="6">
        <v>3000000</v>
      </c>
      <c r="J1207" s="6">
        <f>IF(D1207="Thu",I1207,0)</f>
        <v>0</v>
      </c>
      <c r="K1207" s="6">
        <f>IF(D1207="Chi",I1207,0)</f>
        <v>3000000</v>
      </c>
      <c r="L1207" s="6" t="e">
        <f>L1206+J1207-K1207</f>
        <v>#VALUE!</v>
      </c>
      <c r="M1207" s="6">
        <f ca="1">IFERROR(__xludf.DUMMYFUNCTION("SUM(FILTER(J:J, H:H=""Tiền mặt"")) - SUM(FILTER(K:K, H:H=""Tiền mặt""))
"),959000)</f>
        <v>959000</v>
      </c>
      <c r="N1207" s="6">
        <f ca="1">IFERROR(__xludf.DUMMYFUNCTION("SUM(FILTER(J:J, H:H=""Chuyển khoản"")) - SUM(FILTER(K:K, H:H=""Chuyển khoản""))
"),4468984)</f>
        <v>4468984</v>
      </c>
      <c r="O1207" s="5"/>
      <c r="P1207" s="5"/>
      <c r="Q1207" s="5"/>
      <c r="R1207" s="5"/>
      <c r="S1207" s="5"/>
    </row>
    <row r="1208" spans="1:19" ht="15.75" customHeight="1" x14ac:dyDescent="0.2">
      <c r="A1208" s="3">
        <v>46044</v>
      </c>
      <c r="B1208" s="4" t="str">
        <f>IF(A1208="","","PC-"&amp;TEXT(A1208,"mm/yyyy")&amp;"-"&amp;TEXT(COUNTIFS($A$2:A1208,"&gt;="&amp;EOMONTH(A1208,-1)+1,$A$2:A1208,"&lt;="&amp;EOMONTH(A1208,0)),"000"))</f>
        <v>PC-01/2026-125</v>
      </c>
      <c r="C1208" s="5" t="s">
        <v>348</v>
      </c>
      <c r="D1208" s="5" t="s">
        <v>29</v>
      </c>
      <c r="E1208" s="5" t="s">
        <v>64</v>
      </c>
      <c r="F1208" s="5"/>
      <c r="G1208" s="5" t="s">
        <v>219</v>
      </c>
      <c r="H1208" s="5" t="s">
        <v>27</v>
      </c>
      <c r="I1208" s="6">
        <v>1000000</v>
      </c>
      <c r="J1208" s="6">
        <f>IF(D1208="Thu",I1208,0)</f>
        <v>0</v>
      </c>
      <c r="K1208" s="6">
        <f>IF(D1208="Chi",I1208,0)</f>
        <v>1000000</v>
      </c>
      <c r="L1208" s="6" t="e">
        <f>L1207+J1208-K1208</f>
        <v>#VALUE!</v>
      </c>
      <c r="M1208" s="6">
        <f ca="1">IFERROR(__xludf.DUMMYFUNCTION("SUM(FILTER(J:J, H:H=""Tiền mặt"")) - SUM(FILTER(K:K, H:H=""Tiền mặt""))
"),959000)</f>
        <v>959000</v>
      </c>
      <c r="N1208" s="6">
        <f ca="1">IFERROR(__xludf.DUMMYFUNCTION("SUM(FILTER(J:J, H:H=""Chuyển khoản"")) - SUM(FILTER(K:K, H:H=""Chuyển khoản""))
"),4468984)</f>
        <v>4468984</v>
      </c>
      <c r="O1208" s="5"/>
      <c r="P1208" s="5"/>
      <c r="Q1208" s="5"/>
      <c r="R1208" s="5"/>
      <c r="S1208" s="5"/>
    </row>
    <row r="1209" spans="1:19" ht="15.75" customHeight="1" x14ac:dyDescent="0.2">
      <c r="A1209" s="3">
        <v>46043</v>
      </c>
      <c r="B1209" s="4" t="str">
        <f>IF(A1209="","","PC-"&amp;TEXT(A1209,"mm/yyyy")&amp;"-"&amp;TEXT(COUNTIFS($A$2:A1209,"&gt;="&amp;EOMONTH(A1209,-1)+1,$A$2:A1209,"&lt;="&amp;EOMONTH(A1209,0)),"000"))</f>
        <v>PC-01/2026-126</v>
      </c>
      <c r="C1209" s="5" t="s">
        <v>306</v>
      </c>
      <c r="D1209" s="5" t="s">
        <v>20</v>
      </c>
      <c r="E1209" s="5" t="s">
        <v>21</v>
      </c>
      <c r="F1209" s="5"/>
      <c r="G1209" s="5" t="s">
        <v>22</v>
      </c>
      <c r="H1209" s="5" t="s">
        <v>23</v>
      </c>
      <c r="I1209" s="6">
        <v>10000000</v>
      </c>
      <c r="J1209" s="6">
        <f>IF(D1209="Thu",I1209,0)</f>
        <v>10000000</v>
      </c>
      <c r="K1209" s="6">
        <f>IF(D1209="Chi",I1209,0)</f>
        <v>0</v>
      </c>
      <c r="L1209" s="6" t="e">
        <f>L1208+J1209-K1209</f>
        <v>#VALUE!</v>
      </c>
      <c r="M1209" s="6">
        <f ca="1">IFERROR(__xludf.DUMMYFUNCTION("SUM(FILTER(J:J, H:H=""Tiền mặt"")) - SUM(FILTER(K:K, H:H=""Tiền mặt""))
"),959000)</f>
        <v>959000</v>
      </c>
      <c r="N1209" s="6">
        <f ca="1">IFERROR(__xludf.DUMMYFUNCTION("SUM(FILTER(J:J, H:H=""Chuyển khoản"")) - SUM(FILTER(K:K, H:H=""Chuyển khoản""))
"),4468984)</f>
        <v>4468984</v>
      </c>
      <c r="O1209" s="5"/>
      <c r="P1209" s="5"/>
      <c r="Q1209" s="5"/>
      <c r="R1209" s="5"/>
      <c r="S1209" s="5"/>
    </row>
    <row r="1210" spans="1:19" ht="15.75" customHeight="1" x14ac:dyDescent="0.2">
      <c r="A1210" s="3">
        <v>46043</v>
      </c>
      <c r="B1210" s="4" t="str">
        <f>IF(A1210="","","PC-"&amp;TEXT(A1210,"mm/yyyy")&amp;"-"&amp;TEXT(COUNTIFS($A$2:A1210,"&gt;="&amp;EOMONTH(A1210,-1)+1,$A$2:A1210,"&lt;="&amp;EOMONTH(A1210,0)),"000"))</f>
        <v>PC-01/2026-127</v>
      </c>
      <c r="C1210" s="5" t="s">
        <v>307</v>
      </c>
      <c r="D1210" s="5" t="s">
        <v>29</v>
      </c>
      <c r="E1210" s="5" t="s">
        <v>88</v>
      </c>
      <c r="F1210" s="5"/>
      <c r="G1210" s="5" t="s">
        <v>113</v>
      </c>
      <c r="H1210" s="5" t="s">
        <v>23</v>
      </c>
      <c r="I1210" s="6">
        <v>2000000</v>
      </c>
      <c r="J1210" s="6">
        <f>IF(D1210="Thu",I1210,0)</f>
        <v>0</v>
      </c>
      <c r="K1210" s="6">
        <f>IF(D1210="Chi",I1210,0)</f>
        <v>2000000</v>
      </c>
      <c r="L1210" s="6" t="e">
        <f>L1209+J1210-K1210</f>
        <v>#VALUE!</v>
      </c>
      <c r="M1210" s="6">
        <f ca="1">IFERROR(__xludf.DUMMYFUNCTION("SUM(FILTER(J:J, H:H=""Tiền mặt"")) - SUM(FILTER(K:K, H:H=""Tiền mặt""))
"),959000)</f>
        <v>959000</v>
      </c>
      <c r="N1210" s="6">
        <f ca="1">IFERROR(__xludf.DUMMYFUNCTION("SUM(FILTER(J:J, H:H=""Chuyển khoản"")) - SUM(FILTER(K:K, H:H=""Chuyển khoản""))
"),4468984)</f>
        <v>4468984</v>
      </c>
      <c r="O1210" s="5"/>
      <c r="P1210" s="5"/>
      <c r="Q1210" s="5"/>
      <c r="R1210" s="5"/>
      <c r="S1210" s="5"/>
    </row>
    <row r="1211" spans="1:19" ht="15.75" customHeight="1" x14ac:dyDescent="0.2">
      <c r="A1211" s="3">
        <v>46043</v>
      </c>
      <c r="B1211" s="4" t="str">
        <f>IF(A1211="","","PC-"&amp;TEXT(A1211,"mm/yyyy")&amp;"-"&amp;TEXT(COUNTIFS($A$2:A1211,"&gt;="&amp;EOMONTH(A1211,-1)+1,$A$2:A1211,"&lt;="&amp;EOMONTH(A1211,0)),"000"))</f>
        <v>PC-01/2026-128</v>
      </c>
      <c r="C1211" s="5" t="s">
        <v>308</v>
      </c>
      <c r="D1211" s="5" t="s">
        <v>29</v>
      </c>
      <c r="E1211" s="5" t="s">
        <v>71</v>
      </c>
      <c r="F1211" s="5"/>
      <c r="G1211" s="5" t="s">
        <v>309</v>
      </c>
      <c r="H1211" s="5" t="s">
        <v>27</v>
      </c>
      <c r="I1211" s="6">
        <v>60000</v>
      </c>
      <c r="J1211" s="6">
        <f>IF(D1211="Thu",I1211,0)</f>
        <v>0</v>
      </c>
      <c r="K1211" s="6">
        <f>IF(D1211="Chi",I1211,0)</f>
        <v>60000</v>
      </c>
      <c r="L1211" s="6" t="e">
        <f>L1210+J1211-K1211</f>
        <v>#VALUE!</v>
      </c>
      <c r="M1211" s="6">
        <f ca="1">IFERROR(__xludf.DUMMYFUNCTION("SUM(FILTER(J:J, H:H=""Tiền mặt"")) - SUM(FILTER(K:K, H:H=""Tiền mặt""))
"),959000)</f>
        <v>959000</v>
      </c>
      <c r="N1211" s="6">
        <f ca="1">IFERROR(__xludf.DUMMYFUNCTION("SUM(FILTER(J:J, H:H=""Chuyển khoản"")) - SUM(FILTER(K:K, H:H=""Chuyển khoản""))
"),4468984)</f>
        <v>4468984</v>
      </c>
      <c r="O1211" s="5"/>
      <c r="P1211" s="5"/>
      <c r="Q1211" s="5"/>
      <c r="R1211" s="5"/>
      <c r="S1211" s="5"/>
    </row>
    <row r="1212" spans="1:19" ht="15.75" customHeight="1" x14ac:dyDescent="0.2">
      <c r="A1212" s="3">
        <v>46043</v>
      </c>
      <c r="B1212" s="4" t="str">
        <f>IF(A1212="","","PC-"&amp;TEXT(A1212,"mm/yyyy")&amp;"-"&amp;TEXT(COUNTIFS($A$2:A1212,"&gt;="&amp;EOMONTH(A1212,-1)+1,$A$2:A1212,"&lt;="&amp;EOMONTH(A1212,0)),"000"))</f>
        <v>PC-01/2026-129</v>
      </c>
      <c r="C1212" s="7" t="s">
        <v>310</v>
      </c>
      <c r="D1212" s="5" t="s">
        <v>29</v>
      </c>
      <c r="E1212" s="5" t="s">
        <v>64</v>
      </c>
      <c r="F1212" s="5"/>
      <c r="G1212" s="5" t="s">
        <v>219</v>
      </c>
      <c r="H1212" s="5" t="s">
        <v>27</v>
      </c>
      <c r="I1212" s="6">
        <v>1500000</v>
      </c>
      <c r="J1212" s="6">
        <f>IF(D1212="Thu",I1212,0)</f>
        <v>0</v>
      </c>
      <c r="K1212" s="6">
        <f>IF(D1212="Chi",I1212,0)</f>
        <v>1500000</v>
      </c>
      <c r="L1212" s="6" t="e">
        <f>L1211+J1212-K1212</f>
        <v>#VALUE!</v>
      </c>
      <c r="M1212" s="6">
        <f ca="1">IFERROR(__xludf.DUMMYFUNCTION("SUM(FILTER(J:J, H:H=""Tiền mặt"")) - SUM(FILTER(K:K, H:H=""Tiền mặt""))
"),959000)</f>
        <v>959000</v>
      </c>
      <c r="N1212" s="6">
        <f ca="1">IFERROR(__xludf.DUMMYFUNCTION("SUM(FILTER(J:J, H:H=""Chuyển khoản"")) - SUM(FILTER(K:K, H:H=""Chuyển khoản""))
"),4468984)</f>
        <v>4468984</v>
      </c>
      <c r="O1212" s="5"/>
      <c r="P1212" s="5"/>
      <c r="Q1212" s="5"/>
      <c r="R1212" s="5"/>
      <c r="S1212" s="5"/>
    </row>
    <row r="1213" spans="1:19" ht="15.75" customHeight="1" x14ac:dyDescent="0.2">
      <c r="A1213" s="3">
        <v>46043</v>
      </c>
      <c r="B1213" s="4" t="str">
        <f>IF(A1213="","","PC-"&amp;TEXT(A1213,"mm/yyyy")&amp;"-"&amp;TEXT(COUNTIFS($A$2:A1213,"&gt;="&amp;EOMONTH(A1213,-1)+1,$A$2:A1213,"&lt;="&amp;EOMONTH(A1213,0)),"000"))</f>
        <v>PC-01/2026-130</v>
      </c>
      <c r="C1213" s="7" t="s">
        <v>311</v>
      </c>
      <c r="D1213" s="5" t="s">
        <v>29</v>
      </c>
      <c r="E1213" s="5" t="s">
        <v>44</v>
      </c>
      <c r="F1213" s="5"/>
      <c r="G1213" s="5" t="s">
        <v>99</v>
      </c>
      <c r="H1213" s="5" t="s">
        <v>23</v>
      </c>
      <c r="I1213" s="6">
        <v>2000000</v>
      </c>
      <c r="J1213" s="6">
        <f>IF(D1213="Thu",I1213,0)</f>
        <v>0</v>
      </c>
      <c r="K1213" s="6">
        <f>IF(D1213="Chi",I1213,0)</f>
        <v>2000000</v>
      </c>
      <c r="L1213" s="6" t="e">
        <f>L1212+J1213-K1213</f>
        <v>#VALUE!</v>
      </c>
      <c r="M1213" s="6">
        <f ca="1">IFERROR(__xludf.DUMMYFUNCTION("SUM(FILTER(J:J, H:H=""Tiền mặt"")) - SUM(FILTER(K:K, H:H=""Tiền mặt""))
"),959000)</f>
        <v>959000</v>
      </c>
      <c r="N1213" s="6">
        <f ca="1">IFERROR(__xludf.DUMMYFUNCTION("SUM(FILTER(J:J, H:H=""Chuyển khoản"")) - SUM(FILTER(K:K, H:H=""Chuyển khoản""))
"),4468984)</f>
        <v>4468984</v>
      </c>
      <c r="O1213" s="5"/>
      <c r="P1213" s="5"/>
      <c r="Q1213" s="5"/>
      <c r="R1213" s="5"/>
      <c r="S1213" s="5"/>
    </row>
    <row r="1214" spans="1:19" ht="15.75" customHeight="1" x14ac:dyDescent="0.2">
      <c r="A1214" s="3">
        <v>46043</v>
      </c>
      <c r="B1214" s="4" t="str">
        <f>IF(A1214="","","PC-"&amp;TEXT(A1214,"mm/yyyy")&amp;"-"&amp;TEXT(COUNTIFS($A$2:A1214,"&gt;="&amp;EOMONTH(A1214,-1)+1,$A$2:A1214,"&lt;="&amp;EOMONTH(A1214,0)),"000"))</f>
        <v>PC-01/2026-131</v>
      </c>
      <c r="C1214" s="7" t="s">
        <v>312</v>
      </c>
      <c r="D1214" s="5" t="s">
        <v>29</v>
      </c>
      <c r="E1214" s="5" t="s">
        <v>47</v>
      </c>
      <c r="F1214" s="5"/>
      <c r="G1214" s="5" t="s">
        <v>48</v>
      </c>
      <c r="H1214" s="5" t="s">
        <v>23</v>
      </c>
      <c r="I1214" s="6">
        <v>100000</v>
      </c>
      <c r="J1214" s="6">
        <f>IF(D1214="Thu",I1214,0)</f>
        <v>0</v>
      </c>
      <c r="K1214" s="6">
        <f>IF(D1214="Chi",I1214,0)</f>
        <v>100000</v>
      </c>
      <c r="L1214" s="6" t="e">
        <f>L1213+J1214-K1214</f>
        <v>#VALUE!</v>
      </c>
      <c r="M1214" s="6">
        <f ca="1">IFERROR(__xludf.DUMMYFUNCTION("SUM(FILTER(J:J, H:H=""Tiền mặt"")) - SUM(FILTER(K:K, H:H=""Tiền mặt""))
"),959000)</f>
        <v>959000</v>
      </c>
      <c r="N1214" s="6">
        <f ca="1">IFERROR(__xludf.DUMMYFUNCTION("SUM(FILTER(J:J, H:H=""Chuyển khoản"")) - SUM(FILTER(K:K, H:H=""Chuyển khoản""))
"),4468984)</f>
        <v>4468984</v>
      </c>
      <c r="O1214" s="5"/>
      <c r="P1214" s="5"/>
      <c r="Q1214" s="5"/>
      <c r="R1214" s="5"/>
      <c r="S1214" s="5"/>
    </row>
    <row r="1215" spans="1:19" ht="15.75" customHeight="1" x14ac:dyDescent="0.2">
      <c r="A1215" s="3">
        <v>46043</v>
      </c>
      <c r="B1215" s="4" t="str">
        <f>IF(A1215="","","PC-"&amp;TEXT(A1215,"mm/yyyy")&amp;"-"&amp;TEXT(COUNTIFS($A$2:A1215,"&gt;="&amp;EOMONTH(A1215,-1)+1,$A$2:A1215,"&lt;="&amp;EOMONTH(A1215,0)),"000"))</f>
        <v>PC-01/2026-132</v>
      </c>
      <c r="C1215" s="5" t="s">
        <v>313</v>
      </c>
      <c r="D1215" s="5" t="s">
        <v>29</v>
      </c>
      <c r="E1215" s="5" t="s">
        <v>88</v>
      </c>
      <c r="F1215" s="5"/>
      <c r="G1215" s="5" t="s">
        <v>113</v>
      </c>
      <c r="H1215" s="5" t="s">
        <v>23</v>
      </c>
      <c r="I1215" s="6">
        <v>2000000</v>
      </c>
      <c r="J1215" s="6">
        <f>IF(D1215="Thu",I1215,0)</f>
        <v>0</v>
      </c>
      <c r="K1215" s="6">
        <f>IF(D1215="Chi",I1215,0)</f>
        <v>2000000</v>
      </c>
      <c r="L1215" s="6" t="e">
        <f>L1214+J1215-K1215</f>
        <v>#VALUE!</v>
      </c>
      <c r="M1215" s="6">
        <f ca="1">IFERROR(__xludf.DUMMYFUNCTION("SUM(FILTER(J:J, H:H=""Tiền mặt"")) - SUM(FILTER(K:K, H:H=""Tiền mặt""))
"),959000)</f>
        <v>959000</v>
      </c>
      <c r="N1215" s="6">
        <f ca="1">IFERROR(__xludf.DUMMYFUNCTION("SUM(FILTER(J:J, H:H=""Chuyển khoản"")) - SUM(FILTER(K:K, H:H=""Chuyển khoản""))
"),4468984)</f>
        <v>4468984</v>
      </c>
      <c r="O1215" s="5"/>
      <c r="P1215" s="5"/>
      <c r="Q1215" s="5"/>
      <c r="R1215" s="5"/>
      <c r="S1215" s="5"/>
    </row>
    <row r="1216" spans="1:19" ht="15.75" customHeight="1" x14ac:dyDescent="0.2">
      <c r="A1216" s="3">
        <v>46043</v>
      </c>
      <c r="B1216" s="4" t="str">
        <f>IF(A1216="","","PC-"&amp;TEXT(A1216,"mm/yyyy")&amp;"-"&amp;TEXT(COUNTIFS($A$2:A1216,"&gt;="&amp;EOMONTH(A1216,-1)+1,$A$2:A1216,"&lt;="&amp;EOMONTH(A1216,0)),"000"))</f>
        <v>PC-01/2026-133</v>
      </c>
      <c r="C1216" s="5" t="s">
        <v>314</v>
      </c>
      <c r="D1216" s="5" t="s">
        <v>29</v>
      </c>
      <c r="E1216" s="5" t="s">
        <v>64</v>
      </c>
      <c r="F1216" s="5"/>
      <c r="G1216" s="5" t="s">
        <v>217</v>
      </c>
      <c r="H1216" s="5" t="s">
        <v>27</v>
      </c>
      <c r="I1216" s="6">
        <v>110000</v>
      </c>
      <c r="J1216" s="6">
        <f>IF(D1216="Thu",I1216,0)</f>
        <v>0</v>
      </c>
      <c r="K1216" s="6">
        <f>IF(D1216="Chi",I1216,0)</f>
        <v>110000</v>
      </c>
      <c r="L1216" s="6" t="e">
        <f>L1215+J1216-K1216</f>
        <v>#VALUE!</v>
      </c>
      <c r="M1216" s="6">
        <f ca="1">IFERROR(__xludf.DUMMYFUNCTION("SUM(FILTER(J:J, H:H=""Tiền mặt"")) - SUM(FILTER(K:K, H:H=""Tiền mặt""))
"),959000)</f>
        <v>959000</v>
      </c>
      <c r="N1216" s="6">
        <f ca="1">IFERROR(__xludf.DUMMYFUNCTION("SUM(FILTER(J:J, H:H=""Chuyển khoản"")) - SUM(FILTER(K:K, H:H=""Chuyển khoản""))
"),4468984)</f>
        <v>4468984</v>
      </c>
      <c r="O1216" s="5"/>
      <c r="P1216" s="5"/>
      <c r="Q1216" s="5"/>
      <c r="R1216" s="5"/>
      <c r="S1216" s="5"/>
    </row>
    <row r="1217" spans="1:19" ht="15.75" customHeight="1" x14ac:dyDescent="0.2">
      <c r="A1217" s="3">
        <v>46043</v>
      </c>
      <c r="B1217" s="4" t="str">
        <f>IF(A1217="","","PC-"&amp;TEXT(A1217,"mm/yyyy")&amp;"-"&amp;TEXT(COUNTIFS($A$2:A1217,"&gt;="&amp;EOMONTH(A1217,-1)+1,$A$2:A1217,"&lt;="&amp;EOMONTH(A1217,0)),"000"))</f>
        <v>PC-01/2026-134</v>
      </c>
      <c r="C1217" s="5" t="s">
        <v>315</v>
      </c>
      <c r="D1217" s="5" t="s">
        <v>29</v>
      </c>
      <c r="E1217" s="5" t="s">
        <v>71</v>
      </c>
      <c r="F1217" s="5"/>
      <c r="G1217" s="5" t="s">
        <v>316</v>
      </c>
      <c r="H1217" s="5" t="s">
        <v>27</v>
      </c>
      <c r="I1217" s="6">
        <v>38000</v>
      </c>
      <c r="J1217" s="6">
        <f>IF(D1217="Thu",I1217,0)</f>
        <v>0</v>
      </c>
      <c r="K1217" s="6">
        <f>IF(D1217="Chi",I1217,0)</f>
        <v>38000</v>
      </c>
      <c r="L1217" s="6" t="e">
        <f>L1216+J1217-K1217</f>
        <v>#VALUE!</v>
      </c>
      <c r="M1217" s="6">
        <f ca="1">IFERROR(__xludf.DUMMYFUNCTION("SUM(FILTER(J:J, H:H=""Tiền mặt"")) - SUM(FILTER(K:K, H:H=""Tiền mặt""))
"),959000)</f>
        <v>959000</v>
      </c>
      <c r="N1217" s="6">
        <f ca="1">IFERROR(__xludf.DUMMYFUNCTION("SUM(FILTER(J:J, H:H=""Chuyển khoản"")) - SUM(FILTER(K:K, H:H=""Chuyển khoản""))
"),4468984)</f>
        <v>4468984</v>
      </c>
      <c r="O1217" s="5"/>
      <c r="P1217" s="5"/>
      <c r="Q1217" s="5"/>
      <c r="R1217" s="5"/>
      <c r="S1217" s="5"/>
    </row>
    <row r="1218" spans="1:19" ht="15.75" customHeight="1" x14ac:dyDescent="0.2">
      <c r="A1218" s="3">
        <v>46043</v>
      </c>
      <c r="B1218" s="4" t="str">
        <f>IF(A1218="","","PC-"&amp;TEXT(A1218,"mm/yyyy")&amp;"-"&amp;TEXT(COUNTIFS($A$2:A1218,"&gt;="&amp;EOMONTH(A1218,-1)+1,$A$2:A1218,"&lt;="&amp;EOMONTH(A1218,0)),"000"))</f>
        <v>PC-01/2026-135</v>
      </c>
      <c r="C1218" s="5" t="s">
        <v>317</v>
      </c>
      <c r="D1218" s="5" t="s">
        <v>29</v>
      </c>
      <c r="E1218" s="5" t="s">
        <v>64</v>
      </c>
      <c r="F1218" s="5"/>
      <c r="G1218" s="5" t="s">
        <v>318</v>
      </c>
      <c r="H1218" s="5" t="s">
        <v>23</v>
      </c>
      <c r="I1218" s="6">
        <v>3000000</v>
      </c>
      <c r="J1218" s="6">
        <f>IF(D1218="Thu",I1218,0)</f>
        <v>0</v>
      </c>
      <c r="K1218" s="6">
        <f>IF(D1218="Chi",I1218,0)</f>
        <v>3000000</v>
      </c>
      <c r="L1218" s="6" t="e">
        <f>L1217+J1218-K1218</f>
        <v>#VALUE!</v>
      </c>
      <c r="M1218" s="6">
        <f ca="1">IFERROR(__xludf.DUMMYFUNCTION("SUM(FILTER(J:J, H:H=""Tiền mặt"")) - SUM(FILTER(K:K, H:H=""Tiền mặt""))
"),959000)</f>
        <v>959000</v>
      </c>
      <c r="N1218" s="6">
        <f ca="1">IFERROR(__xludf.DUMMYFUNCTION("SUM(FILTER(J:J, H:H=""Chuyển khoản"")) - SUM(FILTER(K:K, H:H=""Chuyển khoản""))
"),4468984)</f>
        <v>4468984</v>
      </c>
      <c r="O1218" s="5"/>
      <c r="P1218" s="5"/>
      <c r="Q1218" s="5"/>
      <c r="R1218" s="5"/>
      <c r="S1218" s="5"/>
    </row>
    <row r="1219" spans="1:19" ht="15.75" customHeight="1" x14ac:dyDescent="0.2">
      <c r="A1219" s="3">
        <v>46043</v>
      </c>
      <c r="B1219" s="4" t="str">
        <f>IF(A1219="","","PC-"&amp;TEXT(A1219,"mm/yyyy")&amp;"-"&amp;TEXT(COUNTIFS($A$2:A1219,"&gt;="&amp;EOMONTH(A1219,-1)+1,$A$2:A1219,"&lt;="&amp;EOMONTH(A1219,0)),"000"))</f>
        <v>PC-01/2026-136</v>
      </c>
      <c r="C1219" s="7" t="s">
        <v>319</v>
      </c>
      <c r="D1219" s="5" t="s">
        <v>29</v>
      </c>
      <c r="E1219" s="5" t="s">
        <v>41</v>
      </c>
      <c r="F1219" s="5"/>
      <c r="G1219" s="7" t="s">
        <v>320</v>
      </c>
      <c r="H1219" s="5" t="s">
        <v>23</v>
      </c>
      <c r="I1219" s="6">
        <v>100000</v>
      </c>
      <c r="J1219" s="6">
        <f>IF(D1219="Thu",I1219,0)</f>
        <v>0</v>
      </c>
      <c r="K1219" s="6">
        <f>IF(D1219="Chi",I1219,0)</f>
        <v>100000</v>
      </c>
      <c r="L1219" s="6" t="e">
        <f>L1218+J1219-K1219</f>
        <v>#VALUE!</v>
      </c>
      <c r="M1219" s="6">
        <f ca="1">IFERROR(__xludf.DUMMYFUNCTION("SUM(FILTER(J:J, H:H=""Tiền mặt"")) - SUM(FILTER(K:K, H:H=""Tiền mặt""))
"),959000)</f>
        <v>959000</v>
      </c>
      <c r="N1219" s="6">
        <f ca="1">IFERROR(__xludf.DUMMYFUNCTION("SUM(FILTER(J:J, H:H=""Chuyển khoản"")) - SUM(FILTER(K:K, H:H=""Chuyển khoản""))
"),4468984)</f>
        <v>4468984</v>
      </c>
      <c r="O1219" s="5"/>
      <c r="P1219" s="5"/>
      <c r="Q1219" s="5"/>
      <c r="R1219" s="5"/>
      <c r="S1219" s="5"/>
    </row>
    <row r="1220" spans="1:19" ht="15.75" customHeight="1" x14ac:dyDescent="0.2">
      <c r="A1220" s="3">
        <v>46043</v>
      </c>
      <c r="B1220" s="4" t="str">
        <f>IF(A1220="","","PC-"&amp;TEXT(A1220,"mm/yyyy")&amp;"-"&amp;TEXT(COUNTIFS($A$2:A1220,"&gt;="&amp;EOMONTH(A1220,-1)+1,$A$2:A1220,"&lt;="&amp;EOMONTH(A1220,0)),"000"))</f>
        <v>PC-01/2026-137</v>
      </c>
      <c r="C1220" s="5" t="s">
        <v>321</v>
      </c>
      <c r="D1220" s="5" t="s">
        <v>29</v>
      </c>
      <c r="E1220" s="5" t="s">
        <v>47</v>
      </c>
      <c r="F1220" s="5"/>
      <c r="G1220" s="5" t="s">
        <v>48</v>
      </c>
      <c r="H1220" s="5" t="s">
        <v>23</v>
      </c>
      <c r="I1220" s="6">
        <v>50000</v>
      </c>
      <c r="J1220" s="6">
        <f>IF(D1220="Thu",I1220,0)</f>
        <v>0</v>
      </c>
      <c r="K1220" s="6">
        <f>IF(D1220="Chi",I1220,0)</f>
        <v>50000</v>
      </c>
      <c r="L1220" s="6" t="e">
        <f>L1219+J1220-K1220</f>
        <v>#VALUE!</v>
      </c>
      <c r="M1220" s="6">
        <f ca="1">IFERROR(__xludf.DUMMYFUNCTION("SUM(FILTER(J:J, H:H=""Tiền mặt"")) - SUM(FILTER(K:K, H:H=""Tiền mặt""))
"),959000)</f>
        <v>959000</v>
      </c>
      <c r="N1220" s="6">
        <f ca="1">IFERROR(__xludf.DUMMYFUNCTION("SUM(FILTER(J:J, H:H=""Chuyển khoản"")) - SUM(FILTER(K:K, H:H=""Chuyển khoản""))
"),4468984)</f>
        <v>4468984</v>
      </c>
      <c r="O1220" s="5"/>
      <c r="P1220" s="5"/>
      <c r="Q1220" s="5"/>
      <c r="R1220" s="5"/>
      <c r="S1220" s="5"/>
    </row>
    <row r="1221" spans="1:19" ht="15.75" customHeight="1" x14ac:dyDescent="0.2">
      <c r="A1221" s="3">
        <v>46043</v>
      </c>
      <c r="B1221" s="4" t="str">
        <f>IF(A1221="","","PC-"&amp;TEXT(A1221,"mm/yyyy")&amp;"-"&amp;TEXT(COUNTIFS($A$2:A1221,"&gt;="&amp;EOMONTH(A1221,-1)+1,$A$2:A1221,"&lt;="&amp;EOMONTH(A1221,0)),"000"))</f>
        <v>PC-01/2026-138</v>
      </c>
      <c r="C1221" s="5" t="s">
        <v>322</v>
      </c>
      <c r="D1221" s="5" t="s">
        <v>29</v>
      </c>
      <c r="E1221" s="5" t="s">
        <v>51</v>
      </c>
      <c r="F1221" s="5"/>
      <c r="G1221" s="5" t="s">
        <v>52</v>
      </c>
      <c r="H1221" s="5" t="s">
        <v>27</v>
      </c>
      <c r="I1221" s="6">
        <v>444861</v>
      </c>
      <c r="J1221" s="6">
        <f>IF(D1221="Thu",I1221,0)</f>
        <v>0</v>
      </c>
      <c r="K1221" s="6">
        <f>IF(D1221="Chi",I1221,0)</f>
        <v>444861</v>
      </c>
      <c r="L1221" s="6" t="e">
        <f>L1220+J1221-K1221</f>
        <v>#VALUE!</v>
      </c>
      <c r="M1221" s="6">
        <f ca="1">IFERROR(__xludf.DUMMYFUNCTION("SUM(FILTER(J:J, H:H=""Tiền mặt"")) - SUM(FILTER(K:K, H:H=""Tiền mặt""))
"),959000)</f>
        <v>959000</v>
      </c>
      <c r="N1221" s="6">
        <f ca="1">IFERROR(__xludf.DUMMYFUNCTION("SUM(FILTER(J:J, H:H=""Chuyển khoản"")) - SUM(FILTER(K:K, H:H=""Chuyển khoản""))
"),4468984)</f>
        <v>4468984</v>
      </c>
      <c r="O1221" s="5"/>
      <c r="P1221" s="5"/>
      <c r="Q1221" s="5"/>
      <c r="R1221" s="5"/>
      <c r="S1221" s="5"/>
    </row>
    <row r="1222" spans="1:19" ht="15.75" customHeight="1" x14ac:dyDescent="0.2">
      <c r="A1222" s="3">
        <v>46042</v>
      </c>
      <c r="B1222" s="4" t="str">
        <f>IF(A1222="","","PC-"&amp;TEXT(A1222,"mm/yyyy")&amp;"-"&amp;TEXT(COUNTIFS($A$2:A1222,"&gt;="&amp;EOMONTH(A1222,-1)+1,$A$2:A1222,"&lt;="&amp;EOMONTH(A1222,0)),"000"))</f>
        <v>PC-01/2026-139</v>
      </c>
      <c r="C1222" s="7" t="s">
        <v>289</v>
      </c>
      <c r="D1222" s="5" t="s">
        <v>29</v>
      </c>
      <c r="E1222" s="5" t="s">
        <v>61</v>
      </c>
      <c r="F1222" s="5"/>
      <c r="G1222" s="5" t="s">
        <v>52</v>
      </c>
      <c r="H1222" s="5" t="s">
        <v>27</v>
      </c>
      <c r="I1222" s="6">
        <v>400000</v>
      </c>
      <c r="J1222" s="6">
        <f>IF(D1222="Thu",I1222,0)</f>
        <v>0</v>
      </c>
      <c r="K1222" s="6">
        <f>IF(D1222="Chi",I1222,0)</f>
        <v>400000</v>
      </c>
      <c r="L1222" s="6" t="e">
        <f>L1221+J1222-K1222</f>
        <v>#VALUE!</v>
      </c>
      <c r="M1222" s="6">
        <f ca="1">IFERROR(__xludf.DUMMYFUNCTION("SUM(FILTER(J:J, H:H=""Tiền mặt"")) - SUM(FILTER(K:K, H:H=""Tiền mặt""))
"),959000)</f>
        <v>959000</v>
      </c>
      <c r="N1222" s="6">
        <f ca="1">IFERROR(__xludf.DUMMYFUNCTION("SUM(FILTER(J:J, H:H=""Chuyển khoản"")) - SUM(FILTER(K:K, H:H=""Chuyển khoản""))
"),4468984)</f>
        <v>4468984</v>
      </c>
      <c r="O1222" s="5"/>
      <c r="P1222" s="5"/>
      <c r="Q1222" s="5"/>
      <c r="R1222" s="5"/>
      <c r="S1222" s="5"/>
    </row>
    <row r="1223" spans="1:19" ht="15.75" customHeight="1" x14ac:dyDescent="0.2">
      <c r="A1223" s="3">
        <v>46042</v>
      </c>
      <c r="B1223" s="4" t="str">
        <f>IF(A1223="","","PC-"&amp;TEXT(A1223,"mm/yyyy")&amp;"-"&amp;TEXT(COUNTIFS($A$2:A1223,"&gt;="&amp;EOMONTH(A1223,-1)+1,$A$2:A1223,"&lt;="&amp;EOMONTH(A1223,0)),"000"))</f>
        <v>PC-01/2026-140</v>
      </c>
      <c r="C1223" s="5" t="s">
        <v>290</v>
      </c>
      <c r="D1223" s="5" t="s">
        <v>29</v>
      </c>
      <c r="E1223" s="5" t="s">
        <v>64</v>
      </c>
      <c r="F1223" s="5"/>
      <c r="G1223" s="5" t="s">
        <v>219</v>
      </c>
      <c r="H1223" s="5" t="s">
        <v>27</v>
      </c>
      <c r="I1223" s="6">
        <v>1300000</v>
      </c>
      <c r="J1223" s="6">
        <f>IF(D1223="Thu",I1223,0)</f>
        <v>0</v>
      </c>
      <c r="K1223" s="6">
        <f>IF(D1223="Chi",I1223,0)</f>
        <v>1300000</v>
      </c>
      <c r="L1223" s="6" t="e">
        <f>L1222+J1223-K1223</f>
        <v>#VALUE!</v>
      </c>
      <c r="M1223" s="6">
        <f ca="1">IFERROR(__xludf.DUMMYFUNCTION("SUM(FILTER(J:J, H:H=""Tiền mặt"")) - SUM(FILTER(K:K, H:H=""Tiền mặt""))
"),959000)</f>
        <v>959000</v>
      </c>
      <c r="N1223" s="6">
        <f ca="1">IFERROR(__xludf.DUMMYFUNCTION("SUM(FILTER(J:J, H:H=""Chuyển khoản"")) - SUM(FILTER(K:K, H:H=""Chuyển khoản""))
"),4468984)</f>
        <v>4468984</v>
      </c>
      <c r="O1223" s="5"/>
      <c r="P1223" s="5"/>
      <c r="Q1223" s="5"/>
      <c r="R1223" s="5"/>
      <c r="S1223" s="5"/>
    </row>
    <row r="1224" spans="1:19" ht="15.75" customHeight="1" x14ac:dyDescent="0.2">
      <c r="A1224" s="3">
        <v>46042</v>
      </c>
      <c r="B1224" s="4" t="str">
        <f>IF(A1224="","","PC-"&amp;TEXT(A1224,"mm/yyyy")&amp;"-"&amp;TEXT(COUNTIFS($A$2:A1224,"&gt;="&amp;EOMONTH(A1224,-1)+1,$A$2:A1224,"&lt;="&amp;EOMONTH(A1224,0)),"000"))</f>
        <v>PC-01/2026-141</v>
      </c>
      <c r="C1224" s="7" t="s">
        <v>291</v>
      </c>
      <c r="D1224" s="5" t="s">
        <v>29</v>
      </c>
      <c r="E1224" s="5" t="s">
        <v>41</v>
      </c>
      <c r="F1224" s="5"/>
      <c r="G1224" s="5" t="s">
        <v>82</v>
      </c>
      <c r="H1224" s="5" t="s">
        <v>23</v>
      </c>
      <c r="I1224" s="6">
        <v>100000</v>
      </c>
      <c r="J1224" s="6">
        <f>IF(D1224="Thu",I1224,0)</f>
        <v>0</v>
      </c>
      <c r="K1224" s="6">
        <f>IF(D1224="Chi",I1224,0)</f>
        <v>100000</v>
      </c>
      <c r="L1224" s="6" t="e">
        <f>L1223+J1224-K1224</f>
        <v>#VALUE!</v>
      </c>
      <c r="M1224" s="6">
        <f ca="1">IFERROR(__xludf.DUMMYFUNCTION("SUM(FILTER(J:J, H:H=""Tiền mặt"")) - SUM(FILTER(K:K, H:H=""Tiền mặt""))
"),959000)</f>
        <v>959000</v>
      </c>
      <c r="N1224" s="6">
        <f ca="1">IFERROR(__xludf.DUMMYFUNCTION("SUM(FILTER(J:J, H:H=""Chuyển khoản"")) - SUM(FILTER(K:K, H:H=""Chuyển khoản""))
"),4468984)</f>
        <v>4468984</v>
      </c>
      <c r="O1224" s="5"/>
      <c r="P1224" s="5"/>
      <c r="Q1224" s="5"/>
      <c r="R1224" s="5"/>
      <c r="S1224" s="5"/>
    </row>
    <row r="1225" spans="1:19" ht="15.75" customHeight="1" x14ac:dyDescent="0.2">
      <c r="A1225" s="3">
        <v>46042</v>
      </c>
      <c r="B1225" s="4" t="str">
        <f>IF(A1225="","","PC-"&amp;TEXT(A1225,"mm/yyyy")&amp;"-"&amp;TEXT(COUNTIFS($A$2:A1225,"&gt;="&amp;EOMONTH(A1225,-1)+1,$A$2:A1225,"&lt;="&amp;EOMONTH(A1225,0)),"000"))</f>
        <v>PC-01/2026-142</v>
      </c>
      <c r="C1225" s="5" t="s">
        <v>292</v>
      </c>
      <c r="D1225" s="5" t="s">
        <v>29</v>
      </c>
      <c r="E1225" s="5" t="s">
        <v>71</v>
      </c>
      <c r="F1225" s="5"/>
      <c r="G1225" s="5" t="s">
        <v>277</v>
      </c>
      <c r="H1225" s="5" t="s">
        <v>27</v>
      </c>
      <c r="I1225" s="6">
        <v>95000</v>
      </c>
      <c r="J1225" s="6">
        <f>IF(D1225="Thu",I1225,0)</f>
        <v>0</v>
      </c>
      <c r="K1225" s="6">
        <f>IF(D1225="Chi",I1225,0)</f>
        <v>95000</v>
      </c>
      <c r="L1225" s="6" t="e">
        <f>L1224+J1225-K1225</f>
        <v>#VALUE!</v>
      </c>
      <c r="M1225" s="6">
        <f ca="1">IFERROR(__xludf.DUMMYFUNCTION("SUM(FILTER(J:J, H:H=""Tiền mặt"")) - SUM(FILTER(K:K, H:H=""Tiền mặt""))
"),959000)</f>
        <v>959000</v>
      </c>
      <c r="N1225" s="6">
        <f ca="1">IFERROR(__xludf.DUMMYFUNCTION("SUM(FILTER(J:J, H:H=""Chuyển khoản"")) - SUM(FILTER(K:K, H:H=""Chuyển khoản""))
"),4468984)</f>
        <v>4468984</v>
      </c>
      <c r="O1225" s="5"/>
      <c r="P1225" s="5"/>
      <c r="Q1225" s="5"/>
      <c r="R1225" s="5"/>
      <c r="S1225" s="5"/>
    </row>
    <row r="1226" spans="1:19" ht="15.75" customHeight="1" x14ac:dyDescent="0.2">
      <c r="A1226" s="3">
        <v>46042</v>
      </c>
      <c r="B1226" s="4" t="str">
        <f>IF(A1226="","","PC-"&amp;TEXT(A1226,"mm/yyyy")&amp;"-"&amp;TEXT(COUNTIFS($A$2:A1226,"&gt;="&amp;EOMONTH(A1226,-1)+1,$A$2:A1226,"&lt;="&amp;EOMONTH(A1226,0)),"000"))</f>
        <v>PC-01/2026-143</v>
      </c>
      <c r="C1226" s="5" t="s">
        <v>293</v>
      </c>
      <c r="D1226" s="5" t="s">
        <v>29</v>
      </c>
      <c r="E1226" s="5" t="s">
        <v>88</v>
      </c>
      <c r="F1226" s="5"/>
      <c r="G1226" s="5" t="s">
        <v>113</v>
      </c>
      <c r="H1226" s="5" t="s">
        <v>23</v>
      </c>
      <c r="I1226" s="6">
        <v>2000000</v>
      </c>
      <c r="J1226" s="6">
        <f>IF(D1226="Thu",I1226,0)</f>
        <v>0</v>
      </c>
      <c r="K1226" s="6">
        <f>IF(D1226="Chi",I1226,0)</f>
        <v>2000000</v>
      </c>
      <c r="L1226" s="6" t="e">
        <f>L1225+J1226-K1226</f>
        <v>#VALUE!</v>
      </c>
      <c r="M1226" s="6">
        <f ca="1">IFERROR(__xludf.DUMMYFUNCTION("SUM(FILTER(J:J, H:H=""Tiền mặt"")) - SUM(FILTER(K:K, H:H=""Tiền mặt""))
"),959000)</f>
        <v>959000</v>
      </c>
      <c r="N1226" s="6">
        <f ca="1">IFERROR(__xludf.DUMMYFUNCTION("SUM(FILTER(J:J, H:H=""Chuyển khoản"")) - SUM(FILTER(K:K, H:H=""Chuyển khoản""))
"),4468984)</f>
        <v>4468984</v>
      </c>
      <c r="O1226" s="5"/>
      <c r="P1226" s="5"/>
      <c r="Q1226" s="5"/>
      <c r="R1226" s="5"/>
      <c r="S1226" s="5"/>
    </row>
    <row r="1227" spans="1:19" ht="15.75" customHeight="1" x14ac:dyDescent="0.2">
      <c r="A1227" s="3">
        <v>46042</v>
      </c>
      <c r="B1227" s="4" t="str">
        <f>IF(A1227="","","PC-"&amp;TEXT(A1227,"mm/yyyy")&amp;"-"&amp;TEXT(COUNTIFS($A$2:A1227,"&gt;="&amp;EOMONTH(A1227,-1)+1,$A$2:A1227,"&lt;="&amp;EOMONTH(A1227,0)),"000"))</f>
        <v>PC-01/2026-144</v>
      </c>
      <c r="C1227" s="5" t="s">
        <v>294</v>
      </c>
      <c r="D1227" s="5" t="s">
        <v>29</v>
      </c>
      <c r="E1227" s="5" t="s">
        <v>47</v>
      </c>
      <c r="F1227" s="5"/>
      <c r="G1227" s="5" t="s">
        <v>48</v>
      </c>
      <c r="H1227" s="5" t="s">
        <v>23</v>
      </c>
      <c r="I1227" s="6">
        <v>50000</v>
      </c>
      <c r="J1227" s="6">
        <f>IF(D1227="Thu",I1227,0)</f>
        <v>0</v>
      </c>
      <c r="K1227" s="6">
        <f>IF(D1227="Chi",I1227,0)</f>
        <v>50000</v>
      </c>
      <c r="L1227" s="6" t="e">
        <f>L1226+J1227-K1227</f>
        <v>#VALUE!</v>
      </c>
      <c r="M1227" s="6">
        <f ca="1">IFERROR(__xludf.DUMMYFUNCTION("SUM(FILTER(J:J, H:H=""Tiền mặt"")) - SUM(FILTER(K:K, H:H=""Tiền mặt""))
"),959000)</f>
        <v>959000</v>
      </c>
      <c r="N1227" s="6">
        <f ca="1">IFERROR(__xludf.DUMMYFUNCTION("SUM(FILTER(J:J, H:H=""Chuyển khoản"")) - SUM(FILTER(K:K, H:H=""Chuyển khoản""))
"),4468984)</f>
        <v>4468984</v>
      </c>
      <c r="O1227" s="5"/>
      <c r="P1227" s="5"/>
      <c r="Q1227" s="5"/>
      <c r="R1227" s="5"/>
      <c r="S1227" s="5"/>
    </row>
    <row r="1228" spans="1:19" ht="15.75" customHeight="1" x14ac:dyDescent="0.2">
      <c r="A1228" s="3">
        <v>46042</v>
      </c>
      <c r="B1228" s="4" t="str">
        <f>IF(A1228="","","PC-"&amp;TEXT(A1228,"mm/yyyy")&amp;"-"&amp;TEXT(COUNTIFS($A$2:A1228,"&gt;="&amp;EOMONTH(A1228,-1)+1,$A$2:A1228,"&lt;="&amp;EOMONTH(A1228,0)),"000"))</f>
        <v>PC-01/2026-145</v>
      </c>
      <c r="C1228" s="5" t="s">
        <v>295</v>
      </c>
      <c r="D1228" s="5" t="s">
        <v>29</v>
      </c>
      <c r="E1228" s="5" t="s">
        <v>51</v>
      </c>
      <c r="F1228" s="5"/>
      <c r="G1228" s="5" t="s">
        <v>52</v>
      </c>
      <c r="H1228" s="5" t="s">
        <v>27</v>
      </c>
      <c r="I1228" s="6">
        <v>144714</v>
      </c>
      <c r="J1228" s="6">
        <f>IF(D1228="Thu",I1228,0)</f>
        <v>0</v>
      </c>
      <c r="K1228" s="6">
        <f>IF(D1228="Chi",I1228,0)</f>
        <v>144714</v>
      </c>
      <c r="L1228" s="6" t="e">
        <f>L1227+J1228-K1228</f>
        <v>#VALUE!</v>
      </c>
      <c r="M1228" s="6">
        <f ca="1">IFERROR(__xludf.DUMMYFUNCTION("SUM(FILTER(J:J, H:H=""Tiền mặt"")) - SUM(FILTER(K:K, H:H=""Tiền mặt""))
"),959000)</f>
        <v>959000</v>
      </c>
      <c r="N1228" s="6">
        <f ca="1">IFERROR(__xludf.DUMMYFUNCTION("SUM(FILTER(J:J, H:H=""Chuyển khoản"")) - SUM(FILTER(K:K, H:H=""Chuyển khoản""))
"),4468984)</f>
        <v>4468984</v>
      </c>
      <c r="O1228" s="5"/>
      <c r="P1228" s="5"/>
      <c r="Q1228" s="5"/>
      <c r="R1228" s="5"/>
      <c r="S1228" s="5"/>
    </row>
    <row r="1229" spans="1:19" ht="15.75" customHeight="1" x14ac:dyDescent="0.2">
      <c r="A1229" s="3">
        <v>46042</v>
      </c>
      <c r="B1229" s="4" t="str">
        <f>IF(A1229="","","PC-"&amp;TEXT(A1229,"mm/yyyy")&amp;"-"&amp;TEXT(COUNTIFS($A$2:A1229,"&gt;="&amp;EOMONTH(A1229,-1)+1,$A$2:A1229,"&lt;="&amp;EOMONTH(A1229,0)),"000"))</f>
        <v>PC-01/2026-146</v>
      </c>
      <c r="C1229" s="5" t="s">
        <v>296</v>
      </c>
      <c r="D1229" s="5" t="s">
        <v>29</v>
      </c>
      <c r="E1229" s="5" t="s">
        <v>51</v>
      </c>
      <c r="F1229" s="5"/>
      <c r="G1229" s="5" t="s">
        <v>52</v>
      </c>
      <c r="H1229" s="5" t="s">
        <v>27</v>
      </c>
      <c r="I1229" s="6">
        <v>135199</v>
      </c>
      <c r="J1229" s="6">
        <f>IF(D1229="Thu",I1229,0)</f>
        <v>0</v>
      </c>
      <c r="K1229" s="6">
        <f>IF(D1229="Chi",I1229,0)</f>
        <v>135199</v>
      </c>
      <c r="L1229" s="6" t="e">
        <f>L1228+J1229-K1229</f>
        <v>#VALUE!</v>
      </c>
      <c r="M1229" s="6">
        <f ca="1">IFERROR(__xludf.DUMMYFUNCTION("SUM(FILTER(J:J, H:H=""Tiền mặt"")) - SUM(FILTER(K:K, H:H=""Tiền mặt""))
"),959000)</f>
        <v>959000</v>
      </c>
      <c r="N1229" s="6">
        <f ca="1">IFERROR(__xludf.DUMMYFUNCTION("SUM(FILTER(J:J, H:H=""Chuyển khoản"")) - SUM(FILTER(K:K, H:H=""Chuyển khoản""))
"),4468984)</f>
        <v>4468984</v>
      </c>
      <c r="O1229" s="5"/>
      <c r="P1229" s="5"/>
      <c r="Q1229" s="5"/>
      <c r="R1229" s="5"/>
      <c r="S1229" s="5"/>
    </row>
    <row r="1230" spans="1:19" ht="15.75" customHeight="1" x14ac:dyDescent="0.2">
      <c r="A1230" s="3">
        <v>46042</v>
      </c>
      <c r="B1230" s="4" t="str">
        <f>IF(A1230="","","PC-"&amp;TEXT(A1230,"mm/yyyy")&amp;"-"&amp;TEXT(COUNTIFS($A$2:A1230,"&gt;="&amp;EOMONTH(A1230,-1)+1,$A$2:A1230,"&lt;="&amp;EOMONTH(A1230,0)),"000"))</f>
        <v>PC-01/2026-147</v>
      </c>
      <c r="C1230" s="5" t="s">
        <v>297</v>
      </c>
      <c r="D1230" s="5" t="s">
        <v>29</v>
      </c>
      <c r="E1230" s="5" t="s">
        <v>51</v>
      </c>
      <c r="F1230" s="5"/>
      <c r="G1230" s="5" t="s">
        <v>52</v>
      </c>
      <c r="H1230" s="5" t="s">
        <v>27</v>
      </c>
      <c r="I1230" s="6">
        <v>154000</v>
      </c>
      <c r="J1230" s="6">
        <f>IF(D1230="Thu",I1230,0)</f>
        <v>0</v>
      </c>
      <c r="K1230" s="6">
        <f>IF(D1230="Chi",I1230,0)</f>
        <v>154000</v>
      </c>
      <c r="L1230" s="6" t="e">
        <f>L1229+J1230-K1230</f>
        <v>#VALUE!</v>
      </c>
      <c r="M1230" s="6">
        <f ca="1">IFERROR(__xludf.DUMMYFUNCTION("SUM(FILTER(J:J, H:H=""Tiền mặt"")) - SUM(FILTER(K:K, H:H=""Tiền mặt""))
"),959000)</f>
        <v>959000</v>
      </c>
      <c r="N1230" s="6">
        <f ca="1">IFERROR(__xludf.DUMMYFUNCTION("SUM(FILTER(J:J, H:H=""Chuyển khoản"")) - SUM(FILTER(K:K, H:H=""Chuyển khoản""))
"),4468984)</f>
        <v>4468984</v>
      </c>
      <c r="O1230" s="5"/>
      <c r="P1230" s="5"/>
      <c r="Q1230" s="5"/>
      <c r="R1230" s="5"/>
      <c r="S1230" s="5"/>
    </row>
    <row r="1231" spans="1:19" ht="15.75" customHeight="1" x14ac:dyDescent="0.2">
      <c r="A1231" s="3">
        <v>46042</v>
      </c>
      <c r="B1231" s="4" t="str">
        <f>IF(A1231="","","PC-"&amp;TEXT(A1231,"mm/yyyy")&amp;"-"&amp;TEXT(COUNTIFS($A$2:A1231,"&gt;="&amp;EOMONTH(A1231,-1)+1,$A$2:A1231,"&lt;="&amp;EOMONTH(A1231,0)),"000"))</f>
        <v>PC-01/2026-148</v>
      </c>
      <c r="C1231" s="5" t="s">
        <v>298</v>
      </c>
      <c r="D1231" s="5" t="s">
        <v>20</v>
      </c>
      <c r="E1231" s="5" t="s">
        <v>21</v>
      </c>
      <c r="F1231" s="5"/>
      <c r="G1231" s="5" t="s">
        <v>22</v>
      </c>
      <c r="H1231" s="5" t="s">
        <v>23</v>
      </c>
      <c r="I1231" s="6">
        <v>3000000</v>
      </c>
      <c r="J1231" s="6">
        <f>IF(D1231="Thu",I1231,0)</f>
        <v>3000000</v>
      </c>
      <c r="K1231" s="6">
        <f>IF(D1231="Chi",I1231,0)</f>
        <v>0</v>
      </c>
      <c r="L1231" s="6" t="e">
        <f>L1230+J1231-K1231</f>
        <v>#VALUE!</v>
      </c>
      <c r="M1231" s="6">
        <f ca="1">IFERROR(__xludf.DUMMYFUNCTION("SUM(FILTER(J:J, H:H=""Tiền mặt"")) - SUM(FILTER(K:K, H:H=""Tiền mặt""))
"),959000)</f>
        <v>959000</v>
      </c>
      <c r="N1231" s="6">
        <f ca="1">IFERROR(__xludf.DUMMYFUNCTION("SUM(FILTER(J:J, H:H=""Chuyển khoản"")) - SUM(FILTER(K:K, H:H=""Chuyển khoản""))
"),4468984)</f>
        <v>4468984</v>
      </c>
      <c r="O1231" s="5"/>
      <c r="P1231" s="5"/>
      <c r="Q1231" s="5"/>
      <c r="R1231" s="5"/>
      <c r="S1231" s="5"/>
    </row>
    <row r="1232" spans="1:19" ht="15.75" customHeight="1" x14ac:dyDescent="0.2">
      <c r="A1232" s="3">
        <v>46042</v>
      </c>
      <c r="B1232" s="4" t="str">
        <f>IF(A1232="","","PC-"&amp;TEXT(A1232,"mm/yyyy")&amp;"-"&amp;TEXT(COUNTIFS($A$2:A1232,"&gt;="&amp;EOMONTH(A1232,-1)+1,$A$2:A1232,"&lt;="&amp;EOMONTH(A1232,0)),"000"))</f>
        <v>PC-01/2026-149</v>
      </c>
      <c r="C1232" s="5" t="s">
        <v>299</v>
      </c>
      <c r="D1232" s="5" t="s">
        <v>29</v>
      </c>
      <c r="E1232" s="5" t="s">
        <v>64</v>
      </c>
      <c r="F1232" s="5"/>
      <c r="G1232" s="5" t="s">
        <v>300</v>
      </c>
      <c r="H1232" s="5" t="s">
        <v>23</v>
      </c>
      <c r="I1232" s="6">
        <v>3000000</v>
      </c>
      <c r="J1232" s="6">
        <f>IF(D1232="Thu",I1232,0)</f>
        <v>0</v>
      </c>
      <c r="K1232" s="6">
        <f>IF(D1232="Chi",I1232,0)</f>
        <v>3000000</v>
      </c>
      <c r="L1232" s="6" t="e">
        <f>L1231+J1232-K1232</f>
        <v>#VALUE!</v>
      </c>
      <c r="M1232" s="6">
        <f ca="1">IFERROR(__xludf.DUMMYFUNCTION("SUM(FILTER(J:J, H:H=""Tiền mặt"")) - SUM(FILTER(K:K, H:H=""Tiền mặt""))
"),959000)</f>
        <v>959000</v>
      </c>
      <c r="N1232" s="6">
        <f ca="1">IFERROR(__xludf.DUMMYFUNCTION("SUM(FILTER(J:J, H:H=""Chuyển khoản"")) - SUM(FILTER(K:K, H:H=""Chuyển khoản""))
"),4468984)</f>
        <v>4468984</v>
      </c>
      <c r="O1232" s="5"/>
      <c r="P1232" s="5"/>
      <c r="Q1232" s="5"/>
      <c r="R1232" s="5"/>
      <c r="S1232" s="5"/>
    </row>
    <row r="1233" spans="1:19" ht="15.75" customHeight="1" x14ac:dyDescent="0.2">
      <c r="A1233" s="3">
        <v>46042</v>
      </c>
      <c r="B1233" s="4" t="str">
        <f>IF(A1233="","","PC-"&amp;TEXT(A1233,"mm/yyyy")&amp;"-"&amp;TEXT(COUNTIFS($A$2:A1233,"&gt;="&amp;EOMONTH(A1233,-1)+1,$A$2:A1233,"&lt;="&amp;EOMONTH(A1233,0)),"000"))</f>
        <v>PC-01/2026-150</v>
      </c>
      <c r="C1233" s="52" t="s">
        <v>301</v>
      </c>
      <c r="D1233" s="5" t="s">
        <v>29</v>
      </c>
      <c r="E1233" s="5" t="s">
        <v>44</v>
      </c>
      <c r="F1233" s="5"/>
      <c r="G1233" s="5" t="s">
        <v>99</v>
      </c>
      <c r="H1233" s="5" t="s">
        <v>23</v>
      </c>
      <c r="I1233" s="6">
        <v>1500000</v>
      </c>
      <c r="J1233" s="6">
        <f>IF(D1233="Thu",I1233,0)</f>
        <v>0</v>
      </c>
      <c r="K1233" s="6">
        <f>IF(D1233="Chi",I1233,0)</f>
        <v>1500000</v>
      </c>
      <c r="L1233" s="6" t="e">
        <f>L1232+J1233-K1233</f>
        <v>#VALUE!</v>
      </c>
      <c r="M1233" s="6">
        <f ca="1">IFERROR(__xludf.DUMMYFUNCTION("SUM(FILTER(J:J, H:H=""Tiền mặt"")) - SUM(FILTER(K:K, H:H=""Tiền mặt""))
"),959000)</f>
        <v>959000</v>
      </c>
      <c r="N1233" s="6">
        <f ca="1">IFERROR(__xludf.DUMMYFUNCTION("SUM(FILTER(J:J, H:H=""Chuyển khoản"")) - SUM(FILTER(K:K, H:H=""Chuyển khoản""))
"),4468984)</f>
        <v>4468984</v>
      </c>
      <c r="O1233" s="5"/>
      <c r="P1233" s="5"/>
      <c r="Q1233" s="5"/>
      <c r="R1233" s="5"/>
      <c r="S1233" s="5"/>
    </row>
    <row r="1234" spans="1:19" ht="15.75" customHeight="1" x14ac:dyDescent="0.2">
      <c r="A1234" s="3">
        <v>46042</v>
      </c>
      <c r="B1234" s="4" t="str">
        <f>IF(A1234="","","PC-"&amp;TEXT(A1234,"mm/yyyy")&amp;"-"&amp;TEXT(COUNTIFS($A$2:A1234,"&gt;="&amp;EOMONTH(A1234,-1)+1,$A$2:A1234,"&lt;="&amp;EOMONTH(A1234,0)),"000"))</f>
        <v>PC-01/2026-151</v>
      </c>
      <c r="C1234" s="5" t="s">
        <v>302</v>
      </c>
      <c r="D1234" s="5" t="s">
        <v>29</v>
      </c>
      <c r="E1234" s="5" t="s">
        <v>44</v>
      </c>
      <c r="F1234" s="5"/>
      <c r="G1234" s="5" t="s">
        <v>99</v>
      </c>
      <c r="H1234" s="5" t="s">
        <v>23</v>
      </c>
      <c r="I1234" s="6">
        <v>1500000</v>
      </c>
      <c r="J1234" s="6">
        <f>IF(D1234="Thu",I1234,0)</f>
        <v>0</v>
      </c>
      <c r="K1234" s="6">
        <f>IF(D1234="Chi",I1234,0)</f>
        <v>1500000</v>
      </c>
      <c r="L1234" s="6" t="e">
        <f>L1233+J1234-K1234</f>
        <v>#VALUE!</v>
      </c>
      <c r="M1234" s="6">
        <f ca="1">IFERROR(__xludf.DUMMYFUNCTION("SUM(FILTER(J:J, H:H=""Tiền mặt"")) - SUM(FILTER(K:K, H:H=""Tiền mặt""))
"),959000)</f>
        <v>959000</v>
      </c>
      <c r="N1234" s="6">
        <f ca="1">IFERROR(__xludf.DUMMYFUNCTION("SUM(FILTER(J:J, H:H=""Chuyển khoản"")) - SUM(FILTER(K:K, H:H=""Chuyển khoản""))
"),4468984)</f>
        <v>4468984</v>
      </c>
      <c r="O1234" s="5"/>
      <c r="P1234" s="5"/>
      <c r="Q1234" s="5"/>
      <c r="R1234" s="5"/>
      <c r="S1234" s="5"/>
    </row>
    <row r="1235" spans="1:19" ht="15.75" customHeight="1" x14ac:dyDescent="0.2">
      <c r="A1235" s="3">
        <v>46042</v>
      </c>
      <c r="B1235" s="4" t="str">
        <f>IF(A1235="","","PC-"&amp;TEXT(A1235,"mm/yyyy")&amp;"-"&amp;TEXT(COUNTIFS($A$2:A1235,"&gt;="&amp;EOMONTH(A1235,-1)+1,$A$2:A1235,"&lt;="&amp;EOMONTH(A1235,0)),"000"))</f>
        <v>PC-01/2026-152</v>
      </c>
      <c r="C1235" s="5" t="s">
        <v>303</v>
      </c>
      <c r="D1235" s="5" t="s">
        <v>29</v>
      </c>
      <c r="E1235" s="5" t="s">
        <v>47</v>
      </c>
      <c r="F1235" s="5"/>
      <c r="G1235" s="5" t="s">
        <v>304</v>
      </c>
      <c r="H1235" s="5" t="s">
        <v>23</v>
      </c>
      <c r="I1235" s="6">
        <v>50000</v>
      </c>
      <c r="J1235" s="6">
        <f>IF(D1235="Thu",I1235,0)</f>
        <v>0</v>
      </c>
      <c r="K1235" s="6">
        <f>IF(D1235="Chi",I1235,0)</f>
        <v>50000</v>
      </c>
      <c r="L1235" s="6" t="e">
        <f>L1234+J1235-K1235</f>
        <v>#VALUE!</v>
      </c>
      <c r="M1235" s="6">
        <f ca="1">IFERROR(__xludf.DUMMYFUNCTION("SUM(FILTER(J:J, H:H=""Tiền mặt"")) - SUM(FILTER(K:K, H:H=""Tiền mặt""))
"),959000)</f>
        <v>959000</v>
      </c>
      <c r="N1235" s="6">
        <f ca="1">IFERROR(__xludf.DUMMYFUNCTION("SUM(FILTER(J:J, H:H=""Chuyển khoản"")) - SUM(FILTER(K:K, H:H=""Chuyển khoản""))
"),4468984)</f>
        <v>4468984</v>
      </c>
      <c r="O1235" s="5"/>
      <c r="P1235" s="5"/>
      <c r="Q1235" s="5"/>
      <c r="R1235" s="5"/>
      <c r="S1235" s="5"/>
    </row>
    <row r="1236" spans="1:19" ht="15.75" customHeight="1" x14ac:dyDescent="0.2">
      <c r="A1236" s="3">
        <v>46042</v>
      </c>
      <c r="B1236" s="4" t="str">
        <f>IF(A1236="","","PC-"&amp;TEXT(A1236,"mm/yyyy")&amp;"-"&amp;TEXT(COUNTIFS($A$2:A1236,"&gt;="&amp;EOMONTH(A1236,-1)+1,$A$2:A1236,"&lt;="&amp;EOMONTH(A1236,0)),"000"))</f>
        <v>PC-01/2026-153</v>
      </c>
      <c r="C1236" s="7" t="s">
        <v>68</v>
      </c>
      <c r="D1236" s="5" t="s">
        <v>20</v>
      </c>
      <c r="E1236" s="5" t="s">
        <v>21</v>
      </c>
      <c r="F1236" s="5"/>
      <c r="G1236" s="5" t="s">
        <v>305</v>
      </c>
      <c r="H1236" s="5" t="s">
        <v>23</v>
      </c>
      <c r="I1236" s="6">
        <v>200000</v>
      </c>
      <c r="J1236" s="6">
        <f>IF(D1236="Thu",I1236,0)</f>
        <v>200000</v>
      </c>
      <c r="K1236" s="6">
        <f>IF(D1236="Chi",I1236,0)</f>
        <v>0</v>
      </c>
      <c r="L1236" s="6" t="e">
        <f>L1235+J1236-K1236</f>
        <v>#VALUE!</v>
      </c>
      <c r="M1236" s="6">
        <f ca="1">IFERROR(__xludf.DUMMYFUNCTION("SUM(FILTER(J:J, H:H=""Tiền mặt"")) - SUM(FILTER(K:K, H:H=""Tiền mặt""))
"),959000)</f>
        <v>959000</v>
      </c>
      <c r="N1236" s="6">
        <f ca="1">IFERROR(__xludf.DUMMYFUNCTION("SUM(FILTER(J:J, H:H=""Chuyển khoản"")) - SUM(FILTER(K:K, H:H=""Chuyển khoản""))
"),4468984)</f>
        <v>4468984</v>
      </c>
      <c r="O1236" s="5"/>
      <c r="P1236" s="5"/>
      <c r="Q1236" s="5"/>
      <c r="R1236" s="5"/>
      <c r="S1236" s="5"/>
    </row>
    <row r="1237" spans="1:19" ht="15.75" customHeight="1" x14ac:dyDescent="0.2">
      <c r="A1237" s="3">
        <v>46041</v>
      </c>
      <c r="B1237" s="4" t="str">
        <f>IF(A1237="","","PC-"&amp;TEXT(A1237,"mm/yyyy")&amp;"-"&amp;TEXT(COUNTIFS($A$2:A1237,"&gt;="&amp;EOMONTH(A1237,-1)+1,$A$2:A1237,"&lt;="&amp;EOMONTH(A1237,0)),"000"))</f>
        <v>PC-01/2026-154</v>
      </c>
      <c r="C1237" s="5" t="s">
        <v>274</v>
      </c>
      <c r="D1237" s="5" t="s">
        <v>29</v>
      </c>
      <c r="E1237" s="5" t="s">
        <v>36</v>
      </c>
      <c r="F1237" s="5"/>
      <c r="G1237" s="5" t="s">
        <v>37</v>
      </c>
      <c r="H1237" s="5" t="s">
        <v>23</v>
      </c>
      <c r="I1237" s="6">
        <v>150000</v>
      </c>
      <c r="J1237" s="6">
        <f>IF(D1237="Thu",I1237,0)</f>
        <v>0</v>
      </c>
      <c r="K1237" s="6">
        <f>IF(D1237="Chi",I1237,0)</f>
        <v>150000</v>
      </c>
      <c r="L1237" s="6" t="e">
        <f>L1236+J1237-K1237</f>
        <v>#VALUE!</v>
      </c>
      <c r="M1237" s="6">
        <f ca="1">IFERROR(__xludf.DUMMYFUNCTION("SUM(FILTER(J:J, H:H=""Tiền mặt"")) - SUM(FILTER(K:K, H:H=""Tiền mặt""))
"),959000)</f>
        <v>959000</v>
      </c>
      <c r="N1237" s="6">
        <f ca="1">IFERROR(__xludf.DUMMYFUNCTION("SUM(FILTER(J:J, H:H=""Chuyển khoản"")) - SUM(FILTER(K:K, H:H=""Chuyển khoản""))
"),4468984)</f>
        <v>4468984</v>
      </c>
      <c r="O1237" s="5"/>
      <c r="P1237" s="5"/>
      <c r="Q1237" s="5"/>
      <c r="R1237" s="5"/>
      <c r="S1237" s="5"/>
    </row>
    <row r="1238" spans="1:19" ht="15.75" customHeight="1" x14ac:dyDescent="0.2">
      <c r="A1238" s="3">
        <v>46041</v>
      </c>
      <c r="B1238" s="4" t="str">
        <f>IF(A1238="","","PC-"&amp;TEXT(A1238,"mm/yyyy")&amp;"-"&amp;TEXT(COUNTIFS($A$2:A1238,"&gt;="&amp;EOMONTH(A1238,-1)+1,$A$2:A1238,"&lt;="&amp;EOMONTH(A1238,0)),"000"))</f>
        <v>PC-01/2026-155</v>
      </c>
      <c r="C1238" s="5" t="s">
        <v>275</v>
      </c>
      <c r="D1238" s="5" t="s">
        <v>29</v>
      </c>
      <c r="E1238" s="5" t="s">
        <v>41</v>
      </c>
      <c r="F1238" s="5"/>
      <c r="G1238" s="5" t="s">
        <v>82</v>
      </c>
      <c r="H1238" s="5" t="s">
        <v>23</v>
      </c>
      <c r="I1238" s="6">
        <v>100000</v>
      </c>
      <c r="J1238" s="6">
        <f>IF(D1238="Thu",I1238,0)</f>
        <v>0</v>
      </c>
      <c r="K1238" s="6">
        <f>IF(D1238="Chi",I1238,0)</f>
        <v>100000</v>
      </c>
      <c r="L1238" s="6" t="e">
        <f>L1237+J1238-K1238</f>
        <v>#VALUE!</v>
      </c>
      <c r="M1238" s="6">
        <f ca="1">IFERROR(__xludf.DUMMYFUNCTION("SUM(FILTER(J:J, H:H=""Tiền mặt"")) - SUM(FILTER(K:K, H:H=""Tiền mặt""))
"),959000)</f>
        <v>959000</v>
      </c>
      <c r="N1238" s="6">
        <f ca="1">IFERROR(__xludf.DUMMYFUNCTION("SUM(FILTER(J:J, H:H=""Chuyển khoản"")) - SUM(FILTER(K:K, H:H=""Chuyển khoản""))
"),4468984)</f>
        <v>4468984</v>
      </c>
      <c r="O1238" s="5"/>
      <c r="P1238" s="5"/>
      <c r="Q1238" s="5"/>
      <c r="R1238" s="5"/>
      <c r="S1238" s="5"/>
    </row>
    <row r="1239" spans="1:19" ht="15.75" customHeight="1" x14ac:dyDescent="0.2">
      <c r="A1239" s="3">
        <v>46041</v>
      </c>
      <c r="B1239" s="4" t="str">
        <f>IF(A1239="","","PC-"&amp;TEXT(A1239,"mm/yyyy")&amp;"-"&amp;TEXT(COUNTIFS($A$2:A1239,"&gt;="&amp;EOMONTH(A1239,-1)+1,$A$2:A1239,"&lt;="&amp;EOMONTH(A1239,0)),"000"))</f>
        <v>PC-01/2026-156</v>
      </c>
      <c r="C1239" s="5" t="s">
        <v>276</v>
      </c>
      <c r="D1239" s="5" t="s">
        <v>29</v>
      </c>
      <c r="E1239" s="5" t="s">
        <v>71</v>
      </c>
      <c r="F1239" s="5"/>
      <c r="G1239" s="5" t="s">
        <v>277</v>
      </c>
      <c r="H1239" s="5" t="s">
        <v>27</v>
      </c>
      <c r="I1239" s="6">
        <v>64000</v>
      </c>
      <c r="J1239" s="6">
        <f>IF(D1239="Thu",I1239,0)</f>
        <v>0</v>
      </c>
      <c r="K1239" s="6">
        <f>IF(D1239="Chi",I1239,0)</f>
        <v>64000</v>
      </c>
      <c r="L1239" s="6" t="e">
        <f>L1238+J1239-K1239</f>
        <v>#VALUE!</v>
      </c>
      <c r="M1239" s="6">
        <f ca="1">IFERROR(__xludf.DUMMYFUNCTION("SUM(FILTER(J:J, H:H=""Tiền mặt"")) - SUM(FILTER(K:K, H:H=""Tiền mặt""))
"),959000)</f>
        <v>959000</v>
      </c>
      <c r="N1239" s="6">
        <f ca="1">IFERROR(__xludf.DUMMYFUNCTION("SUM(FILTER(J:J, H:H=""Chuyển khoản"")) - SUM(FILTER(K:K, H:H=""Chuyển khoản""))
"),4468984)</f>
        <v>4468984</v>
      </c>
      <c r="O1239" s="5"/>
      <c r="P1239" s="5"/>
      <c r="Q1239" s="5"/>
      <c r="R1239" s="5"/>
      <c r="S1239" s="5"/>
    </row>
    <row r="1240" spans="1:19" ht="15.75" customHeight="1" x14ac:dyDescent="0.2">
      <c r="A1240" s="3">
        <v>46041</v>
      </c>
      <c r="B1240" s="4" t="str">
        <f>IF(A1240="","","PC-"&amp;TEXT(A1240,"mm/yyyy")&amp;"-"&amp;TEXT(COUNTIFS($A$2:A1240,"&gt;="&amp;EOMONTH(A1240,-1)+1,$A$2:A1240,"&lt;="&amp;EOMONTH(A1240,0)),"000"))</f>
        <v>PC-01/2026-157</v>
      </c>
      <c r="C1240" s="5" t="s">
        <v>278</v>
      </c>
      <c r="D1240" s="5" t="s">
        <v>29</v>
      </c>
      <c r="E1240" s="5" t="s">
        <v>47</v>
      </c>
      <c r="F1240" s="5"/>
      <c r="G1240" s="5" t="s">
        <v>48</v>
      </c>
      <c r="H1240" s="5" t="s">
        <v>23</v>
      </c>
      <c r="I1240" s="6">
        <v>50000</v>
      </c>
      <c r="J1240" s="6">
        <f>IF(D1240="Thu",I1240,0)</f>
        <v>0</v>
      </c>
      <c r="K1240" s="6">
        <f>IF(D1240="Chi",I1240,0)</f>
        <v>50000</v>
      </c>
      <c r="L1240" s="6" t="e">
        <f>L1239+J1240-K1240</f>
        <v>#VALUE!</v>
      </c>
      <c r="M1240" s="6">
        <f ca="1">IFERROR(__xludf.DUMMYFUNCTION("SUM(FILTER(J:J, H:H=""Tiền mặt"")) - SUM(FILTER(K:K, H:H=""Tiền mặt""))
"),959000)</f>
        <v>959000</v>
      </c>
      <c r="N1240" s="6">
        <f ca="1">IFERROR(__xludf.DUMMYFUNCTION("SUM(FILTER(J:J, H:H=""Chuyển khoản"")) - SUM(FILTER(K:K, H:H=""Chuyển khoản""))
"),4468984)</f>
        <v>4468984</v>
      </c>
      <c r="O1240" s="5"/>
      <c r="P1240" s="5"/>
      <c r="Q1240" s="5"/>
      <c r="R1240" s="5"/>
      <c r="S1240" s="5"/>
    </row>
    <row r="1241" spans="1:19" ht="15.75" customHeight="1" x14ac:dyDescent="0.2">
      <c r="A1241" s="3">
        <v>46041</v>
      </c>
      <c r="B1241" s="4" t="str">
        <f>IF(A1241="","","PC-"&amp;TEXT(A1241,"mm/yyyy")&amp;"-"&amp;TEXT(COUNTIFS($A$2:A1241,"&gt;="&amp;EOMONTH(A1241,-1)+1,$A$2:A1241,"&lt;="&amp;EOMONTH(A1241,0)),"000"))</f>
        <v>PC-01/2026-158</v>
      </c>
      <c r="C1241" s="5" t="s">
        <v>279</v>
      </c>
      <c r="D1241" s="5" t="s">
        <v>29</v>
      </c>
      <c r="E1241" s="5" t="s">
        <v>41</v>
      </c>
      <c r="F1241" s="5"/>
      <c r="G1241" s="5" t="s">
        <v>82</v>
      </c>
      <c r="H1241" s="5" t="s">
        <v>23</v>
      </c>
      <c r="I1241" s="6">
        <v>100000</v>
      </c>
      <c r="J1241" s="6">
        <f>IF(D1241="Thu",I1241,0)</f>
        <v>0</v>
      </c>
      <c r="K1241" s="6">
        <f>IF(D1241="Chi",I1241,0)</f>
        <v>100000</v>
      </c>
      <c r="L1241" s="6" t="e">
        <f>L1240+J1241-K1241</f>
        <v>#VALUE!</v>
      </c>
      <c r="M1241" s="6">
        <f ca="1">IFERROR(__xludf.DUMMYFUNCTION("SUM(FILTER(J:J, H:H=""Tiền mặt"")) - SUM(FILTER(K:K, H:H=""Tiền mặt""))
"),959000)</f>
        <v>959000</v>
      </c>
      <c r="N1241" s="6">
        <f ca="1">IFERROR(__xludf.DUMMYFUNCTION("SUM(FILTER(J:J, H:H=""Chuyển khoản"")) - SUM(FILTER(K:K, H:H=""Chuyển khoản""))
"),4468984)</f>
        <v>4468984</v>
      </c>
      <c r="O1241" s="5"/>
      <c r="P1241" s="5"/>
      <c r="Q1241" s="5"/>
      <c r="R1241" s="5"/>
      <c r="S1241" s="5"/>
    </row>
    <row r="1242" spans="1:19" ht="15.75" customHeight="1" x14ac:dyDescent="0.2">
      <c r="A1242" s="3">
        <v>46041</v>
      </c>
      <c r="B1242" s="4" t="str">
        <f>IF(A1242="","","PC-"&amp;TEXT(A1242,"mm/yyyy")&amp;"-"&amp;TEXT(COUNTIFS($A$2:A1242,"&gt;="&amp;EOMONTH(A1242,-1)+1,$A$2:A1242,"&lt;="&amp;EOMONTH(A1242,0)),"000"))</f>
        <v>PC-01/2026-159</v>
      </c>
      <c r="C1242" s="5" t="s">
        <v>280</v>
      </c>
      <c r="D1242" s="5" t="s">
        <v>29</v>
      </c>
      <c r="E1242" s="5" t="s">
        <v>88</v>
      </c>
      <c r="F1242" s="5"/>
      <c r="G1242" s="5" t="s">
        <v>113</v>
      </c>
      <c r="H1242" s="5" t="s">
        <v>23</v>
      </c>
      <c r="I1242" s="6">
        <v>2000000</v>
      </c>
      <c r="J1242" s="6">
        <f>IF(D1242="Thu",I1242,0)</f>
        <v>0</v>
      </c>
      <c r="K1242" s="6">
        <f>IF(D1242="Chi",I1242,0)</f>
        <v>2000000</v>
      </c>
      <c r="L1242" s="6" t="e">
        <f>L1241+J1242-K1242</f>
        <v>#VALUE!</v>
      </c>
      <c r="M1242" s="6">
        <f ca="1">IFERROR(__xludf.DUMMYFUNCTION("SUM(FILTER(J:J, H:H=""Tiền mặt"")) - SUM(FILTER(K:K, H:H=""Tiền mặt""))
"),959000)</f>
        <v>959000</v>
      </c>
      <c r="N1242" s="6">
        <f ca="1">IFERROR(__xludf.DUMMYFUNCTION("SUM(FILTER(J:J, H:H=""Chuyển khoản"")) - SUM(FILTER(K:K, H:H=""Chuyển khoản""))
"),4468984)</f>
        <v>4468984</v>
      </c>
      <c r="O1242" s="5"/>
      <c r="P1242" s="5"/>
      <c r="Q1242" s="5"/>
      <c r="R1242" s="5"/>
      <c r="S1242" s="5"/>
    </row>
    <row r="1243" spans="1:19" ht="15.75" customHeight="1" x14ac:dyDescent="0.2">
      <c r="A1243" s="3">
        <v>46041</v>
      </c>
      <c r="B1243" s="4" t="str">
        <f>IF(A1243="","","PC-"&amp;TEXT(A1243,"mm/yyyy")&amp;"-"&amp;TEXT(COUNTIFS($A$2:A1243,"&gt;="&amp;EOMONTH(A1243,-1)+1,$A$2:A1243,"&lt;="&amp;EOMONTH(A1243,0)),"000"))</f>
        <v>PC-01/2026-160</v>
      </c>
      <c r="C1243" s="5" t="s">
        <v>281</v>
      </c>
      <c r="D1243" s="5" t="s">
        <v>29</v>
      </c>
      <c r="E1243" s="5" t="s">
        <v>30</v>
      </c>
      <c r="F1243" s="5"/>
      <c r="G1243" s="5" t="s">
        <v>282</v>
      </c>
      <c r="H1243" s="5" t="s">
        <v>27</v>
      </c>
      <c r="I1243" s="6">
        <v>200000</v>
      </c>
      <c r="J1243" s="6">
        <f>IF(D1243="Thu",I1243,0)</f>
        <v>0</v>
      </c>
      <c r="K1243" s="6">
        <f>IF(D1243="Chi",I1243,0)</f>
        <v>200000</v>
      </c>
      <c r="L1243" s="6" t="e">
        <f>L1242+J1243-K1243</f>
        <v>#VALUE!</v>
      </c>
      <c r="M1243" s="6">
        <f ca="1">IFERROR(__xludf.DUMMYFUNCTION("SUM(FILTER(J:J, H:H=""Tiền mặt"")) - SUM(FILTER(K:K, H:H=""Tiền mặt""))
"),959000)</f>
        <v>959000</v>
      </c>
      <c r="N1243" s="6">
        <f ca="1">IFERROR(__xludf.DUMMYFUNCTION("SUM(FILTER(J:J, H:H=""Chuyển khoản"")) - SUM(FILTER(K:K, H:H=""Chuyển khoản""))
"),4468984)</f>
        <v>4468984</v>
      </c>
      <c r="O1243" s="5"/>
      <c r="P1243" s="5"/>
      <c r="Q1243" s="5"/>
      <c r="R1243" s="5"/>
      <c r="S1243" s="5"/>
    </row>
    <row r="1244" spans="1:19" ht="15.75" customHeight="1" x14ac:dyDescent="0.2">
      <c r="A1244" s="3">
        <v>46041</v>
      </c>
      <c r="B1244" s="4" t="str">
        <f>IF(A1244="","","PC-"&amp;TEXT(A1244,"mm/yyyy")&amp;"-"&amp;TEXT(COUNTIFS($A$2:A1244,"&gt;="&amp;EOMONTH(A1244,-1)+1,$A$2:A1244,"&lt;="&amp;EOMONTH(A1244,0)),"000"))</f>
        <v>PC-01/2026-161</v>
      </c>
      <c r="C1244" s="7" t="s">
        <v>283</v>
      </c>
      <c r="D1244" s="5" t="s">
        <v>29</v>
      </c>
      <c r="E1244" s="5" t="s">
        <v>51</v>
      </c>
      <c r="F1244" s="5"/>
      <c r="G1244" s="5" t="s">
        <v>52</v>
      </c>
      <c r="H1244" s="5" t="s">
        <v>27</v>
      </c>
      <c r="I1244" s="6">
        <v>173800</v>
      </c>
      <c r="J1244" s="6">
        <f>IF(D1244="Thu",I1244,0)</f>
        <v>0</v>
      </c>
      <c r="K1244" s="6">
        <f>IF(D1244="Chi",I1244,0)</f>
        <v>173800</v>
      </c>
      <c r="L1244" s="6" t="e">
        <f>L1243+J1244-K1244</f>
        <v>#VALUE!</v>
      </c>
      <c r="M1244" s="6">
        <f ca="1">IFERROR(__xludf.DUMMYFUNCTION("SUM(FILTER(J:J, H:H=""Tiền mặt"")) - SUM(FILTER(K:K, H:H=""Tiền mặt""))
"),959000)</f>
        <v>959000</v>
      </c>
      <c r="N1244" s="6">
        <f ca="1">IFERROR(__xludf.DUMMYFUNCTION("SUM(FILTER(J:J, H:H=""Chuyển khoản"")) - SUM(FILTER(K:K, H:H=""Chuyển khoản""))
"),4468984)</f>
        <v>4468984</v>
      </c>
      <c r="O1244" s="5"/>
      <c r="P1244" s="5"/>
      <c r="Q1244" s="5"/>
      <c r="R1244" s="5"/>
      <c r="S1244" s="5"/>
    </row>
    <row r="1245" spans="1:19" ht="15.75" customHeight="1" x14ac:dyDescent="0.2">
      <c r="A1245" s="3">
        <v>46041</v>
      </c>
      <c r="B1245" s="4" t="str">
        <f>IF(A1245="","","PC-"&amp;TEXT(A1245,"mm/yyyy")&amp;"-"&amp;TEXT(COUNTIFS($A$2:A1245,"&gt;="&amp;EOMONTH(A1245,-1)+1,$A$2:A1245,"&lt;="&amp;EOMONTH(A1245,0)),"000"))</f>
        <v>PC-01/2026-162</v>
      </c>
      <c r="C1245" s="5" t="s">
        <v>284</v>
      </c>
      <c r="D1245" s="5" t="s">
        <v>29</v>
      </c>
      <c r="E1245" s="5" t="s">
        <v>51</v>
      </c>
      <c r="F1245" s="5"/>
      <c r="G1245" s="5" t="s">
        <v>52</v>
      </c>
      <c r="H1245" s="5" t="s">
        <v>27</v>
      </c>
      <c r="I1245" s="6">
        <v>114681</v>
      </c>
      <c r="J1245" s="6">
        <f>IF(D1245="Thu",I1245,0)</f>
        <v>0</v>
      </c>
      <c r="K1245" s="6">
        <f>IF(D1245="Chi",I1245,0)</f>
        <v>114681</v>
      </c>
      <c r="L1245" s="6" t="e">
        <f>L1244+J1245-K1245</f>
        <v>#VALUE!</v>
      </c>
      <c r="M1245" s="6">
        <f ca="1">IFERROR(__xludf.DUMMYFUNCTION("SUM(FILTER(J:J, H:H=""Tiền mặt"")) - SUM(FILTER(K:K, H:H=""Tiền mặt""))
"),959000)</f>
        <v>959000</v>
      </c>
      <c r="N1245" s="6">
        <f ca="1">IFERROR(__xludf.DUMMYFUNCTION("SUM(FILTER(J:J, H:H=""Chuyển khoản"")) - SUM(FILTER(K:K, H:H=""Chuyển khoản""))
"),4468984)</f>
        <v>4468984</v>
      </c>
      <c r="O1245" s="5"/>
      <c r="P1245" s="5"/>
      <c r="Q1245" s="5"/>
      <c r="R1245" s="5"/>
      <c r="S1245" s="5"/>
    </row>
    <row r="1246" spans="1:19" ht="15.75" customHeight="1" x14ac:dyDescent="0.2">
      <c r="A1246" s="3">
        <v>46041</v>
      </c>
      <c r="B1246" s="4" t="str">
        <f>IF(A1246="","","PC-"&amp;TEXT(A1246,"mm/yyyy")&amp;"-"&amp;TEXT(COUNTIFS($A$2:A1246,"&gt;="&amp;EOMONTH(A1246,-1)+1,$A$2:A1246,"&lt;="&amp;EOMONTH(A1246,0)),"000"))</f>
        <v>PC-01/2026-163</v>
      </c>
      <c r="C1246" s="5" t="s">
        <v>285</v>
      </c>
      <c r="D1246" s="5" t="s">
        <v>29</v>
      </c>
      <c r="E1246" s="5" t="s">
        <v>44</v>
      </c>
      <c r="F1246" s="5"/>
      <c r="G1246" s="5" t="s">
        <v>103</v>
      </c>
      <c r="H1246" s="5" t="s">
        <v>23</v>
      </c>
      <c r="I1246" s="6">
        <v>1500000</v>
      </c>
      <c r="J1246" s="6">
        <f>IF(D1246="Thu",I1246,0)</f>
        <v>0</v>
      </c>
      <c r="K1246" s="6">
        <f>IF(D1246="Chi",I1246,0)</f>
        <v>1500000</v>
      </c>
      <c r="L1246" s="6" t="e">
        <f>L1245+J1246-K1246</f>
        <v>#VALUE!</v>
      </c>
      <c r="M1246" s="6">
        <f ca="1">IFERROR(__xludf.DUMMYFUNCTION("SUM(FILTER(J:J, H:H=""Tiền mặt"")) - SUM(FILTER(K:K, H:H=""Tiền mặt""))
"),959000)</f>
        <v>959000</v>
      </c>
      <c r="N1246" s="6">
        <f ca="1">IFERROR(__xludf.DUMMYFUNCTION("SUM(FILTER(J:J, H:H=""Chuyển khoản"")) - SUM(FILTER(K:K, H:H=""Chuyển khoản""))
"),4468984)</f>
        <v>4468984</v>
      </c>
      <c r="O1246" s="5"/>
      <c r="P1246" s="5"/>
      <c r="Q1246" s="5"/>
      <c r="R1246" s="5"/>
      <c r="S1246" s="5"/>
    </row>
    <row r="1247" spans="1:19" ht="15.75" customHeight="1" x14ac:dyDescent="0.2">
      <c r="A1247" s="3">
        <v>46041</v>
      </c>
      <c r="B1247" s="4" t="str">
        <f>IF(A1247="","","PC-"&amp;TEXT(A1247,"mm/yyyy")&amp;"-"&amp;TEXT(COUNTIFS($A$2:A1247,"&gt;="&amp;EOMONTH(A1247,-1)+1,$A$2:A1247,"&lt;="&amp;EOMONTH(A1247,0)),"000"))</f>
        <v>PC-01/2026-164</v>
      </c>
      <c r="C1247" s="5" t="s">
        <v>286</v>
      </c>
      <c r="D1247" s="5" t="s">
        <v>29</v>
      </c>
      <c r="E1247" s="5" t="s">
        <v>47</v>
      </c>
      <c r="F1247" s="5"/>
      <c r="G1247" s="5" t="s">
        <v>48</v>
      </c>
      <c r="H1247" s="5" t="s">
        <v>23</v>
      </c>
      <c r="I1247" s="6">
        <v>50000</v>
      </c>
      <c r="J1247" s="6">
        <f>IF(D1247="Thu",I1247,0)</f>
        <v>0</v>
      </c>
      <c r="K1247" s="6">
        <f>IF(D1247="Chi",I1247,0)</f>
        <v>50000</v>
      </c>
      <c r="L1247" s="6" t="e">
        <f>L1246+J1247-K1247</f>
        <v>#VALUE!</v>
      </c>
      <c r="M1247" s="6">
        <f ca="1">IFERROR(__xludf.DUMMYFUNCTION("SUM(FILTER(J:J, H:H=""Tiền mặt"")) - SUM(FILTER(K:K, H:H=""Tiền mặt""))
"),959000)</f>
        <v>959000</v>
      </c>
      <c r="N1247" s="6">
        <f ca="1">IFERROR(__xludf.DUMMYFUNCTION("SUM(FILTER(J:J, H:H=""Chuyển khoản"")) - SUM(FILTER(K:K, H:H=""Chuyển khoản""))
"),4468984)</f>
        <v>4468984</v>
      </c>
      <c r="O1247" s="5"/>
      <c r="P1247" s="5"/>
      <c r="Q1247" s="5"/>
      <c r="R1247" s="5"/>
      <c r="S1247" s="5"/>
    </row>
    <row r="1248" spans="1:19" ht="15.75" customHeight="1" x14ac:dyDescent="0.2">
      <c r="A1248" s="3">
        <v>46041</v>
      </c>
      <c r="B1248" s="4" t="str">
        <f>IF(A1248="","","PC-"&amp;TEXT(A1248,"mm/yyyy")&amp;"-"&amp;TEXT(COUNTIFS($A$2:A1248,"&gt;="&amp;EOMONTH(A1248,-1)+1,$A$2:A1248,"&lt;="&amp;EOMONTH(A1248,0)),"000"))</f>
        <v>PC-01/2026-165</v>
      </c>
      <c r="C1248" s="5" t="s">
        <v>287</v>
      </c>
      <c r="D1248" s="5" t="s">
        <v>29</v>
      </c>
      <c r="E1248" s="5" t="s">
        <v>47</v>
      </c>
      <c r="F1248" s="5"/>
      <c r="G1248" s="5" t="s">
        <v>48</v>
      </c>
      <c r="H1248" s="5" t="s">
        <v>23</v>
      </c>
      <c r="I1248" s="6">
        <v>50000</v>
      </c>
      <c r="J1248" s="6">
        <f>IF(D1248="Thu",I1248,0)</f>
        <v>0</v>
      </c>
      <c r="K1248" s="6">
        <f>IF(D1248="Chi",I1248,0)</f>
        <v>50000</v>
      </c>
      <c r="L1248" s="6" t="e">
        <f>L1247+J1248-K1248</f>
        <v>#VALUE!</v>
      </c>
      <c r="M1248" s="6">
        <f ca="1">IFERROR(__xludf.DUMMYFUNCTION("SUM(FILTER(J:J, H:H=""Tiền mặt"")) - SUM(FILTER(K:K, H:H=""Tiền mặt""))
"),959000)</f>
        <v>959000</v>
      </c>
      <c r="N1248" s="6">
        <f ca="1">IFERROR(__xludf.DUMMYFUNCTION("SUM(FILTER(J:J, H:H=""Chuyển khoản"")) - SUM(FILTER(K:K, H:H=""Chuyển khoản""))
"),4468984)</f>
        <v>4468984</v>
      </c>
      <c r="O1248" s="5"/>
      <c r="P1248" s="5"/>
      <c r="Q1248" s="5"/>
      <c r="R1248" s="5"/>
      <c r="S1248" s="5"/>
    </row>
    <row r="1249" spans="1:19" ht="15.75" customHeight="1" x14ac:dyDescent="0.2">
      <c r="A1249" s="3">
        <v>46041</v>
      </c>
      <c r="B1249" s="4" t="str">
        <f>IF(A1249="","","PC-"&amp;TEXT(A1249,"mm/yyyy")&amp;"-"&amp;TEXT(COUNTIFS($A$2:A1249,"&gt;="&amp;EOMONTH(A1249,-1)+1,$A$2:A1249,"&lt;="&amp;EOMONTH(A1249,0)),"000"))</f>
        <v>PC-01/2026-166</v>
      </c>
      <c r="C1249" s="5" t="s">
        <v>288</v>
      </c>
      <c r="D1249" s="5" t="s">
        <v>29</v>
      </c>
      <c r="E1249" s="5" t="s">
        <v>71</v>
      </c>
      <c r="F1249" s="5"/>
      <c r="G1249" s="5" t="s">
        <v>219</v>
      </c>
      <c r="H1249" s="5" t="s">
        <v>27</v>
      </c>
      <c r="I1249" s="6">
        <v>79000</v>
      </c>
      <c r="J1249" s="6">
        <f>IF(D1249="Thu",I1249,0)</f>
        <v>0</v>
      </c>
      <c r="K1249" s="6">
        <f>IF(D1249="Chi",I1249,0)</f>
        <v>79000</v>
      </c>
      <c r="L1249" s="6" t="e">
        <f>L1248+J1249-K1249</f>
        <v>#VALUE!</v>
      </c>
      <c r="M1249" s="6">
        <f ca="1">IFERROR(__xludf.DUMMYFUNCTION("SUM(FILTER(J:J, H:H=""Tiền mặt"")) - SUM(FILTER(K:K, H:H=""Tiền mặt""))
"),959000)</f>
        <v>959000</v>
      </c>
      <c r="N1249" s="6">
        <f ca="1">IFERROR(__xludf.DUMMYFUNCTION("SUM(FILTER(J:J, H:H=""Chuyển khoản"")) - SUM(FILTER(K:K, H:H=""Chuyển khoản""))
"),4468984)</f>
        <v>4468984</v>
      </c>
      <c r="O1249" s="5"/>
      <c r="P1249" s="5"/>
      <c r="Q1249" s="5"/>
      <c r="R1249" s="5"/>
      <c r="S1249" s="5"/>
    </row>
    <row r="1250" spans="1:19" ht="15.75" customHeight="1" x14ac:dyDescent="0.2">
      <c r="A1250" s="3">
        <v>46039</v>
      </c>
      <c r="B1250" s="4" t="str">
        <f>IF(A1250="","","PC-"&amp;TEXT(A1250,"mm/yyyy")&amp;"-"&amp;TEXT(COUNTIFS($A$2:A1250,"&gt;="&amp;EOMONTH(A1250,-1)+1,$A$2:A1250,"&lt;="&amp;EOMONTH(A1250,0)),"000"))</f>
        <v>PC-01/2026-167</v>
      </c>
      <c r="C1250" s="5" t="s">
        <v>267</v>
      </c>
      <c r="D1250" s="5" t="s">
        <v>29</v>
      </c>
      <c r="E1250" s="5" t="s">
        <v>36</v>
      </c>
      <c r="F1250" s="5"/>
      <c r="G1250" s="5" t="s">
        <v>37</v>
      </c>
      <c r="H1250" s="5" t="s">
        <v>23</v>
      </c>
      <c r="I1250" s="6">
        <v>79000</v>
      </c>
      <c r="J1250" s="6">
        <f>IF(D1250="Thu",I1250,0)</f>
        <v>0</v>
      </c>
      <c r="K1250" s="6">
        <f>IF(D1250="Chi",I1250,0)</f>
        <v>79000</v>
      </c>
      <c r="L1250" s="6" t="e">
        <f>L1249+J1250-K1250</f>
        <v>#VALUE!</v>
      </c>
      <c r="M1250" s="6">
        <f ca="1">IFERROR(__xludf.DUMMYFUNCTION("SUM(FILTER(J:J, H:H=""Tiền mặt"")) - SUM(FILTER(K:K, H:H=""Tiền mặt""))
"),959000)</f>
        <v>959000</v>
      </c>
      <c r="N1250" s="6">
        <f ca="1">IFERROR(__xludf.DUMMYFUNCTION("SUM(FILTER(J:J, H:H=""Chuyển khoản"")) - SUM(FILTER(K:K, H:H=""Chuyển khoản""))
"),4468984)</f>
        <v>4468984</v>
      </c>
      <c r="O1250" s="5"/>
      <c r="P1250" s="5"/>
      <c r="Q1250" s="5"/>
      <c r="R1250" s="5"/>
      <c r="S1250" s="5"/>
    </row>
    <row r="1251" spans="1:19" ht="15.75" customHeight="1" x14ac:dyDescent="0.2">
      <c r="A1251" s="3">
        <v>46039</v>
      </c>
      <c r="B1251" s="4" t="str">
        <f>IF(A1251="","","PC-"&amp;TEXT(A1251,"mm/yyyy")&amp;"-"&amp;TEXT(COUNTIFS($A$2:A1251,"&gt;="&amp;EOMONTH(A1251,-1)+1,$A$2:A1251,"&lt;="&amp;EOMONTH(A1251,0)),"000"))</f>
        <v>PC-01/2026-168</v>
      </c>
      <c r="C1251" s="5" t="s">
        <v>268</v>
      </c>
      <c r="D1251" s="5" t="s">
        <v>29</v>
      </c>
      <c r="E1251" s="5" t="s">
        <v>41</v>
      </c>
      <c r="F1251" s="5"/>
      <c r="G1251" s="5" t="s">
        <v>192</v>
      </c>
      <c r="H1251" s="5" t="s">
        <v>23</v>
      </c>
      <c r="I1251" s="6">
        <v>100000</v>
      </c>
      <c r="J1251" s="6">
        <f>IF(D1251="Thu",I1251,0)</f>
        <v>0</v>
      </c>
      <c r="K1251" s="6">
        <f>IF(D1251="Chi",I1251,0)</f>
        <v>100000</v>
      </c>
      <c r="L1251" s="6" t="e">
        <f>L1250+J1251-K1251</f>
        <v>#VALUE!</v>
      </c>
      <c r="M1251" s="6">
        <f ca="1">IFERROR(__xludf.DUMMYFUNCTION("SUM(FILTER(J:J, H:H=""Tiền mặt"")) - SUM(FILTER(K:K, H:H=""Tiền mặt""))
"),959000)</f>
        <v>959000</v>
      </c>
      <c r="N1251" s="6">
        <f ca="1">IFERROR(__xludf.DUMMYFUNCTION("SUM(FILTER(J:J, H:H=""Chuyển khoản"")) - SUM(FILTER(K:K, H:H=""Chuyển khoản""))
"),4468984)</f>
        <v>4468984</v>
      </c>
      <c r="O1251" s="5"/>
      <c r="P1251" s="5"/>
      <c r="Q1251" s="5"/>
      <c r="R1251" s="5"/>
      <c r="S1251" s="5"/>
    </row>
    <row r="1252" spans="1:19" ht="15.75" customHeight="1" x14ac:dyDescent="0.2">
      <c r="A1252" s="3">
        <v>46039</v>
      </c>
      <c r="B1252" s="4" t="str">
        <f>IF(A1252="","","PC-"&amp;TEXT(A1252,"mm/yyyy")&amp;"-"&amp;TEXT(COUNTIFS($A$2:A1252,"&gt;="&amp;EOMONTH(A1252,-1)+1,$A$2:A1252,"&lt;="&amp;EOMONTH(A1252,0)),"000"))</f>
        <v>PC-01/2026-169</v>
      </c>
      <c r="C1252" s="5" t="s">
        <v>269</v>
      </c>
      <c r="D1252" s="5" t="s">
        <v>29</v>
      </c>
      <c r="E1252" s="5" t="s">
        <v>64</v>
      </c>
      <c r="F1252" s="5"/>
      <c r="G1252" s="5" t="s">
        <v>270</v>
      </c>
      <c r="H1252" s="5" t="s">
        <v>23</v>
      </c>
      <c r="I1252" s="6">
        <v>500000</v>
      </c>
      <c r="J1252" s="6">
        <f>IF(D1252="Thu",I1252,0)</f>
        <v>0</v>
      </c>
      <c r="K1252" s="6">
        <f>IF(D1252="Chi",I1252,0)</f>
        <v>500000</v>
      </c>
      <c r="L1252" s="6" t="e">
        <f>L1251+J1252-K1252</f>
        <v>#VALUE!</v>
      </c>
      <c r="M1252" s="6">
        <f ca="1">IFERROR(__xludf.DUMMYFUNCTION("SUM(FILTER(J:J, H:H=""Tiền mặt"")) - SUM(FILTER(K:K, H:H=""Tiền mặt""))
"),959000)</f>
        <v>959000</v>
      </c>
      <c r="N1252" s="6">
        <f ca="1">IFERROR(__xludf.DUMMYFUNCTION("SUM(FILTER(J:J, H:H=""Chuyển khoản"")) - SUM(FILTER(K:K, H:H=""Chuyển khoản""))
"),4468984)</f>
        <v>4468984</v>
      </c>
      <c r="O1252" s="5"/>
      <c r="P1252" s="5"/>
      <c r="Q1252" s="5"/>
      <c r="R1252" s="5"/>
      <c r="S1252" s="5"/>
    </row>
    <row r="1253" spans="1:19" ht="15.75" customHeight="1" x14ac:dyDescent="0.2">
      <c r="A1253" s="3">
        <v>46039</v>
      </c>
      <c r="B1253" s="4" t="str">
        <f>IF(A1253="","","PC-"&amp;TEXT(A1253,"mm/yyyy")&amp;"-"&amp;TEXT(COUNTIFS($A$2:A1253,"&gt;="&amp;EOMONTH(A1253,-1)+1,$A$2:A1253,"&lt;="&amp;EOMONTH(A1253,0)),"000"))</f>
        <v>PC-01/2026-170</v>
      </c>
      <c r="C1253" s="5" t="s">
        <v>271</v>
      </c>
      <c r="D1253" s="5" t="s">
        <v>29</v>
      </c>
      <c r="E1253" s="5" t="s">
        <v>153</v>
      </c>
      <c r="F1253" s="5"/>
      <c r="G1253" s="5" t="s">
        <v>72</v>
      </c>
      <c r="H1253" s="5" t="s">
        <v>27</v>
      </c>
      <c r="I1253" s="6">
        <v>327000</v>
      </c>
      <c r="J1253" s="6">
        <f>IF(D1253="Thu",I1253,0)</f>
        <v>0</v>
      </c>
      <c r="K1253" s="6">
        <f>IF(D1253="Chi",I1253,0)</f>
        <v>327000</v>
      </c>
      <c r="L1253" s="6" t="e">
        <f>L1252+J1253-K1253</f>
        <v>#VALUE!</v>
      </c>
      <c r="M1253" s="6">
        <f ca="1">IFERROR(__xludf.DUMMYFUNCTION("SUM(FILTER(J:J, H:H=""Tiền mặt"")) - SUM(FILTER(K:K, H:H=""Tiền mặt""))
"),959000)</f>
        <v>959000</v>
      </c>
      <c r="N1253" s="6">
        <f ca="1">IFERROR(__xludf.DUMMYFUNCTION("SUM(FILTER(J:J, H:H=""Chuyển khoản"")) - SUM(FILTER(K:K, H:H=""Chuyển khoản""))
"),4468984)</f>
        <v>4468984</v>
      </c>
      <c r="O1253" s="5"/>
      <c r="P1253" s="5"/>
      <c r="Q1253" s="5"/>
      <c r="R1253" s="5"/>
      <c r="S1253" s="5"/>
    </row>
    <row r="1254" spans="1:19" ht="15.75" customHeight="1" x14ac:dyDescent="0.2">
      <c r="A1254" s="3">
        <v>46039</v>
      </c>
      <c r="B1254" s="4" t="str">
        <f>IF(A1254="","","PC-"&amp;TEXT(A1254,"mm/yyyy")&amp;"-"&amp;TEXT(COUNTIFS($A$2:A1254,"&gt;="&amp;EOMONTH(A1254,-1)+1,$A$2:A1254,"&lt;="&amp;EOMONTH(A1254,0)),"000"))</f>
        <v>PC-01/2026-171</v>
      </c>
      <c r="C1254" s="5" t="s">
        <v>272</v>
      </c>
      <c r="D1254" s="5" t="s">
        <v>29</v>
      </c>
      <c r="E1254" s="5" t="s">
        <v>64</v>
      </c>
      <c r="F1254" s="5"/>
      <c r="G1254" s="5" t="s">
        <v>273</v>
      </c>
      <c r="H1254" s="5" t="s">
        <v>27</v>
      </c>
      <c r="I1254" s="6">
        <v>30000</v>
      </c>
      <c r="J1254" s="6">
        <f>IF(D1254="Thu",I1254,0)</f>
        <v>0</v>
      </c>
      <c r="K1254" s="6">
        <f>IF(D1254="Chi",I1254,0)</f>
        <v>30000</v>
      </c>
      <c r="L1254" s="6" t="e">
        <f>L1253+J1254-K1254</f>
        <v>#VALUE!</v>
      </c>
      <c r="M1254" s="6">
        <f ca="1">IFERROR(__xludf.DUMMYFUNCTION("SUM(FILTER(J:J, H:H=""Tiền mặt"")) - SUM(FILTER(K:K, H:H=""Tiền mặt""))
"),959000)</f>
        <v>959000</v>
      </c>
      <c r="N1254" s="6">
        <f ca="1">IFERROR(__xludf.DUMMYFUNCTION("SUM(FILTER(J:J, H:H=""Chuyển khoản"")) - SUM(FILTER(K:K, H:H=""Chuyển khoản""))
"),4468984)</f>
        <v>4468984</v>
      </c>
      <c r="O1254" s="5"/>
      <c r="P1254" s="5"/>
      <c r="Q1254" s="5"/>
      <c r="R1254" s="5"/>
      <c r="S1254" s="5"/>
    </row>
    <row r="1255" spans="1:19" ht="15.75" customHeight="1" x14ac:dyDescent="0.2">
      <c r="A1255" s="3">
        <v>46038</v>
      </c>
      <c r="B1255" s="4" t="str">
        <f>IF(A1255="","","PC-"&amp;TEXT(A1255,"mm/yyyy")&amp;"-"&amp;TEXT(COUNTIFS($A$2:A1255,"&gt;="&amp;EOMONTH(A1255,-1)+1,$A$2:A1255,"&lt;="&amp;EOMONTH(A1255,0)),"000"))</f>
        <v>PC-01/2026-172</v>
      </c>
      <c r="C1255" s="5" t="s">
        <v>242</v>
      </c>
      <c r="D1255" s="5" t="s">
        <v>29</v>
      </c>
      <c r="E1255" s="5" t="s">
        <v>51</v>
      </c>
      <c r="F1255" s="5"/>
      <c r="G1255" s="5" t="s">
        <v>52</v>
      </c>
      <c r="H1255" s="5" t="s">
        <v>27</v>
      </c>
      <c r="I1255" s="6">
        <v>86900</v>
      </c>
      <c r="J1255" s="6">
        <f>IF(D1255="Thu",I1255,0)</f>
        <v>0</v>
      </c>
      <c r="K1255" s="6">
        <f>IF(D1255="Chi",I1255,0)</f>
        <v>86900</v>
      </c>
      <c r="L1255" s="6" t="e">
        <f>L1254+J1255-K1255</f>
        <v>#VALUE!</v>
      </c>
      <c r="M1255" s="6">
        <f ca="1">IFERROR(__xludf.DUMMYFUNCTION("SUM(FILTER(J:J, H:H=""Tiền mặt"")) - SUM(FILTER(K:K, H:H=""Tiền mặt""))
"),959000)</f>
        <v>959000</v>
      </c>
      <c r="N1255" s="6">
        <f ca="1">IFERROR(__xludf.DUMMYFUNCTION("SUM(FILTER(J:J, H:H=""Chuyển khoản"")) - SUM(FILTER(K:K, H:H=""Chuyển khoản""))
"),4468984)</f>
        <v>4468984</v>
      </c>
      <c r="O1255" s="5"/>
      <c r="P1255" s="5"/>
      <c r="Q1255" s="5"/>
      <c r="R1255" s="5"/>
      <c r="S1255" s="5"/>
    </row>
    <row r="1256" spans="1:19" ht="15.75" customHeight="1" x14ac:dyDescent="0.2">
      <c r="A1256" s="3">
        <v>46038</v>
      </c>
      <c r="B1256" s="4" t="str">
        <f>IF(A1256="","","PC-"&amp;TEXT(A1256,"mm/yyyy")&amp;"-"&amp;TEXT(COUNTIFS($A$2:A1256,"&gt;="&amp;EOMONTH(A1256,-1)+1,$A$2:A1256,"&lt;="&amp;EOMONTH(A1256,0)),"000"))</f>
        <v>PC-01/2026-173</v>
      </c>
      <c r="C1256" s="5" t="s">
        <v>243</v>
      </c>
      <c r="D1256" s="5" t="s">
        <v>29</v>
      </c>
      <c r="E1256" s="5" t="s">
        <v>51</v>
      </c>
      <c r="F1256" s="5"/>
      <c r="G1256" s="5" t="s">
        <v>52</v>
      </c>
      <c r="H1256" s="5" t="s">
        <v>27</v>
      </c>
      <c r="I1256" s="6">
        <v>166100</v>
      </c>
      <c r="J1256" s="6">
        <f>IF(D1256="Thu",I1256,0)</f>
        <v>0</v>
      </c>
      <c r="K1256" s="6">
        <f>IF(D1256="Chi",I1256,0)</f>
        <v>166100</v>
      </c>
      <c r="L1256" s="6" t="e">
        <f>L1255+J1256-K1256</f>
        <v>#VALUE!</v>
      </c>
      <c r="M1256" s="6">
        <f ca="1">IFERROR(__xludf.DUMMYFUNCTION("SUM(FILTER(J:J, H:H=""Tiền mặt"")) - SUM(FILTER(K:K, H:H=""Tiền mặt""))
"),959000)</f>
        <v>959000</v>
      </c>
      <c r="N1256" s="6">
        <f ca="1">IFERROR(__xludf.DUMMYFUNCTION("SUM(FILTER(J:J, H:H=""Chuyển khoản"")) - SUM(FILTER(K:K, H:H=""Chuyển khoản""))
"),4468984)</f>
        <v>4468984</v>
      </c>
      <c r="O1256" s="5"/>
      <c r="P1256" s="5"/>
      <c r="Q1256" s="5"/>
      <c r="R1256" s="5"/>
      <c r="S1256" s="5"/>
    </row>
    <row r="1257" spans="1:19" ht="15.75" customHeight="1" x14ac:dyDescent="0.2">
      <c r="A1257" s="3">
        <v>46038</v>
      </c>
      <c r="B1257" s="4" t="str">
        <f>IF(A1257="","","PC-"&amp;TEXT(A1257,"mm/yyyy")&amp;"-"&amp;TEXT(COUNTIFS($A$2:A1257,"&gt;="&amp;EOMONTH(A1257,-1)+1,$A$2:A1257,"&lt;="&amp;EOMONTH(A1257,0)),"000"))</f>
        <v>PC-01/2026-174</v>
      </c>
      <c r="C1257" s="5" t="s">
        <v>244</v>
      </c>
      <c r="D1257" s="5" t="s">
        <v>29</v>
      </c>
      <c r="E1257" s="5" t="s">
        <v>51</v>
      </c>
      <c r="F1257" s="5"/>
      <c r="G1257" s="5" t="s">
        <v>52</v>
      </c>
      <c r="H1257" s="5" t="s">
        <v>27</v>
      </c>
      <c r="I1257" s="6">
        <v>131945</v>
      </c>
      <c r="J1257" s="6">
        <f>IF(D1257="Thu",I1257,0)</f>
        <v>0</v>
      </c>
      <c r="K1257" s="6">
        <f>IF(D1257="Chi",I1257,0)</f>
        <v>131945</v>
      </c>
      <c r="L1257" s="6" t="e">
        <f>L1256+J1257-K1257</f>
        <v>#VALUE!</v>
      </c>
      <c r="M1257" s="6">
        <f ca="1">IFERROR(__xludf.DUMMYFUNCTION("SUM(FILTER(J:J, H:H=""Tiền mặt"")) - SUM(FILTER(K:K, H:H=""Tiền mặt""))
"),959000)</f>
        <v>959000</v>
      </c>
      <c r="N1257" s="6">
        <f ca="1">IFERROR(__xludf.DUMMYFUNCTION("SUM(FILTER(J:J, H:H=""Chuyển khoản"")) - SUM(FILTER(K:K, H:H=""Chuyển khoản""))
"),4468984)</f>
        <v>4468984</v>
      </c>
      <c r="O1257" s="5"/>
      <c r="P1257" s="5"/>
      <c r="Q1257" s="5"/>
      <c r="R1257" s="5"/>
      <c r="S1257" s="5"/>
    </row>
    <row r="1258" spans="1:19" ht="15.75" customHeight="1" x14ac:dyDescent="0.2">
      <c r="A1258" s="3">
        <v>46038</v>
      </c>
      <c r="B1258" s="4" t="str">
        <f>IF(A1258="","","PC-"&amp;TEXT(A1258,"mm/yyyy")&amp;"-"&amp;TEXT(COUNTIFS($A$2:A1258,"&gt;="&amp;EOMONTH(A1258,-1)+1,$A$2:A1258,"&lt;="&amp;EOMONTH(A1258,0)),"000"))</f>
        <v>PC-01/2026-175</v>
      </c>
      <c r="C1258" s="5" t="s">
        <v>245</v>
      </c>
      <c r="D1258" s="5" t="s">
        <v>29</v>
      </c>
      <c r="E1258" s="5" t="s">
        <v>41</v>
      </c>
      <c r="F1258" s="5"/>
      <c r="G1258" s="5" t="s">
        <v>192</v>
      </c>
      <c r="H1258" s="5" t="s">
        <v>23</v>
      </c>
      <c r="I1258" s="6">
        <v>100000</v>
      </c>
      <c r="J1258" s="6">
        <f>IF(D1258="Thu",I1258,0)</f>
        <v>0</v>
      </c>
      <c r="K1258" s="6">
        <f>IF(D1258="Chi",I1258,0)</f>
        <v>100000</v>
      </c>
      <c r="L1258" s="6" t="e">
        <f>L1257+J1258-K1258</f>
        <v>#VALUE!</v>
      </c>
      <c r="M1258" s="6">
        <f ca="1">IFERROR(__xludf.DUMMYFUNCTION("SUM(FILTER(J:J, H:H=""Tiền mặt"")) - SUM(FILTER(K:K, H:H=""Tiền mặt""))
"),959000)</f>
        <v>959000</v>
      </c>
      <c r="N1258" s="6">
        <f ca="1">IFERROR(__xludf.DUMMYFUNCTION("SUM(FILTER(J:J, H:H=""Chuyển khoản"")) - SUM(FILTER(K:K, H:H=""Chuyển khoản""))
"),4468984)</f>
        <v>4468984</v>
      </c>
      <c r="O1258" s="5"/>
      <c r="P1258" s="5"/>
      <c r="Q1258" s="5"/>
      <c r="R1258" s="5"/>
      <c r="S1258" s="5"/>
    </row>
    <row r="1259" spans="1:19" ht="15.75" customHeight="1" x14ac:dyDescent="0.2">
      <c r="A1259" s="3">
        <v>46038</v>
      </c>
      <c r="B1259" s="4" t="str">
        <f>IF(A1259="","","PC-"&amp;TEXT(A1259,"mm/yyyy")&amp;"-"&amp;TEXT(COUNTIFS($A$2:A1259,"&gt;="&amp;EOMONTH(A1259,-1)+1,$A$2:A1259,"&lt;="&amp;EOMONTH(A1259,0)),"000"))</f>
        <v>PC-01/2026-176</v>
      </c>
      <c r="C1259" s="5" t="s">
        <v>203</v>
      </c>
      <c r="D1259" s="5" t="s">
        <v>29</v>
      </c>
      <c r="E1259" s="5" t="s">
        <v>47</v>
      </c>
      <c r="F1259" s="5"/>
      <c r="G1259" s="5" t="s">
        <v>48</v>
      </c>
      <c r="H1259" s="5" t="s">
        <v>23</v>
      </c>
      <c r="I1259" s="6">
        <v>50000</v>
      </c>
      <c r="J1259" s="6">
        <f>IF(D1259="Thu",I1259,0)</f>
        <v>0</v>
      </c>
      <c r="K1259" s="6">
        <f>IF(D1259="Chi",I1259,0)</f>
        <v>50000</v>
      </c>
      <c r="L1259" s="6" t="e">
        <f>L1258+J1259-K1259</f>
        <v>#VALUE!</v>
      </c>
      <c r="M1259" s="6">
        <f ca="1">IFERROR(__xludf.DUMMYFUNCTION("SUM(FILTER(J:J, H:H=""Tiền mặt"")) - SUM(FILTER(K:K, H:H=""Tiền mặt""))
"),959000)</f>
        <v>959000</v>
      </c>
      <c r="N1259" s="6">
        <f ca="1">IFERROR(__xludf.DUMMYFUNCTION("SUM(FILTER(J:J, H:H=""Chuyển khoản"")) - SUM(FILTER(K:K, H:H=""Chuyển khoản""))
"),4468984)</f>
        <v>4468984</v>
      </c>
      <c r="O1259" s="5"/>
      <c r="P1259" s="5"/>
      <c r="Q1259" s="5"/>
      <c r="R1259" s="5"/>
      <c r="S1259" s="5"/>
    </row>
    <row r="1260" spans="1:19" ht="15.75" customHeight="1" x14ac:dyDescent="0.2">
      <c r="A1260" s="3">
        <v>46038</v>
      </c>
      <c r="B1260" s="4" t="str">
        <f>IF(A1260="","","PC-"&amp;TEXT(A1260,"mm/yyyy")&amp;"-"&amp;TEXT(COUNTIFS($A$2:A1260,"&gt;="&amp;EOMONTH(A1260,-1)+1,$A$2:A1260,"&lt;="&amp;EOMONTH(A1260,0)),"000"))</f>
        <v>PC-01/2026-177</v>
      </c>
      <c r="C1260" s="5" t="s">
        <v>246</v>
      </c>
      <c r="D1260" s="5" t="s">
        <v>29</v>
      </c>
      <c r="E1260" s="5" t="s">
        <v>71</v>
      </c>
      <c r="F1260" s="5"/>
      <c r="G1260" s="5" t="s">
        <v>241</v>
      </c>
      <c r="H1260" s="5" t="s">
        <v>27</v>
      </c>
      <c r="I1260" s="6">
        <v>150000</v>
      </c>
      <c r="J1260" s="6">
        <f>IF(D1260="Thu",I1260,0)</f>
        <v>0</v>
      </c>
      <c r="K1260" s="6">
        <f>IF(D1260="Chi",I1260,0)</f>
        <v>150000</v>
      </c>
      <c r="L1260" s="6" t="e">
        <f>L1259+J1260-K1260</f>
        <v>#VALUE!</v>
      </c>
      <c r="M1260" s="6">
        <f ca="1">IFERROR(__xludf.DUMMYFUNCTION("SUM(FILTER(J:J, H:H=""Tiền mặt"")) - SUM(FILTER(K:K, H:H=""Tiền mặt""))
"),959000)</f>
        <v>959000</v>
      </c>
      <c r="N1260" s="6">
        <f ca="1">IFERROR(__xludf.DUMMYFUNCTION("SUM(FILTER(J:J, H:H=""Chuyển khoản"")) - SUM(FILTER(K:K, H:H=""Chuyển khoản""))
"),4468984)</f>
        <v>4468984</v>
      </c>
      <c r="O1260" s="5"/>
      <c r="P1260" s="5"/>
      <c r="Q1260" s="5"/>
      <c r="R1260" s="5"/>
      <c r="S1260" s="5"/>
    </row>
    <row r="1261" spans="1:19" ht="15.75" customHeight="1" x14ac:dyDescent="0.2">
      <c r="A1261" s="3">
        <v>46038</v>
      </c>
      <c r="B1261" s="4" t="str">
        <f>IF(A1261="","","PC-"&amp;TEXT(A1261,"mm/yyyy")&amp;"-"&amp;TEXT(COUNTIFS($A$2:A1261,"&gt;="&amp;EOMONTH(A1261,-1)+1,$A$2:A1261,"&lt;="&amp;EOMONTH(A1261,0)),"000"))</f>
        <v>PC-01/2026-178</v>
      </c>
      <c r="C1261" s="7" t="s">
        <v>247</v>
      </c>
      <c r="D1261" s="5" t="s">
        <v>29</v>
      </c>
      <c r="E1261" s="5" t="s">
        <v>88</v>
      </c>
      <c r="F1261" s="5"/>
      <c r="G1261" s="5" t="s">
        <v>89</v>
      </c>
      <c r="H1261" s="5" t="s">
        <v>23</v>
      </c>
      <c r="I1261" s="6">
        <v>821000</v>
      </c>
      <c r="J1261" s="6">
        <f>IF(D1261="Thu",I1261,0)</f>
        <v>0</v>
      </c>
      <c r="K1261" s="6">
        <f>IF(D1261="Chi",I1261,0)</f>
        <v>821000</v>
      </c>
      <c r="L1261" s="6" t="e">
        <f>L1260+J1261-K1261</f>
        <v>#VALUE!</v>
      </c>
      <c r="M1261" s="6">
        <f ca="1">IFERROR(__xludf.DUMMYFUNCTION("SUM(FILTER(J:J, H:H=""Tiền mặt"")) - SUM(FILTER(K:K, H:H=""Tiền mặt""))
"),959000)</f>
        <v>959000</v>
      </c>
      <c r="N1261" s="6">
        <f ca="1">IFERROR(__xludf.DUMMYFUNCTION("SUM(FILTER(J:J, H:H=""Chuyển khoản"")) - SUM(FILTER(K:K, H:H=""Chuyển khoản""))
"),4468984)</f>
        <v>4468984</v>
      </c>
      <c r="O1261" s="5"/>
      <c r="P1261" s="5"/>
      <c r="Q1261" s="5"/>
      <c r="R1261" s="5"/>
      <c r="S1261" s="5"/>
    </row>
    <row r="1262" spans="1:19" ht="15.75" customHeight="1" x14ac:dyDescent="0.2">
      <c r="A1262" s="3">
        <v>46038</v>
      </c>
      <c r="B1262" s="4" t="str">
        <f>IF(A1262="","","PC-"&amp;TEXT(A1262,"mm/yyyy")&amp;"-"&amp;TEXT(COUNTIFS($A$2:A1262,"&gt;="&amp;EOMONTH(A1262,-1)+1,$A$2:A1262,"&lt;="&amp;EOMONTH(A1262,0)),"000"))</f>
        <v>PC-01/2026-179</v>
      </c>
      <c r="C1262" s="5" t="s">
        <v>68</v>
      </c>
      <c r="D1262" s="5" t="s">
        <v>20</v>
      </c>
      <c r="E1262" s="5" t="s">
        <v>68</v>
      </c>
      <c r="F1262" s="5"/>
      <c r="G1262" s="5" t="s">
        <v>248</v>
      </c>
      <c r="H1262" s="5" t="s">
        <v>23</v>
      </c>
      <c r="I1262" s="6">
        <v>200000</v>
      </c>
      <c r="J1262" s="6">
        <f>IF(D1262="Thu",I1262,0)</f>
        <v>200000</v>
      </c>
      <c r="K1262" s="6">
        <f>IF(D1262="Chi",I1262,0)</f>
        <v>0</v>
      </c>
      <c r="L1262" s="6" t="e">
        <f>L1261+J1262-K1262</f>
        <v>#VALUE!</v>
      </c>
      <c r="M1262" s="6">
        <f ca="1">IFERROR(__xludf.DUMMYFUNCTION("SUM(FILTER(J:J, H:H=""Tiền mặt"")) - SUM(FILTER(K:K, H:H=""Tiền mặt""))
"),959000)</f>
        <v>959000</v>
      </c>
      <c r="N1262" s="6">
        <f ca="1">IFERROR(__xludf.DUMMYFUNCTION("SUM(FILTER(J:J, H:H=""Chuyển khoản"")) - SUM(FILTER(K:K, H:H=""Chuyển khoản""))
"),4468984)</f>
        <v>4468984</v>
      </c>
      <c r="O1262" s="5"/>
      <c r="P1262" s="5"/>
      <c r="Q1262" s="5"/>
      <c r="R1262" s="5"/>
      <c r="S1262" s="5"/>
    </row>
    <row r="1263" spans="1:19" ht="15.75" customHeight="1" x14ac:dyDescent="0.2">
      <c r="A1263" s="3">
        <v>46038</v>
      </c>
      <c r="B1263" s="4" t="str">
        <f>IF(A1263="","","PC-"&amp;TEXT(A1263,"mm/yyyy")&amp;"-"&amp;TEXT(COUNTIFS($A$2:A1263,"&gt;="&amp;EOMONTH(A1263,-1)+1,$A$2:A1263,"&lt;="&amp;EOMONTH(A1263,0)),"000"))</f>
        <v>PC-01/2026-180</v>
      </c>
      <c r="C1263" s="5" t="s">
        <v>249</v>
      </c>
      <c r="D1263" s="5" t="s">
        <v>29</v>
      </c>
      <c r="E1263" s="5" t="s">
        <v>41</v>
      </c>
      <c r="F1263" s="5"/>
      <c r="G1263" s="5" t="s">
        <v>82</v>
      </c>
      <c r="H1263" s="5" t="s">
        <v>23</v>
      </c>
      <c r="I1263" s="6">
        <v>100000</v>
      </c>
      <c r="J1263" s="6">
        <f>IF(D1263="Thu",I1263,0)</f>
        <v>0</v>
      </c>
      <c r="K1263" s="6">
        <f>IF(D1263="Chi",I1263,0)</f>
        <v>100000</v>
      </c>
      <c r="L1263" s="6" t="e">
        <f>L1262+J1263-K1263</f>
        <v>#VALUE!</v>
      </c>
      <c r="M1263" s="6">
        <f ca="1">IFERROR(__xludf.DUMMYFUNCTION("SUM(FILTER(J:J, H:H=""Tiền mặt"")) - SUM(FILTER(K:K, H:H=""Tiền mặt""))
"),959000)</f>
        <v>959000</v>
      </c>
      <c r="N1263" s="6">
        <f ca="1">IFERROR(__xludf.DUMMYFUNCTION("SUM(FILTER(J:J, H:H=""Chuyển khoản"")) - SUM(FILTER(K:K, H:H=""Chuyển khoản""))
"),4468984)</f>
        <v>4468984</v>
      </c>
      <c r="O1263" s="5"/>
      <c r="P1263" s="5"/>
      <c r="Q1263" s="5"/>
      <c r="R1263" s="5"/>
      <c r="S1263" s="5"/>
    </row>
    <row r="1264" spans="1:19" ht="15.75" customHeight="1" x14ac:dyDescent="0.2">
      <c r="A1264" s="3">
        <v>46038</v>
      </c>
      <c r="B1264" s="4" t="str">
        <f>IF(A1264="","","PC-"&amp;TEXT(A1264,"mm/yyyy")&amp;"-"&amp;TEXT(COUNTIFS($A$2:A1264,"&gt;="&amp;EOMONTH(A1264,-1)+1,$A$2:A1264,"&lt;="&amp;EOMONTH(A1264,0)),"000"))</f>
        <v>PC-01/2026-181</v>
      </c>
      <c r="C1264" s="5" t="s">
        <v>250</v>
      </c>
      <c r="D1264" s="5" t="s">
        <v>29</v>
      </c>
      <c r="E1264" s="5" t="s">
        <v>44</v>
      </c>
      <c r="F1264" s="5"/>
      <c r="G1264" s="5" t="s">
        <v>99</v>
      </c>
      <c r="H1264" s="5" t="s">
        <v>23</v>
      </c>
      <c r="I1264" s="6">
        <v>1500000</v>
      </c>
      <c r="J1264" s="6">
        <f>IF(D1264="Thu",I1264,0)</f>
        <v>0</v>
      </c>
      <c r="K1264" s="6">
        <f>IF(D1264="Chi",I1264,0)</f>
        <v>1500000</v>
      </c>
      <c r="L1264" s="6" t="e">
        <f>L1263+J1264-K1264</f>
        <v>#VALUE!</v>
      </c>
      <c r="M1264" s="6">
        <f ca="1">IFERROR(__xludf.DUMMYFUNCTION("SUM(FILTER(J:J, H:H=""Tiền mặt"")) - SUM(FILTER(K:K, H:H=""Tiền mặt""))
"),959000)</f>
        <v>959000</v>
      </c>
      <c r="N1264" s="6">
        <f ca="1">IFERROR(__xludf.DUMMYFUNCTION("SUM(FILTER(J:J, H:H=""Chuyển khoản"")) - SUM(FILTER(K:K, H:H=""Chuyển khoản""))
"),4468984)</f>
        <v>4468984</v>
      </c>
      <c r="O1264" s="5"/>
      <c r="P1264" s="5"/>
      <c r="Q1264" s="5"/>
      <c r="R1264" s="5"/>
      <c r="S1264" s="5"/>
    </row>
    <row r="1265" spans="1:19" ht="15.75" customHeight="1" x14ac:dyDescent="0.2">
      <c r="A1265" s="3">
        <v>46038</v>
      </c>
      <c r="B1265" s="4" t="str">
        <f>IF(A1265="","","PC-"&amp;TEXT(A1265,"mm/yyyy")&amp;"-"&amp;TEXT(COUNTIFS($A$2:A1265,"&gt;="&amp;EOMONTH(A1265,-1)+1,$A$2:A1265,"&lt;="&amp;EOMONTH(A1265,0)),"000"))</f>
        <v>PC-01/2026-182</v>
      </c>
      <c r="C1265" s="5" t="s">
        <v>251</v>
      </c>
      <c r="D1265" s="5" t="s">
        <v>20</v>
      </c>
      <c r="E1265" s="5" t="s">
        <v>21</v>
      </c>
      <c r="F1265" s="5"/>
      <c r="G1265" s="5" t="s">
        <v>22</v>
      </c>
      <c r="H1265" s="5" t="s">
        <v>23</v>
      </c>
      <c r="I1265" s="6">
        <v>1500000</v>
      </c>
      <c r="J1265" s="6">
        <f>IF(D1265="Thu",I1265,0)</f>
        <v>1500000</v>
      </c>
      <c r="K1265" s="6">
        <f>IF(D1265="Chi",I1265,0)</f>
        <v>0</v>
      </c>
      <c r="L1265" s="6" t="e">
        <f>L1264+J1265-K1265</f>
        <v>#VALUE!</v>
      </c>
      <c r="M1265" s="6">
        <f ca="1">IFERROR(__xludf.DUMMYFUNCTION("SUM(FILTER(J:J, H:H=""Tiền mặt"")) - SUM(FILTER(K:K, H:H=""Tiền mặt""))
"),959000)</f>
        <v>959000</v>
      </c>
      <c r="N1265" s="6">
        <f ca="1">IFERROR(__xludf.DUMMYFUNCTION("SUM(FILTER(J:J, H:H=""Chuyển khoản"")) - SUM(FILTER(K:K, H:H=""Chuyển khoản""))
"),4468984)</f>
        <v>4468984</v>
      </c>
      <c r="O1265" s="5"/>
      <c r="P1265" s="5"/>
      <c r="Q1265" s="5"/>
      <c r="R1265" s="5"/>
      <c r="S1265" s="5"/>
    </row>
    <row r="1266" spans="1:19" ht="15.75" customHeight="1" x14ac:dyDescent="0.2">
      <c r="A1266" s="3">
        <v>46038</v>
      </c>
      <c r="B1266" s="4" t="str">
        <f>IF(A1266="","","PC-"&amp;TEXT(A1266,"mm/yyyy")&amp;"-"&amp;TEXT(COUNTIFS($A$2:A1266,"&gt;="&amp;EOMONTH(A1266,-1)+1,$A$2:A1266,"&lt;="&amp;EOMONTH(A1266,0)),"000"))</f>
        <v>PC-01/2026-183</v>
      </c>
      <c r="C1266" s="5" t="s">
        <v>252</v>
      </c>
      <c r="D1266" s="5" t="s">
        <v>29</v>
      </c>
      <c r="E1266" s="5" t="s">
        <v>41</v>
      </c>
      <c r="F1266" s="5"/>
      <c r="G1266" s="5" t="s">
        <v>253</v>
      </c>
      <c r="H1266" s="5" t="s">
        <v>23</v>
      </c>
      <c r="I1266" s="6">
        <v>100000</v>
      </c>
      <c r="J1266" s="6">
        <f>IF(D1266="Thu",I1266,0)</f>
        <v>0</v>
      </c>
      <c r="K1266" s="6">
        <f>IF(D1266="Chi",I1266,0)</f>
        <v>100000</v>
      </c>
      <c r="L1266" s="6" t="e">
        <f>L1265+J1266-K1266</f>
        <v>#VALUE!</v>
      </c>
      <c r="M1266" s="6">
        <f ca="1">IFERROR(__xludf.DUMMYFUNCTION("SUM(FILTER(J:J, H:H=""Tiền mặt"")) - SUM(FILTER(K:K, H:H=""Tiền mặt""))
"),959000)</f>
        <v>959000</v>
      </c>
      <c r="N1266" s="6">
        <f ca="1">IFERROR(__xludf.DUMMYFUNCTION("SUM(FILTER(J:J, H:H=""Chuyển khoản"")) - SUM(FILTER(K:K, H:H=""Chuyển khoản""))
"),4468984)</f>
        <v>4468984</v>
      </c>
      <c r="O1266" s="5"/>
      <c r="P1266" s="5"/>
      <c r="Q1266" s="5"/>
      <c r="R1266" s="5"/>
      <c r="S1266" s="5"/>
    </row>
    <row r="1267" spans="1:19" ht="15.75" customHeight="1" x14ac:dyDescent="0.2">
      <c r="A1267" s="3">
        <v>46038</v>
      </c>
      <c r="B1267" s="4" t="str">
        <f>IF(A1267="","","PC-"&amp;TEXT(A1267,"mm/yyyy")&amp;"-"&amp;TEXT(COUNTIFS($A$2:A1267,"&gt;="&amp;EOMONTH(A1267,-1)+1,$A$2:A1267,"&lt;="&amp;EOMONTH(A1267,0)),"000"))</f>
        <v>PC-01/2026-184</v>
      </c>
      <c r="C1267" s="5" t="s">
        <v>254</v>
      </c>
      <c r="D1267" s="5" t="s">
        <v>20</v>
      </c>
      <c r="E1267" s="5" t="s">
        <v>21</v>
      </c>
      <c r="F1267" s="5"/>
      <c r="G1267" s="5" t="s">
        <v>22</v>
      </c>
      <c r="H1267" s="5" t="s">
        <v>23</v>
      </c>
      <c r="I1267" s="6">
        <v>10000000</v>
      </c>
      <c r="J1267" s="6">
        <f>IF(D1267="Thu",I1267,0)</f>
        <v>10000000</v>
      </c>
      <c r="K1267" s="6">
        <f>IF(D1267="Chi",I1267,0)</f>
        <v>0</v>
      </c>
      <c r="L1267" s="6" t="e">
        <f>L1266+J1267-K1267</f>
        <v>#VALUE!</v>
      </c>
      <c r="M1267" s="6">
        <f ca="1">IFERROR(__xludf.DUMMYFUNCTION("SUM(FILTER(J:J, H:H=""Tiền mặt"")) - SUM(FILTER(K:K, H:H=""Tiền mặt""))
"),959000)</f>
        <v>959000</v>
      </c>
      <c r="N1267" s="6">
        <f ca="1">IFERROR(__xludf.DUMMYFUNCTION("SUM(FILTER(J:J, H:H=""Chuyển khoản"")) - SUM(FILTER(K:K, H:H=""Chuyển khoản""))
"),4468984)</f>
        <v>4468984</v>
      </c>
      <c r="O1267" s="5"/>
      <c r="P1267" s="5"/>
      <c r="Q1267" s="5"/>
      <c r="R1267" s="5"/>
      <c r="S1267" s="5"/>
    </row>
    <row r="1268" spans="1:19" ht="15.75" customHeight="1" x14ac:dyDescent="0.2">
      <c r="A1268" s="3">
        <v>46038</v>
      </c>
      <c r="B1268" s="4" t="str">
        <f>IF(A1268="","","PC-"&amp;TEXT(A1268,"mm/yyyy")&amp;"-"&amp;TEXT(COUNTIFS($A$2:A1268,"&gt;="&amp;EOMONTH(A1268,-1)+1,$A$2:A1268,"&lt;="&amp;EOMONTH(A1268,0)),"000"))</f>
        <v>PC-01/2026-185</v>
      </c>
      <c r="C1268" s="5" t="s">
        <v>255</v>
      </c>
      <c r="D1268" s="5" t="s">
        <v>20</v>
      </c>
      <c r="E1268" s="5" t="s">
        <v>21</v>
      </c>
      <c r="F1268" s="5"/>
      <c r="G1268" s="5" t="s">
        <v>22</v>
      </c>
      <c r="H1268" s="5" t="s">
        <v>27</v>
      </c>
      <c r="I1268" s="6">
        <v>10000000</v>
      </c>
      <c r="J1268" s="6">
        <f>IF(D1268="Thu",I1268,0)</f>
        <v>10000000</v>
      </c>
      <c r="K1268" s="6">
        <f>IF(D1268="Chi",I1268,0)</f>
        <v>0</v>
      </c>
      <c r="L1268" s="6" t="e">
        <f>L1267+J1268-K1268</f>
        <v>#VALUE!</v>
      </c>
      <c r="M1268" s="6">
        <f ca="1">IFERROR(__xludf.DUMMYFUNCTION("SUM(FILTER(J:J, H:H=""Tiền mặt"")) - SUM(FILTER(K:K, H:H=""Tiền mặt""))
"),959000)</f>
        <v>959000</v>
      </c>
      <c r="N1268" s="6">
        <f ca="1">IFERROR(__xludf.DUMMYFUNCTION("SUM(FILTER(J:J, H:H=""Chuyển khoản"")) - SUM(FILTER(K:K, H:H=""Chuyển khoản""))
"),4468984)</f>
        <v>4468984</v>
      </c>
      <c r="O1268" s="5"/>
      <c r="P1268" s="5"/>
      <c r="Q1268" s="5"/>
      <c r="R1268" s="5"/>
      <c r="S1268" s="5"/>
    </row>
    <row r="1269" spans="1:19" ht="15.75" customHeight="1" x14ac:dyDescent="0.2">
      <c r="A1269" s="3">
        <v>46038</v>
      </c>
      <c r="B1269" s="4" t="str">
        <f>IF(A1269="","","PC-"&amp;TEXT(A1269,"mm/yyyy")&amp;"-"&amp;TEXT(COUNTIFS($A$2:A1269,"&gt;="&amp;EOMONTH(A1269,-1)+1,$A$2:A1269,"&lt;="&amp;EOMONTH(A1269,0)),"000"))</f>
        <v>PC-01/2026-186</v>
      </c>
      <c r="C1269" s="7" t="s">
        <v>256</v>
      </c>
      <c r="D1269" s="5" t="s">
        <v>29</v>
      </c>
      <c r="E1269" s="5" t="s">
        <v>41</v>
      </c>
      <c r="F1269" s="5"/>
      <c r="G1269" s="5" t="s">
        <v>257</v>
      </c>
      <c r="H1269" s="5" t="s">
        <v>23</v>
      </c>
      <c r="I1269" s="6">
        <v>200000</v>
      </c>
      <c r="J1269" s="6">
        <f>IF(D1269="Thu",I1269,0)</f>
        <v>0</v>
      </c>
      <c r="K1269" s="6">
        <f>IF(D1269="Chi",I1269,0)</f>
        <v>200000</v>
      </c>
      <c r="L1269" s="6" t="e">
        <f>L1268+J1269-K1269</f>
        <v>#VALUE!</v>
      </c>
      <c r="M1269" s="6">
        <f ca="1">IFERROR(__xludf.DUMMYFUNCTION("SUM(FILTER(J:J, H:H=""Tiền mặt"")) - SUM(FILTER(K:K, H:H=""Tiền mặt""))
"),959000)</f>
        <v>959000</v>
      </c>
      <c r="N1269" s="6">
        <f ca="1">IFERROR(__xludf.DUMMYFUNCTION("SUM(FILTER(J:J, H:H=""Chuyển khoản"")) - SUM(FILTER(K:K, H:H=""Chuyển khoản""))
"),4468984)</f>
        <v>4468984</v>
      </c>
      <c r="O1269" s="5"/>
      <c r="P1269" s="5"/>
      <c r="Q1269" s="5"/>
      <c r="R1269" s="5"/>
      <c r="S1269" s="5"/>
    </row>
    <row r="1270" spans="1:19" ht="15.75" customHeight="1" x14ac:dyDescent="0.2">
      <c r="A1270" s="3">
        <v>46038</v>
      </c>
      <c r="B1270" s="4" t="str">
        <f>IF(A1270="","","PC-"&amp;TEXT(A1270,"mm/yyyy")&amp;"-"&amp;TEXT(COUNTIFS($A$2:A1270,"&gt;="&amp;EOMONTH(A1270,-1)+1,$A$2:A1270,"&lt;="&amp;EOMONTH(A1270,0)),"000"))</f>
        <v>PC-01/2026-187</v>
      </c>
      <c r="C1270" s="7" t="s">
        <v>258</v>
      </c>
      <c r="D1270" s="5" t="s">
        <v>29</v>
      </c>
      <c r="E1270" s="5" t="s">
        <v>64</v>
      </c>
      <c r="F1270" s="5"/>
      <c r="G1270" s="5" t="s">
        <v>259</v>
      </c>
      <c r="H1270" s="5" t="s">
        <v>27</v>
      </c>
      <c r="I1270" s="6">
        <v>200000</v>
      </c>
      <c r="J1270" s="6">
        <f>IF(D1270="Thu",I1270,0)</f>
        <v>0</v>
      </c>
      <c r="K1270" s="6">
        <f>IF(D1270="Chi",I1270,0)</f>
        <v>200000</v>
      </c>
      <c r="L1270" s="6" t="e">
        <f>L1269+J1270-K1270</f>
        <v>#VALUE!</v>
      </c>
      <c r="M1270" s="6">
        <f ca="1">IFERROR(__xludf.DUMMYFUNCTION("SUM(FILTER(J:J, H:H=""Tiền mặt"")) - SUM(FILTER(K:K, H:H=""Tiền mặt""))
"),959000)</f>
        <v>959000</v>
      </c>
      <c r="N1270" s="6">
        <f ca="1">IFERROR(__xludf.DUMMYFUNCTION("SUM(FILTER(J:J, H:H=""Chuyển khoản"")) - SUM(FILTER(K:K, H:H=""Chuyển khoản""))
"),4468984)</f>
        <v>4468984</v>
      </c>
      <c r="O1270" s="5"/>
      <c r="P1270" s="5"/>
      <c r="Q1270" s="5"/>
      <c r="R1270" s="5"/>
      <c r="S1270" s="5"/>
    </row>
    <row r="1271" spans="1:19" ht="15.75" customHeight="1" x14ac:dyDescent="0.2">
      <c r="A1271" s="3">
        <v>46038</v>
      </c>
      <c r="B1271" s="4" t="str">
        <f>IF(A1271="","","PC-"&amp;TEXT(A1271,"mm/yyyy")&amp;"-"&amp;TEXT(COUNTIFS($A$2:A1271,"&gt;="&amp;EOMONTH(A1271,-1)+1,$A$2:A1271,"&lt;="&amp;EOMONTH(A1271,0)),"000"))</f>
        <v>PC-01/2026-188</v>
      </c>
      <c r="C1271" s="52" t="s">
        <v>260</v>
      </c>
      <c r="D1271" s="5" t="s">
        <v>29</v>
      </c>
      <c r="E1271" s="5" t="s">
        <v>153</v>
      </c>
      <c r="F1271" s="5"/>
      <c r="G1271" s="5" t="s">
        <v>261</v>
      </c>
      <c r="H1271" s="5" t="s">
        <v>27</v>
      </c>
      <c r="I1271" s="6">
        <v>1440000</v>
      </c>
      <c r="J1271" s="6">
        <f>IF(D1271="Thu",I1271,0)</f>
        <v>0</v>
      </c>
      <c r="K1271" s="6">
        <f>IF(D1271="Chi",I1271,0)</f>
        <v>1440000</v>
      </c>
      <c r="L1271" s="6" t="e">
        <f>L1270+J1271-K1271</f>
        <v>#VALUE!</v>
      </c>
      <c r="M1271" s="6">
        <f ca="1">IFERROR(__xludf.DUMMYFUNCTION("SUM(FILTER(J:J, H:H=""Tiền mặt"")) - SUM(FILTER(K:K, H:H=""Tiền mặt""))
"),959000)</f>
        <v>959000</v>
      </c>
      <c r="N1271" s="6">
        <f ca="1">IFERROR(__xludf.DUMMYFUNCTION("SUM(FILTER(J:J, H:H=""Chuyển khoản"")) - SUM(FILTER(K:K, H:H=""Chuyển khoản""))
"),4468984)</f>
        <v>4468984</v>
      </c>
      <c r="O1271" s="5"/>
      <c r="P1271" s="5"/>
      <c r="Q1271" s="5"/>
      <c r="R1271" s="5"/>
      <c r="S1271" s="5"/>
    </row>
    <row r="1272" spans="1:19" ht="15.75" customHeight="1" x14ac:dyDescent="0.2">
      <c r="A1272" s="3">
        <v>46038</v>
      </c>
      <c r="B1272" s="4" t="str">
        <f>IF(A1272="","","PC-"&amp;TEXT(A1272,"mm/yyyy")&amp;"-"&amp;TEXT(COUNTIFS($A$2:A1272,"&gt;="&amp;EOMONTH(A1272,-1)+1,$A$2:A1272,"&lt;="&amp;EOMONTH(A1272,0)),"000"))</f>
        <v>PC-01/2026-189</v>
      </c>
      <c r="C1272" s="5" t="s">
        <v>262</v>
      </c>
      <c r="D1272" s="5" t="s">
        <v>29</v>
      </c>
      <c r="E1272" s="5" t="s">
        <v>41</v>
      </c>
      <c r="F1272" s="5"/>
      <c r="G1272" s="5" t="s">
        <v>82</v>
      </c>
      <c r="H1272" s="5" t="s">
        <v>23</v>
      </c>
      <c r="I1272" s="6">
        <v>100000</v>
      </c>
      <c r="J1272" s="6">
        <f>IF(D1272="Thu",I1272,0)</f>
        <v>0</v>
      </c>
      <c r="K1272" s="6">
        <f>IF(D1272="Chi",I1272,0)</f>
        <v>100000</v>
      </c>
      <c r="L1272" s="6" t="e">
        <f>L1271+J1272-K1272</f>
        <v>#VALUE!</v>
      </c>
      <c r="M1272" s="6">
        <f ca="1">IFERROR(__xludf.DUMMYFUNCTION("SUM(FILTER(J:J, H:H=""Tiền mặt"")) - SUM(FILTER(K:K, H:H=""Tiền mặt""))
"),959000)</f>
        <v>959000</v>
      </c>
      <c r="N1272" s="6">
        <f ca="1">IFERROR(__xludf.DUMMYFUNCTION("SUM(FILTER(J:J, H:H=""Chuyển khoản"")) - SUM(FILTER(K:K, H:H=""Chuyển khoản""))
"),4468984)</f>
        <v>4468984</v>
      </c>
      <c r="O1272" s="5"/>
      <c r="P1272" s="5"/>
      <c r="Q1272" s="5"/>
      <c r="R1272" s="5"/>
      <c r="S1272" s="5"/>
    </row>
    <row r="1273" spans="1:19" ht="15.75" customHeight="1" x14ac:dyDescent="0.2">
      <c r="A1273" s="3">
        <v>46038</v>
      </c>
      <c r="B1273" s="4" t="str">
        <f>IF(A1273="","","PC-"&amp;TEXT(A1273,"mm/yyyy")&amp;"-"&amp;TEXT(COUNTIFS($A$2:A1273,"&gt;="&amp;EOMONTH(A1273,-1)+1,$A$2:A1273,"&lt;="&amp;EOMONTH(A1273,0)),"000"))</f>
        <v>PC-01/2026-190</v>
      </c>
      <c r="C1273" s="5" t="s">
        <v>263</v>
      </c>
      <c r="D1273" s="5" t="s">
        <v>29</v>
      </c>
      <c r="E1273" s="5" t="s">
        <v>71</v>
      </c>
      <c r="F1273" s="5"/>
      <c r="G1273" s="5" t="s">
        <v>264</v>
      </c>
      <c r="H1273" s="5" t="s">
        <v>27</v>
      </c>
      <c r="I1273" s="6">
        <v>155000</v>
      </c>
      <c r="J1273" s="6">
        <f>IF(D1273="Thu",I1273,0)</f>
        <v>0</v>
      </c>
      <c r="K1273" s="6">
        <f>IF(D1273="Chi",I1273,0)</f>
        <v>155000</v>
      </c>
      <c r="L1273" s="6" t="e">
        <f>L1272+J1273-K1273</f>
        <v>#VALUE!</v>
      </c>
      <c r="M1273" s="6">
        <f ca="1">IFERROR(__xludf.DUMMYFUNCTION("SUM(FILTER(J:J, H:H=""Tiền mặt"")) - SUM(FILTER(K:K, H:H=""Tiền mặt""))
"),959000)</f>
        <v>959000</v>
      </c>
      <c r="N1273" s="6">
        <f ca="1">IFERROR(__xludf.DUMMYFUNCTION("SUM(FILTER(J:J, H:H=""Chuyển khoản"")) - SUM(FILTER(K:K, H:H=""Chuyển khoản""))
"),4468984)</f>
        <v>4468984</v>
      </c>
      <c r="O1273" s="5"/>
      <c r="P1273" s="5"/>
      <c r="Q1273" s="5"/>
      <c r="R1273" s="5"/>
      <c r="S1273" s="5"/>
    </row>
    <row r="1274" spans="1:19" ht="15.75" customHeight="1" x14ac:dyDescent="0.2">
      <c r="A1274" s="3">
        <v>46038</v>
      </c>
      <c r="B1274" s="4" t="str">
        <f>IF(A1274="","","PC-"&amp;TEXT(A1274,"mm/yyyy")&amp;"-"&amp;TEXT(COUNTIFS($A$2:A1274,"&gt;="&amp;EOMONTH(A1274,-1)+1,$A$2:A1274,"&lt;="&amp;EOMONTH(A1274,0)),"000"))</f>
        <v>PC-01/2026-191</v>
      </c>
      <c r="C1274" s="5" t="s">
        <v>265</v>
      </c>
      <c r="D1274" s="5" t="s">
        <v>20</v>
      </c>
      <c r="E1274" s="5" t="s">
        <v>21</v>
      </c>
      <c r="F1274" s="5"/>
      <c r="G1274" s="5" t="s">
        <v>22</v>
      </c>
      <c r="H1274" s="5" t="s">
        <v>23</v>
      </c>
      <c r="I1274" s="6">
        <v>1500000</v>
      </c>
      <c r="J1274" s="6">
        <f>IF(D1274="Thu",I1274,0)</f>
        <v>1500000</v>
      </c>
      <c r="K1274" s="6">
        <f>IF(D1274="Chi",I1274,0)</f>
        <v>0</v>
      </c>
      <c r="L1274" s="6" t="e">
        <f>L1273+J1274-K1274</f>
        <v>#VALUE!</v>
      </c>
      <c r="M1274" s="6">
        <f ca="1">IFERROR(__xludf.DUMMYFUNCTION("SUM(FILTER(J:J, H:H=""Tiền mặt"")) - SUM(FILTER(K:K, H:H=""Tiền mặt""))
"),959000)</f>
        <v>959000</v>
      </c>
      <c r="N1274" s="6">
        <f ca="1">IFERROR(__xludf.DUMMYFUNCTION("SUM(FILTER(J:J, H:H=""Chuyển khoản"")) - SUM(FILTER(K:K, H:H=""Chuyển khoản""))
"),4468984)</f>
        <v>4468984</v>
      </c>
      <c r="O1274" s="5"/>
      <c r="P1274" s="5"/>
      <c r="Q1274" s="5"/>
      <c r="R1274" s="5"/>
      <c r="S1274" s="5"/>
    </row>
    <row r="1275" spans="1:19" ht="15.75" customHeight="1" x14ac:dyDescent="0.2">
      <c r="A1275" s="3">
        <v>46038</v>
      </c>
      <c r="B1275" s="4" t="str">
        <f>IF(A1275="","","PC-"&amp;TEXT(A1275,"mm/yyyy")&amp;"-"&amp;TEXT(COUNTIFS($A$2:A1275,"&gt;="&amp;EOMONTH(A1275,-1)+1,$A$2:A1275,"&lt;="&amp;EOMONTH(A1275,0)),"000"))</f>
        <v>PC-01/2026-192</v>
      </c>
      <c r="C1275" s="5" t="s">
        <v>266</v>
      </c>
      <c r="D1275" s="5" t="s">
        <v>29</v>
      </c>
      <c r="E1275" s="5" t="s">
        <v>44</v>
      </c>
      <c r="F1275" s="5"/>
      <c r="G1275" s="5" t="s">
        <v>103</v>
      </c>
      <c r="H1275" s="5" t="s">
        <v>23</v>
      </c>
      <c r="I1275" s="6">
        <v>1500000</v>
      </c>
      <c r="J1275" s="6">
        <f>IF(D1275="Thu",I1275,0)</f>
        <v>0</v>
      </c>
      <c r="K1275" s="6">
        <f>IF(D1275="Chi",I1275,0)</f>
        <v>1500000</v>
      </c>
      <c r="L1275" s="6" t="e">
        <f>L1274+J1275-K1275</f>
        <v>#VALUE!</v>
      </c>
      <c r="M1275" s="6">
        <f ca="1">IFERROR(__xludf.DUMMYFUNCTION("SUM(FILTER(J:J, H:H=""Tiền mặt"")) - SUM(FILTER(K:K, H:H=""Tiền mặt""))
"),959000)</f>
        <v>959000</v>
      </c>
      <c r="N1275" s="6">
        <f ca="1">IFERROR(__xludf.DUMMYFUNCTION("SUM(FILTER(J:J, H:H=""Chuyển khoản"")) - SUM(FILTER(K:K, H:H=""Chuyển khoản""))
"),4468984)</f>
        <v>4468984</v>
      </c>
      <c r="O1275" s="5"/>
      <c r="P1275" s="5"/>
      <c r="Q1275" s="5"/>
      <c r="R1275" s="5"/>
      <c r="S1275" s="5"/>
    </row>
    <row r="1276" spans="1:19" ht="15.75" customHeight="1" x14ac:dyDescent="0.2">
      <c r="A1276" s="3">
        <v>46037</v>
      </c>
      <c r="B1276" s="4" t="str">
        <f>IF(A1276="","","PC-"&amp;TEXT(A1276,"mm/yyyy")&amp;"-"&amp;TEXT(COUNTIFS($A$2:A1276,"&gt;="&amp;EOMONTH(A1276,-1)+1,$A$2:A1276,"&lt;="&amp;EOMONTH(A1276,0)),"000"))</f>
        <v>PC-01/2026-193</v>
      </c>
      <c r="C1276" s="5" t="s">
        <v>220</v>
      </c>
      <c r="D1276" s="5" t="s">
        <v>29</v>
      </c>
      <c r="E1276" s="5" t="s">
        <v>41</v>
      </c>
      <c r="F1276" s="5"/>
      <c r="G1276" s="5" t="s">
        <v>192</v>
      </c>
      <c r="H1276" s="5" t="s">
        <v>23</v>
      </c>
      <c r="I1276" s="6">
        <v>100000</v>
      </c>
      <c r="J1276" s="6">
        <f>IF(D1276="Thu",I1276,0)</f>
        <v>0</v>
      </c>
      <c r="K1276" s="6">
        <f>IF(D1276="Chi",I1276,0)</f>
        <v>100000</v>
      </c>
      <c r="L1276" s="6" t="e">
        <f>L1275+J1276-K1276</f>
        <v>#VALUE!</v>
      </c>
      <c r="M1276" s="6">
        <f ca="1">IFERROR(__xludf.DUMMYFUNCTION("SUM(FILTER(J:J, H:H=""Tiền mặt"")) - SUM(FILTER(K:K, H:H=""Tiền mặt""))
"),959000)</f>
        <v>959000</v>
      </c>
      <c r="N1276" s="6">
        <f ca="1">IFERROR(__xludf.DUMMYFUNCTION("SUM(FILTER(J:J, H:H=""Chuyển khoản"")) - SUM(FILTER(K:K, H:H=""Chuyển khoản""))
"),4468984)</f>
        <v>4468984</v>
      </c>
      <c r="O1276" s="5"/>
      <c r="P1276" s="5"/>
      <c r="Q1276" s="5"/>
      <c r="R1276" s="5"/>
      <c r="S1276" s="5"/>
    </row>
    <row r="1277" spans="1:19" ht="15.75" customHeight="1" x14ac:dyDescent="0.2">
      <c r="A1277" s="3">
        <v>46037</v>
      </c>
      <c r="B1277" s="4" t="str">
        <f>IF(A1277="","","PC-"&amp;TEXT(A1277,"mm/yyyy")&amp;"-"&amp;TEXT(COUNTIFS($A$2:A1277,"&gt;="&amp;EOMONTH(A1277,-1)+1,$A$2:A1277,"&lt;="&amp;EOMONTH(A1277,0)),"000"))</f>
        <v>PC-01/2026-194</v>
      </c>
      <c r="C1277" s="5" t="s">
        <v>221</v>
      </c>
      <c r="D1277" s="5" t="s">
        <v>29</v>
      </c>
      <c r="E1277" s="5" t="s">
        <v>51</v>
      </c>
      <c r="F1277" s="5"/>
      <c r="G1277" s="5" t="s">
        <v>52</v>
      </c>
      <c r="H1277" s="5" t="s">
        <v>27</v>
      </c>
      <c r="I1277" s="6">
        <v>365651</v>
      </c>
      <c r="J1277" s="6">
        <f>IF(D1277="Thu",I1277,0)</f>
        <v>0</v>
      </c>
      <c r="K1277" s="6">
        <f>IF(D1277="Chi",I1277,0)</f>
        <v>365651</v>
      </c>
      <c r="L1277" s="6" t="e">
        <f>L1276+J1277-K1277</f>
        <v>#VALUE!</v>
      </c>
      <c r="M1277" s="6">
        <f ca="1">IFERROR(__xludf.DUMMYFUNCTION("SUM(FILTER(J:J, H:H=""Tiền mặt"")) - SUM(FILTER(K:K, H:H=""Tiền mặt""))
"),959000)</f>
        <v>959000</v>
      </c>
      <c r="N1277" s="6">
        <f ca="1">IFERROR(__xludf.DUMMYFUNCTION("SUM(FILTER(J:J, H:H=""Chuyển khoản"")) - SUM(FILTER(K:K, H:H=""Chuyển khoản""))
"),4468984)</f>
        <v>4468984</v>
      </c>
      <c r="O1277" s="5"/>
      <c r="P1277" s="5"/>
      <c r="Q1277" s="5"/>
      <c r="R1277" s="5"/>
      <c r="S1277" s="5"/>
    </row>
    <row r="1278" spans="1:19" ht="15.75" customHeight="1" x14ac:dyDescent="0.2">
      <c r="A1278" s="3">
        <v>46037</v>
      </c>
      <c r="B1278" s="4" t="str">
        <f>IF(A1278="","","PC-"&amp;TEXT(A1278,"mm/yyyy")&amp;"-"&amp;TEXT(COUNTIFS($A$2:A1278,"&gt;="&amp;EOMONTH(A1278,-1)+1,$A$2:A1278,"&lt;="&amp;EOMONTH(A1278,0)),"000"))</f>
        <v>PC-01/2026-195</v>
      </c>
      <c r="C1278" s="5" t="s">
        <v>222</v>
      </c>
      <c r="D1278" s="5" t="s">
        <v>29</v>
      </c>
      <c r="E1278" s="5" t="s">
        <v>44</v>
      </c>
      <c r="F1278" s="5"/>
      <c r="G1278" s="5" t="s">
        <v>223</v>
      </c>
      <c r="H1278" s="5" t="s">
        <v>23</v>
      </c>
      <c r="I1278" s="6">
        <v>1500000</v>
      </c>
      <c r="J1278" s="6">
        <f>IF(D1278="Thu",I1278,0)</f>
        <v>0</v>
      </c>
      <c r="K1278" s="6">
        <f>IF(D1278="Chi",I1278,0)</f>
        <v>1500000</v>
      </c>
      <c r="L1278" s="6" t="e">
        <f>L1277+J1278-K1278</f>
        <v>#VALUE!</v>
      </c>
      <c r="M1278" s="6">
        <f ca="1">IFERROR(__xludf.DUMMYFUNCTION("SUM(FILTER(J:J, H:H=""Tiền mặt"")) - SUM(FILTER(K:K, H:H=""Tiền mặt""))
"),959000)</f>
        <v>959000</v>
      </c>
      <c r="N1278" s="6">
        <f ca="1">IFERROR(__xludf.DUMMYFUNCTION("SUM(FILTER(J:J, H:H=""Chuyển khoản"")) - SUM(FILTER(K:K, H:H=""Chuyển khoản""))
"),4468984)</f>
        <v>4468984</v>
      </c>
      <c r="O1278" s="5"/>
      <c r="P1278" s="5"/>
      <c r="Q1278" s="5"/>
      <c r="R1278" s="5"/>
      <c r="S1278" s="5"/>
    </row>
    <row r="1279" spans="1:19" ht="15.75" customHeight="1" x14ac:dyDescent="0.2">
      <c r="A1279" s="3">
        <v>46037</v>
      </c>
      <c r="B1279" s="4" t="str">
        <f>IF(A1279="","","PC-"&amp;TEXT(A1279,"mm/yyyy")&amp;"-"&amp;TEXT(COUNTIFS($A$2:A1279,"&gt;="&amp;EOMONTH(A1279,-1)+1,$A$2:A1279,"&lt;="&amp;EOMONTH(A1279,0)),"000"))</f>
        <v>PC-01/2026-196</v>
      </c>
      <c r="C1279" s="5" t="s">
        <v>224</v>
      </c>
      <c r="D1279" s="5" t="s">
        <v>29</v>
      </c>
      <c r="E1279" s="5" t="s">
        <v>44</v>
      </c>
      <c r="F1279" s="5"/>
      <c r="G1279" s="5" t="s">
        <v>223</v>
      </c>
      <c r="H1279" s="5" t="s">
        <v>23</v>
      </c>
      <c r="I1279" s="6">
        <v>1500000</v>
      </c>
      <c r="J1279" s="6">
        <f>IF(D1279="Thu",I1279,0)</f>
        <v>0</v>
      </c>
      <c r="K1279" s="6">
        <f>IF(D1279="Chi",I1279,0)</f>
        <v>1500000</v>
      </c>
      <c r="L1279" s="6" t="e">
        <f>L1278+J1279-K1279</f>
        <v>#VALUE!</v>
      </c>
      <c r="M1279" s="6">
        <f ca="1">IFERROR(__xludf.DUMMYFUNCTION("SUM(FILTER(J:J, H:H=""Tiền mặt"")) - SUM(FILTER(K:K, H:H=""Tiền mặt""))
"),959000)</f>
        <v>959000</v>
      </c>
      <c r="N1279" s="6">
        <f ca="1">IFERROR(__xludf.DUMMYFUNCTION("SUM(FILTER(J:J, H:H=""Chuyển khoản"")) - SUM(FILTER(K:K, H:H=""Chuyển khoản""))
"),4468984)</f>
        <v>4468984</v>
      </c>
      <c r="O1279" s="5"/>
      <c r="P1279" s="5"/>
      <c r="Q1279" s="5"/>
      <c r="R1279" s="5"/>
      <c r="S1279" s="5"/>
    </row>
    <row r="1280" spans="1:19" ht="15.75" customHeight="1" x14ac:dyDescent="0.2">
      <c r="A1280" s="3">
        <v>46037</v>
      </c>
      <c r="B1280" s="4" t="str">
        <f>IF(A1280="","","PC-"&amp;TEXT(A1280,"mm/yyyy")&amp;"-"&amp;TEXT(COUNTIFS($A$2:A1280,"&gt;="&amp;EOMONTH(A1280,-1)+1,$A$2:A1280,"&lt;="&amp;EOMONTH(A1280,0)),"000"))</f>
        <v>PC-01/2026-197</v>
      </c>
      <c r="C1280" s="5" t="s">
        <v>225</v>
      </c>
      <c r="D1280" s="5" t="s">
        <v>29</v>
      </c>
      <c r="E1280" s="5" t="s">
        <v>47</v>
      </c>
      <c r="F1280" s="5"/>
      <c r="G1280" s="5" t="s">
        <v>48</v>
      </c>
      <c r="H1280" s="5" t="s">
        <v>23</v>
      </c>
      <c r="I1280" s="6">
        <v>50000</v>
      </c>
      <c r="J1280" s="6">
        <f>IF(D1280="Thu",I1280,0)</f>
        <v>0</v>
      </c>
      <c r="K1280" s="6">
        <f>IF(D1280="Chi",I1280,0)</f>
        <v>50000</v>
      </c>
      <c r="L1280" s="6" t="e">
        <f>L1279+J1280-K1280</f>
        <v>#VALUE!</v>
      </c>
      <c r="M1280" s="6">
        <f ca="1">IFERROR(__xludf.DUMMYFUNCTION("SUM(FILTER(J:J, H:H=""Tiền mặt"")) - SUM(FILTER(K:K, H:H=""Tiền mặt""))
"),959000)</f>
        <v>959000</v>
      </c>
      <c r="N1280" s="6">
        <f ca="1">IFERROR(__xludf.DUMMYFUNCTION("SUM(FILTER(J:J, H:H=""Chuyển khoản"")) - SUM(FILTER(K:K, H:H=""Chuyển khoản""))
"),4468984)</f>
        <v>4468984</v>
      </c>
      <c r="O1280" s="5"/>
      <c r="P1280" s="5"/>
      <c r="Q1280" s="5"/>
      <c r="R1280" s="5"/>
      <c r="S1280" s="5"/>
    </row>
    <row r="1281" spans="1:19" ht="15.75" customHeight="1" x14ac:dyDescent="0.2">
      <c r="A1281" s="3">
        <v>46037</v>
      </c>
      <c r="B1281" s="4" t="str">
        <f>IF(A1281="","","PC-"&amp;TEXT(A1281,"mm/yyyy")&amp;"-"&amp;TEXT(COUNTIFS($A$2:A1281,"&gt;="&amp;EOMONTH(A1281,-1)+1,$A$2:A1281,"&lt;="&amp;EOMONTH(A1281,0)),"000"))</f>
        <v>PC-01/2026-198</v>
      </c>
      <c r="C1281" s="4" t="s">
        <v>226</v>
      </c>
      <c r="D1281" s="5" t="s">
        <v>20</v>
      </c>
      <c r="E1281" s="5" t="s">
        <v>21</v>
      </c>
      <c r="F1281" s="5"/>
      <c r="G1281" s="5" t="s">
        <v>22</v>
      </c>
      <c r="H1281" s="5" t="s">
        <v>23</v>
      </c>
      <c r="I1281" s="6">
        <v>6000000</v>
      </c>
      <c r="J1281" s="6">
        <f>IF(D1281="Thu",I1281,0)</f>
        <v>6000000</v>
      </c>
      <c r="K1281" s="6">
        <f>IF(D1281="Chi",I1281,0)</f>
        <v>0</v>
      </c>
      <c r="L1281" s="6" t="e">
        <f>L1280+J1281-K1281</f>
        <v>#VALUE!</v>
      </c>
      <c r="M1281" s="6">
        <f ca="1">IFERROR(__xludf.DUMMYFUNCTION("SUM(FILTER(J:J, H:H=""Tiền mặt"")) - SUM(FILTER(K:K, H:H=""Tiền mặt""))
"),959000)</f>
        <v>959000</v>
      </c>
      <c r="N1281" s="6">
        <f ca="1">IFERROR(__xludf.DUMMYFUNCTION("SUM(FILTER(J:J, H:H=""Chuyển khoản"")) - SUM(FILTER(K:K, H:H=""Chuyển khoản""))
"),4468984)</f>
        <v>4468984</v>
      </c>
      <c r="O1281" s="5"/>
      <c r="P1281" s="5"/>
      <c r="Q1281" s="5"/>
      <c r="R1281" s="5"/>
      <c r="S1281" s="5"/>
    </row>
    <row r="1282" spans="1:19" ht="15.75" customHeight="1" x14ac:dyDescent="0.2">
      <c r="A1282" s="3">
        <v>46037</v>
      </c>
      <c r="B1282" s="4" t="str">
        <f>IF(A1282="","","PC-"&amp;TEXT(A1282,"mm/yyyy")&amp;"-"&amp;TEXT(COUNTIFS($A$2:A1282,"&gt;="&amp;EOMONTH(A1282,-1)+1,$A$2:A1282,"&lt;="&amp;EOMONTH(A1282,0)),"000"))</f>
        <v>PC-01/2026-199</v>
      </c>
      <c r="C1282" s="5" t="s">
        <v>227</v>
      </c>
      <c r="D1282" s="5" t="s">
        <v>29</v>
      </c>
      <c r="E1282" s="5" t="s">
        <v>44</v>
      </c>
      <c r="F1282" s="5"/>
      <c r="G1282" s="5" t="s">
        <v>103</v>
      </c>
      <c r="H1282" s="5" t="s">
        <v>23</v>
      </c>
      <c r="I1282" s="6">
        <v>6000000</v>
      </c>
      <c r="J1282" s="6">
        <f>IF(D1282="Thu",I1282,0)</f>
        <v>0</v>
      </c>
      <c r="K1282" s="6">
        <f>IF(D1282="Chi",I1282,0)</f>
        <v>6000000</v>
      </c>
      <c r="L1282" s="6" t="e">
        <f>L1281+J1282-K1282</f>
        <v>#VALUE!</v>
      </c>
      <c r="M1282" s="6">
        <f ca="1">IFERROR(__xludf.DUMMYFUNCTION("SUM(FILTER(J:J, H:H=""Tiền mặt"")) - SUM(FILTER(K:K, H:H=""Tiền mặt""))
"),959000)</f>
        <v>959000</v>
      </c>
      <c r="N1282" s="6">
        <f ca="1">IFERROR(__xludf.DUMMYFUNCTION("SUM(FILTER(J:J, H:H=""Chuyển khoản"")) - SUM(FILTER(K:K, H:H=""Chuyển khoản""))
"),4468984)</f>
        <v>4468984</v>
      </c>
      <c r="O1282" s="5"/>
      <c r="P1282" s="5"/>
      <c r="Q1282" s="5"/>
      <c r="R1282" s="5"/>
      <c r="S1282" s="5"/>
    </row>
    <row r="1283" spans="1:19" ht="15.75" customHeight="1" x14ac:dyDescent="0.2">
      <c r="A1283" s="3">
        <v>46037</v>
      </c>
      <c r="B1283" s="4" t="str">
        <f>IF(A1283="","","PC-"&amp;TEXT(A1283,"mm/yyyy")&amp;"-"&amp;TEXT(COUNTIFS($A$2:A1283,"&gt;="&amp;EOMONTH(A1283,-1)+1,$A$2:A1283,"&lt;="&amp;EOMONTH(A1283,0)),"000"))</f>
        <v>PC-01/2026-200</v>
      </c>
      <c r="C1283" s="5" t="s">
        <v>228</v>
      </c>
      <c r="D1283" s="5" t="s">
        <v>20</v>
      </c>
      <c r="E1283" s="5" t="s">
        <v>21</v>
      </c>
      <c r="F1283" s="5"/>
      <c r="G1283" s="5" t="s">
        <v>22</v>
      </c>
      <c r="H1283" s="5" t="s">
        <v>23</v>
      </c>
      <c r="I1283" s="6">
        <v>10000000</v>
      </c>
      <c r="J1283" s="6">
        <f>IF(D1283="Thu",I1283,0)</f>
        <v>10000000</v>
      </c>
      <c r="K1283" s="6">
        <f>IF(D1283="Chi",I1283,0)</f>
        <v>0</v>
      </c>
      <c r="L1283" s="6" t="e">
        <f>L1282+J1283-K1283</f>
        <v>#VALUE!</v>
      </c>
      <c r="M1283" s="6">
        <f ca="1">IFERROR(__xludf.DUMMYFUNCTION("SUM(FILTER(J:J, H:H=""Tiền mặt"")) - SUM(FILTER(K:K, H:H=""Tiền mặt""))
"),959000)</f>
        <v>959000</v>
      </c>
      <c r="N1283" s="6">
        <f ca="1">IFERROR(__xludf.DUMMYFUNCTION("SUM(FILTER(J:J, H:H=""Chuyển khoản"")) - SUM(FILTER(K:K, H:H=""Chuyển khoản""))
"),4468984)</f>
        <v>4468984</v>
      </c>
      <c r="O1283" s="5"/>
      <c r="P1283" s="5"/>
      <c r="Q1283" s="5"/>
      <c r="R1283" s="5"/>
      <c r="S1283" s="5"/>
    </row>
    <row r="1284" spans="1:19" ht="15.75" customHeight="1" x14ac:dyDescent="0.2">
      <c r="A1284" s="3">
        <v>46037</v>
      </c>
      <c r="B1284" s="4" t="str">
        <f>IF(A1284="","","PC-"&amp;TEXT(A1284,"mm/yyyy")&amp;"-"&amp;TEXT(COUNTIFS($A$2:A1284,"&gt;="&amp;EOMONTH(A1284,-1)+1,$A$2:A1284,"&lt;="&amp;EOMONTH(A1284,0)),"000"))</f>
        <v>PC-01/2026-201</v>
      </c>
      <c r="C1284" s="5" t="s">
        <v>229</v>
      </c>
      <c r="D1284" s="5" t="s">
        <v>29</v>
      </c>
      <c r="E1284" s="5" t="s">
        <v>44</v>
      </c>
      <c r="F1284" s="5"/>
      <c r="G1284" s="5" t="s">
        <v>99</v>
      </c>
      <c r="H1284" s="5" t="s">
        <v>23</v>
      </c>
      <c r="I1284" s="6">
        <v>1500000</v>
      </c>
      <c r="J1284" s="6">
        <f>IF(D1284="Thu",I1284,0)</f>
        <v>0</v>
      </c>
      <c r="K1284" s="6">
        <f>IF(D1284="Chi",I1284,0)</f>
        <v>1500000</v>
      </c>
      <c r="L1284" s="6" t="e">
        <f>L1283+J1284-K1284</f>
        <v>#VALUE!</v>
      </c>
      <c r="M1284" s="6">
        <f ca="1">IFERROR(__xludf.DUMMYFUNCTION("SUM(FILTER(J:J, H:H=""Tiền mặt"")) - SUM(FILTER(K:K, H:H=""Tiền mặt""))
"),959000)</f>
        <v>959000</v>
      </c>
      <c r="N1284" s="6">
        <f ca="1">IFERROR(__xludf.DUMMYFUNCTION("SUM(FILTER(J:J, H:H=""Chuyển khoản"")) - SUM(FILTER(K:K, H:H=""Chuyển khoản""))
"),4468984)</f>
        <v>4468984</v>
      </c>
      <c r="O1284" s="5"/>
      <c r="P1284" s="5"/>
      <c r="Q1284" s="5"/>
      <c r="R1284" s="5"/>
      <c r="S1284" s="5"/>
    </row>
    <row r="1285" spans="1:19" ht="15.75" customHeight="1" x14ac:dyDescent="0.2">
      <c r="A1285" s="3">
        <v>46037</v>
      </c>
      <c r="B1285" s="4" t="str">
        <f>IF(A1285="","","PC-"&amp;TEXT(A1285,"mm/yyyy")&amp;"-"&amp;TEXT(COUNTIFS($A$2:A1285,"&gt;="&amp;EOMONTH(A1285,-1)+1,$A$2:A1285,"&lt;="&amp;EOMONTH(A1285,0)),"000"))</f>
        <v>PC-01/2026-202</v>
      </c>
      <c r="C1285" s="5" t="s">
        <v>230</v>
      </c>
      <c r="D1285" s="5" t="s">
        <v>29</v>
      </c>
      <c r="E1285" s="5" t="s">
        <v>41</v>
      </c>
      <c r="F1285" s="5"/>
      <c r="G1285" s="5" t="s">
        <v>211</v>
      </c>
      <c r="H1285" s="5" t="s">
        <v>23</v>
      </c>
      <c r="I1285" s="6">
        <v>100000</v>
      </c>
      <c r="J1285" s="6">
        <f>IF(D1285="Thu",I1285,0)</f>
        <v>0</v>
      </c>
      <c r="K1285" s="6">
        <f>IF(D1285="Chi",I1285,0)</f>
        <v>100000</v>
      </c>
      <c r="L1285" s="6" t="e">
        <f>L1284+J1285-K1285</f>
        <v>#VALUE!</v>
      </c>
      <c r="M1285" s="6">
        <f ca="1">IFERROR(__xludf.DUMMYFUNCTION("SUM(FILTER(J:J, H:H=""Tiền mặt"")) - SUM(FILTER(K:K, H:H=""Tiền mặt""))
"),959000)</f>
        <v>959000</v>
      </c>
      <c r="N1285" s="6">
        <f ca="1">IFERROR(__xludf.DUMMYFUNCTION("SUM(FILTER(J:J, H:H=""Chuyển khoản"")) - SUM(FILTER(K:K, H:H=""Chuyển khoản""))
"),4468984)</f>
        <v>4468984</v>
      </c>
      <c r="O1285" s="5"/>
      <c r="P1285" s="5"/>
      <c r="Q1285" s="5"/>
      <c r="R1285" s="5"/>
      <c r="S1285" s="5"/>
    </row>
    <row r="1286" spans="1:19" ht="15.75" customHeight="1" x14ac:dyDescent="0.2">
      <c r="A1286" s="3">
        <v>46037</v>
      </c>
      <c r="B1286" s="4" t="str">
        <f>IF(A1286="","","PC-"&amp;TEXT(A1286,"mm/yyyy")&amp;"-"&amp;TEXT(COUNTIFS($A$2:A1286,"&gt;="&amp;EOMONTH(A1286,-1)+1,$A$2:A1286,"&lt;="&amp;EOMONTH(A1286,0)),"000"))</f>
        <v>PC-01/2026-203</v>
      </c>
      <c r="C1286" s="5" t="s">
        <v>231</v>
      </c>
      <c r="D1286" s="5" t="s">
        <v>29</v>
      </c>
      <c r="E1286" s="5" t="s">
        <v>51</v>
      </c>
      <c r="F1286" s="5"/>
      <c r="G1286" s="5" t="s">
        <v>52</v>
      </c>
      <c r="H1286" s="5" t="s">
        <v>27</v>
      </c>
      <c r="I1286" s="6">
        <v>173397</v>
      </c>
      <c r="J1286" s="6">
        <f>IF(D1286="Thu",I1286,0)</f>
        <v>0</v>
      </c>
      <c r="K1286" s="6">
        <f>IF(D1286="Chi",I1286,0)</f>
        <v>173397</v>
      </c>
      <c r="L1286" s="6" t="e">
        <f>L1285+J1286-K1286</f>
        <v>#VALUE!</v>
      </c>
      <c r="M1286" s="6">
        <f ca="1">IFERROR(__xludf.DUMMYFUNCTION("SUM(FILTER(J:J, H:H=""Tiền mặt"")) - SUM(FILTER(K:K, H:H=""Tiền mặt""))
"),959000)</f>
        <v>959000</v>
      </c>
      <c r="N1286" s="6">
        <f ca="1">IFERROR(__xludf.DUMMYFUNCTION("SUM(FILTER(J:J, H:H=""Chuyển khoản"")) - SUM(FILTER(K:K, H:H=""Chuyển khoản""))
"),4468984)</f>
        <v>4468984</v>
      </c>
      <c r="O1286" s="5"/>
      <c r="P1286" s="5"/>
      <c r="Q1286" s="5"/>
      <c r="R1286" s="5"/>
      <c r="S1286" s="5"/>
    </row>
    <row r="1287" spans="1:19" ht="15.75" customHeight="1" x14ac:dyDescent="0.2">
      <c r="A1287" s="3">
        <v>46037</v>
      </c>
      <c r="B1287" s="4" t="str">
        <f>IF(A1287="","","PC-"&amp;TEXT(A1287,"mm/yyyy")&amp;"-"&amp;TEXT(COUNTIFS($A$2:A1287,"&gt;="&amp;EOMONTH(A1287,-1)+1,$A$2:A1287,"&lt;="&amp;EOMONTH(A1287,0)),"000"))</f>
        <v>PC-01/2026-204</v>
      </c>
      <c r="C1287" s="5" t="s">
        <v>232</v>
      </c>
      <c r="D1287" s="5" t="s">
        <v>29</v>
      </c>
      <c r="E1287" s="5" t="s">
        <v>47</v>
      </c>
      <c r="F1287" s="5"/>
      <c r="G1287" s="5" t="s">
        <v>48</v>
      </c>
      <c r="H1287" s="5" t="s">
        <v>23</v>
      </c>
      <c r="I1287" s="6">
        <v>50000</v>
      </c>
      <c r="J1287" s="6">
        <f>IF(D1287="Thu",I1287,0)</f>
        <v>0</v>
      </c>
      <c r="K1287" s="6">
        <f>IF(D1287="Chi",I1287,0)</f>
        <v>50000</v>
      </c>
      <c r="L1287" s="6" t="e">
        <f>L1286+J1287-K1287</f>
        <v>#VALUE!</v>
      </c>
      <c r="M1287" s="6">
        <f ca="1">IFERROR(__xludf.DUMMYFUNCTION("SUM(FILTER(J:J, H:H=""Tiền mặt"")) - SUM(FILTER(K:K, H:H=""Tiền mặt""))
"),959000)</f>
        <v>959000</v>
      </c>
      <c r="N1287" s="6">
        <f ca="1">IFERROR(__xludf.DUMMYFUNCTION("SUM(FILTER(J:J, H:H=""Chuyển khoản"")) - SUM(FILTER(K:K, H:H=""Chuyển khoản""))
"),4468984)</f>
        <v>4468984</v>
      </c>
      <c r="O1287" s="5"/>
      <c r="P1287" s="5"/>
      <c r="Q1287" s="5"/>
      <c r="R1287" s="5"/>
      <c r="S1287" s="5"/>
    </row>
    <row r="1288" spans="1:19" ht="15.75" customHeight="1" x14ac:dyDescent="0.2">
      <c r="A1288" s="3">
        <v>46037</v>
      </c>
      <c r="B1288" s="4" t="str">
        <f>IF(A1288="","","PC-"&amp;TEXT(A1288,"mm/yyyy")&amp;"-"&amp;TEXT(COUNTIFS($A$2:A1288,"&gt;="&amp;EOMONTH(A1288,-1)+1,$A$2:A1288,"&lt;="&amp;EOMONTH(A1288,0)),"000"))</f>
        <v>PC-01/2026-205</v>
      </c>
      <c r="C1288" s="8" t="s">
        <v>233</v>
      </c>
      <c r="D1288" s="9" t="s">
        <v>29</v>
      </c>
      <c r="E1288" s="5" t="s">
        <v>41</v>
      </c>
      <c r="F1288" s="5"/>
      <c r="G1288" s="5" t="s">
        <v>234</v>
      </c>
      <c r="H1288" s="5" t="s">
        <v>23</v>
      </c>
      <c r="I1288" s="6">
        <v>1200000</v>
      </c>
      <c r="J1288" s="6">
        <f>IF(D1288="Thu",I1288,0)</f>
        <v>0</v>
      </c>
      <c r="K1288" s="6">
        <f>IF(D1288="Chi",I1288,0)</f>
        <v>1200000</v>
      </c>
      <c r="L1288" s="6" t="e">
        <f>L1287+J1288-K1288</f>
        <v>#VALUE!</v>
      </c>
      <c r="M1288" s="6">
        <f ca="1">IFERROR(__xludf.DUMMYFUNCTION("SUM(FILTER(J:J, H:H=""Tiền mặt"")) - SUM(FILTER(K:K, H:H=""Tiền mặt""))
"),959000)</f>
        <v>959000</v>
      </c>
      <c r="N1288" s="6">
        <f ca="1">IFERROR(__xludf.DUMMYFUNCTION("SUM(FILTER(J:J, H:H=""Chuyển khoản"")) - SUM(FILTER(K:K, H:H=""Chuyển khoản""))
"),4468984)</f>
        <v>4468984</v>
      </c>
      <c r="O1288" s="5"/>
      <c r="P1288" s="5"/>
      <c r="Q1288" s="5"/>
      <c r="R1288" s="5"/>
      <c r="S1288" s="5"/>
    </row>
    <row r="1289" spans="1:19" ht="15.75" customHeight="1" x14ac:dyDescent="0.2">
      <c r="A1289" s="3">
        <v>46037</v>
      </c>
      <c r="B1289" s="4" t="str">
        <f>IF(A1289="","","PC-"&amp;TEXT(A1289,"mm/yyyy")&amp;"-"&amp;TEXT(COUNTIFS($A$2:A1289,"&gt;="&amp;EOMONTH(A1289,-1)+1,$A$2:A1289,"&lt;="&amp;EOMONTH(A1289,0)),"000"))</f>
        <v>PC-01/2026-206</v>
      </c>
      <c r="C1289" s="4" t="s">
        <v>235</v>
      </c>
      <c r="D1289" s="5" t="s">
        <v>29</v>
      </c>
      <c r="E1289" s="5" t="s">
        <v>41</v>
      </c>
      <c r="F1289" s="5"/>
      <c r="G1289" s="5" t="s">
        <v>192</v>
      </c>
      <c r="H1289" s="5" t="s">
        <v>23</v>
      </c>
      <c r="I1289" s="6">
        <v>100000</v>
      </c>
      <c r="J1289" s="6">
        <f>IF(D1289="Thu",I1289,0)</f>
        <v>0</v>
      </c>
      <c r="K1289" s="6">
        <f>IF(D1289="Chi",I1289,0)</f>
        <v>100000</v>
      </c>
      <c r="L1289" s="6" t="e">
        <f>L1288+J1289-K1289</f>
        <v>#VALUE!</v>
      </c>
      <c r="M1289" s="6">
        <f ca="1">IFERROR(__xludf.DUMMYFUNCTION("SUM(FILTER(J:J, H:H=""Tiền mặt"")) - SUM(FILTER(K:K, H:H=""Tiền mặt""))
"),959000)</f>
        <v>959000</v>
      </c>
      <c r="N1289" s="6">
        <f ca="1">IFERROR(__xludf.DUMMYFUNCTION("SUM(FILTER(J:J, H:H=""Chuyển khoản"")) - SUM(FILTER(K:K, H:H=""Chuyển khoản""))
"),4468984)</f>
        <v>4468984</v>
      </c>
      <c r="O1289" s="5"/>
      <c r="P1289" s="5"/>
      <c r="Q1289" s="5"/>
      <c r="R1289" s="5"/>
      <c r="S1289" s="5"/>
    </row>
    <row r="1290" spans="1:19" ht="15.75" customHeight="1" x14ac:dyDescent="0.2">
      <c r="A1290" s="3">
        <v>46037</v>
      </c>
      <c r="B1290" s="4" t="str">
        <f>IF(A1290="","","PC-"&amp;TEXT(A1290,"mm/yyyy")&amp;"-"&amp;TEXT(COUNTIFS($A$2:A1290,"&gt;="&amp;EOMONTH(A1290,-1)+1,$A$2:A1290,"&lt;="&amp;EOMONTH(A1290,0)),"000"))</f>
        <v>PC-01/2026-207</v>
      </c>
      <c r="C1290" s="5" t="s">
        <v>68</v>
      </c>
      <c r="D1290" s="5" t="s">
        <v>20</v>
      </c>
      <c r="E1290" s="5" t="s">
        <v>68</v>
      </c>
      <c r="F1290" s="5"/>
      <c r="G1290" s="5" t="s">
        <v>236</v>
      </c>
      <c r="H1290" s="5" t="s">
        <v>23</v>
      </c>
      <c r="I1290" s="6">
        <v>200000</v>
      </c>
      <c r="J1290" s="6">
        <f>IF(D1290="Thu",I1290,0)</f>
        <v>200000</v>
      </c>
      <c r="K1290" s="6">
        <f>IF(D1290="Chi",I1290,0)</f>
        <v>0</v>
      </c>
      <c r="L1290" s="6" t="e">
        <f>L1289+J1290-K1290</f>
        <v>#VALUE!</v>
      </c>
      <c r="M1290" s="6">
        <f ca="1">IFERROR(__xludf.DUMMYFUNCTION("SUM(FILTER(J:J, H:H=""Tiền mặt"")) - SUM(FILTER(K:K, H:H=""Tiền mặt""))
"),959000)</f>
        <v>959000</v>
      </c>
      <c r="N1290" s="6">
        <f ca="1">IFERROR(__xludf.DUMMYFUNCTION("SUM(FILTER(J:J, H:H=""Chuyển khoản"")) - SUM(FILTER(K:K, H:H=""Chuyển khoản""))
"),4468984)</f>
        <v>4468984</v>
      </c>
      <c r="O1290" s="5"/>
      <c r="P1290" s="5"/>
      <c r="Q1290" s="5"/>
      <c r="R1290" s="5"/>
      <c r="S1290" s="5"/>
    </row>
    <row r="1291" spans="1:19" ht="15.75" customHeight="1" x14ac:dyDescent="0.2">
      <c r="A1291" s="3">
        <v>46037</v>
      </c>
      <c r="B1291" s="4" t="str">
        <f>IF(A1291="","","PC-"&amp;TEXT(A1291,"mm/yyyy")&amp;"-"&amp;TEXT(COUNTIFS($A$2:A1291,"&gt;="&amp;EOMONTH(A1291,-1)+1,$A$2:A1291,"&lt;="&amp;EOMONTH(A1291,0)),"000"))</f>
        <v>PC-01/2026-208</v>
      </c>
      <c r="C1291" s="7" t="s">
        <v>237</v>
      </c>
      <c r="D1291" s="5" t="s">
        <v>29</v>
      </c>
      <c r="E1291" s="5" t="s">
        <v>64</v>
      </c>
      <c r="F1291" s="5"/>
      <c r="G1291" s="7" t="s">
        <v>65</v>
      </c>
      <c r="H1291" s="5" t="s">
        <v>23</v>
      </c>
      <c r="I1291" s="6">
        <v>3000000</v>
      </c>
      <c r="J1291" s="6">
        <f>IF(D1291="Thu",I1291,0)</f>
        <v>0</v>
      </c>
      <c r="K1291" s="6">
        <f>IF(D1291="Chi",I1291,0)</f>
        <v>3000000</v>
      </c>
      <c r="L1291" s="6" t="e">
        <f>L1290+J1291-K1291</f>
        <v>#VALUE!</v>
      </c>
      <c r="M1291" s="6">
        <f ca="1">IFERROR(__xludf.DUMMYFUNCTION("SUM(FILTER(J:J, H:H=""Tiền mặt"")) - SUM(FILTER(K:K, H:H=""Tiền mặt""))
"),959000)</f>
        <v>959000</v>
      </c>
      <c r="N1291" s="6">
        <f ca="1">IFERROR(__xludf.DUMMYFUNCTION("SUM(FILTER(J:J, H:H=""Chuyển khoản"")) - SUM(FILTER(K:K, H:H=""Chuyển khoản""))
"),4468984)</f>
        <v>4468984</v>
      </c>
      <c r="O1291" s="5"/>
      <c r="P1291" s="5"/>
      <c r="Q1291" s="5"/>
      <c r="R1291" s="5"/>
      <c r="S1291" s="5"/>
    </row>
    <row r="1292" spans="1:19" ht="15.75" customHeight="1" x14ac:dyDescent="0.2">
      <c r="A1292" s="3">
        <v>46037</v>
      </c>
      <c r="B1292" s="4" t="str">
        <f>IF(A1292="","","PC-"&amp;TEXT(A1292,"mm/yyyy")&amp;"-"&amp;TEXT(COUNTIFS($A$2:A1292,"&gt;="&amp;EOMONTH(A1292,-1)+1,$A$2:A1292,"&lt;="&amp;EOMONTH(A1292,0)),"000"))</f>
        <v>PC-01/2026-209</v>
      </c>
      <c r="C1292" s="5" t="s">
        <v>238</v>
      </c>
      <c r="D1292" s="5" t="s">
        <v>29</v>
      </c>
      <c r="E1292" s="5" t="s">
        <v>41</v>
      </c>
      <c r="F1292" s="5"/>
      <c r="G1292" s="7" t="s">
        <v>82</v>
      </c>
      <c r="H1292" s="5" t="s">
        <v>23</v>
      </c>
      <c r="I1292" s="6">
        <v>100000</v>
      </c>
      <c r="J1292" s="6">
        <f>IF(D1292="Thu",I1292,0)</f>
        <v>0</v>
      </c>
      <c r="K1292" s="6">
        <f>IF(D1292="Chi",I1292,0)</f>
        <v>100000</v>
      </c>
      <c r="L1292" s="6" t="e">
        <f>L1291+J1292-K1292</f>
        <v>#VALUE!</v>
      </c>
      <c r="M1292" s="6">
        <f ca="1">IFERROR(__xludf.DUMMYFUNCTION("SUM(FILTER(J:J, H:H=""Tiền mặt"")) - SUM(FILTER(K:K, H:H=""Tiền mặt""))
"),959000)</f>
        <v>959000</v>
      </c>
      <c r="N1292" s="6">
        <f ca="1">IFERROR(__xludf.DUMMYFUNCTION("SUM(FILTER(J:J, H:H=""Chuyển khoản"")) - SUM(FILTER(K:K, H:H=""Chuyển khoản""))
"),4468984)</f>
        <v>4468984</v>
      </c>
      <c r="O1292" s="5"/>
      <c r="P1292" s="5"/>
      <c r="Q1292" s="5"/>
      <c r="R1292" s="5"/>
      <c r="S1292" s="5"/>
    </row>
    <row r="1293" spans="1:19" ht="15.75" customHeight="1" x14ac:dyDescent="0.2">
      <c r="A1293" s="3">
        <v>46037</v>
      </c>
      <c r="B1293" s="4" t="str">
        <f>IF(A1293="","","PC-"&amp;TEXT(A1293,"mm/yyyy")&amp;"-"&amp;TEXT(COUNTIFS($A$2:A1293,"&gt;="&amp;EOMONTH(A1293,-1)+1,$A$2:A1293,"&lt;="&amp;EOMONTH(A1293,0)),"000"))</f>
        <v>PC-01/2026-210</v>
      </c>
      <c r="C1293" s="52" t="s">
        <v>239</v>
      </c>
      <c r="D1293" s="5" t="s">
        <v>29</v>
      </c>
      <c r="E1293" s="5" t="s">
        <v>41</v>
      </c>
      <c r="F1293" s="5"/>
      <c r="G1293" s="5" t="s">
        <v>82</v>
      </c>
      <c r="H1293" s="5" t="s">
        <v>23</v>
      </c>
      <c r="I1293" s="6">
        <v>100000</v>
      </c>
      <c r="J1293" s="6">
        <f>IF(D1293="Thu",I1293,0)</f>
        <v>0</v>
      </c>
      <c r="K1293" s="6">
        <f>IF(D1293="Chi",I1293,0)</f>
        <v>100000</v>
      </c>
      <c r="L1293" s="6" t="e">
        <f>L1292+J1293-K1293</f>
        <v>#VALUE!</v>
      </c>
      <c r="M1293" s="6">
        <f ca="1">IFERROR(__xludf.DUMMYFUNCTION("SUM(FILTER(J:J, H:H=""Tiền mặt"")) - SUM(FILTER(K:K, H:H=""Tiền mặt""))
"),959000)</f>
        <v>959000</v>
      </c>
      <c r="N1293" s="6">
        <f ca="1">IFERROR(__xludf.DUMMYFUNCTION("SUM(FILTER(J:J, H:H=""Chuyển khoản"")) - SUM(FILTER(K:K, H:H=""Chuyển khoản""))
"),4468984)</f>
        <v>4468984</v>
      </c>
      <c r="O1293" s="5"/>
      <c r="P1293" s="5"/>
      <c r="Q1293" s="5"/>
      <c r="R1293" s="5"/>
      <c r="S1293" s="5"/>
    </row>
    <row r="1294" spans="1:19" ht="15.75" customHeight="1" x14ac:dyDescent="0.2">
      <c r="A1294" s="3">
        <v>46037</v>
      </c>
      <c r="B1294" s="4" t="str">
        <f>IF(A1294="","","PC-"&amp;TEXT(A1294,"mm/yyyy")&amp;"-"&amp;TEXT(COUNTIFS($A$2:A1294,"&gt;="&amp;EOMONTH(A1294,-1)+1,$A$2:A1294,"&lt;="&amp;EOMONTH(A1294,0)),"000"))</f>
        <v>PC-01/2026-211</v>
      </c>
      <c r="C1294" s="5" t="s">
        <v>240</v>
      </c>
      <c r="D1294" s="5" t="s">
        <v>29</v>
      </c>
      <c r="E1294" s="5" t="s">
        <v>71</v>
      </c>
      <c r="F1294" s="5"/>
      <c r="G1294" s="5" t="s">
        <v>241</v>
      </c>
      <c r="H1294" s="5" t="s">
        <v>27</v>
      </c>
      <c r="I1294" s="6">
        <v>57000</v>
      </c>
      <c r="J1294" s="6">
        <f>IF(D1294="Thu",I1294,0)</f>
        <v>0</v>
      </c>
      <c r="K1294" s="6">
        <f>IF(D1294="Chi",I1294,0)</f>
        <v>57000</v>
      </c>
      <c r="L1294" s="6" t="e">
        <f>L1293+J1294-K1294</f>
        <v>#VALUE!</v>
      </c>
      <c r="M1294" s="6">
        <f ca="1">IFERROR(__xludf.DUMMYFUNCTION("SUM(FILTER(J:J, H:H=""Tiền mặt"")) - SUM(FILTER(K:K, H:H=""Tiền mặt""))
"),959000)</f>
        <v>959000</v>
      </c>
      <c r="N1294" s="6">
        <f ca="1">IFERROR(__xludf.DUMMYFUNCTION("SUM(FILTER(J:J, H:H=""Chuyển khoản"")) - SUM(FILTER(K:K, H:H=""Chuyển khoản""))
"),4468984)</f>
        <v>4468984</v>
      </c>
      <c r="O1294" s="5"/>
      <c r="P1294" s="5"/>
      <c r="Q1294" s="5"/>
      <c r="R1294" s="5"/>
      <c r="S1294" s="5"/>
    </row>
    <row r="1295" spans="1:19" ht="15.75" customHeight="1" x14ac:dyDescent="0.2">
      <c r="A1295" s="3">
        <v>46036</v>
      </c>
      <c r="B1295" s="4" t="str">
        <f>IF(A1295="","","PC-"&amp;TEXT(A1295,"mm/yyyy")&amp;"-"&amp;TEXT(COUNTIFS($A$2:A1295,"&gt;="&amp;EOMONTH(A1295,-1)+1,$A$2:A1295,"&lt;="&amp;EOMONTH(A1295,0)),"000"))</f>
        <v>PC-01/2026-212</v>
      </c>
      <c r="C1295" s="52" t="s">
        <v>206</v>
      </c>
      <c r="D1295" s="5" t="s">
        <v>29</v>
      </c>
      <c r="E1295" s="5" t="s">
        <v>44</v>
      </c>
      <c r="F1295" s="5"/>
      <c r="G1295" s="5" t="s">
        <v>202</v>
      </c>
      <c r="H1295" s="5" t="s">
        <v>23</v>
      </c>
      <c r="I1295" s="6">
        <v>1500000</v>
      </c>
      <c r="J1295" s="6">
        <f>IF(D1295="Thu",I1295,0)</f>
        <v>0</v>
      </c>
      <c r="K1295" s="6">
        <f>IF(D1295="Chi",I1295,0)</f>
        <v>1500000</v>
      </c>
      <c r="L1295" s="6" t="e">
        <f>L1294+J1295-K1295</f>
        <v>#VALUE!</v>
      </c>
      <c r="M1295" s="6">
        <f ca="1">IFERROR(__xludf.DUMMYFUNCTION("SUM(FILTER(J:J, H:H=""Tiền mặt"")) - SUM(FILTER(K:K, H:H=""Tiền mặt""))
"),959000)</f>
        <v>959000</v>
      </c>
      <c r="N1295" s="6">
        <f ca="1">IFERROR(__xludf.DUMMYFUNCTION("SUM(FILTER(J:J, H:H=""Chuyển khoản"")) - SUM(FILTER(K:K, H:H=""Chuyển khoản""))
"),4468984)</f>
        <v>4468984</v>
      </c>
      <c r="O1295" s="5"/>
      <c r="P1295" s="5"/>
      <c r="Q1295" s="5"/>
      <c r="R1295" s="5"/>
      <c r="S1295" s="5"/>
    </row>
    <row r="1296" spans="1:19" ht="15.75" customHeight="1" x14ac:dyDescent="0.2">
      <c r="A1296" s="3">
        <v>46036</v>
      </c>
      <c r="B1296" s="4" t="str">
        <f>IF(A1296="","","PC-"&amp;TEXT(A1296,"mm/yyyy")&amp;"-"&amp;TEXT(COUNTIFS($A$2:A1296,"&gt;="&amp;EOMONTH(A1296,-1)+1,$A$2:A1296,"&lt;="&amp;EOMONTH(A1296,0)),"000"))</f>
        <v>PC-01/2026-213</v>
      </c>
      <c r="C1296" s="7" t="s">
        <v>207</v>
      </c>
      <c r="D1296" s="5" t="s">
        <v>29</v>
      </c>
      <c r="E1296" s="5" t="s">
        <v>88</v>
      </c>
      <c r="F1296" s="5"/>
      <c r="G1296" s="5" t="s">
        <v>89</v>
      </c>
      <c r="H1296" s="5" t="s">
        <v>23</v>
      </c>
      <c r="I1296" s="6">
        <v>967000</v>
      </c>
      <c r="J1296" s="6">
        <f>IF(D1296="Thu",I1296,0)</f>
        <v>0</v>
      </c>
      <c r="K1296" s="6">
        <f>IF(D1296="Chi",I1296,0)</f>
        <v>967000</v>
      </c>
      <c r="L1296" s="6" t="e">
        <f>L1295+J1296-K1296</f>
        <v>#VALUE!</v>
      </c>
      <c r="M1296" s="6">
        <f ca="1">IFERROR(__xludf.DUMMYFUNCTION("SUM(FILTER(J:J, H:H=""Tiền mặt"")) - SUM(FILTER(K:K, H:H=""Tiền mặt""))
"),959000)</f>
        <v>959000</v>
      </c>
      <c r="N1296" s="6">
        <f ca="1">IFERROR(__xludf.DUMMYFUNCTION("SUM(FILTER(J:J, H:H=""Chuyển khoản"")) - SUM(FILTER(K:K, H:H=""Chuyển khoản""))
"),4468984)</f>
        <v>4468984</v>
      </c>
      <c r="O1296" s="5"/>
      <c r="P1296" s="5"/>
      <c r="Q1296" s="5"/>
      <c r="R1296" s="5"/>
      <c r="S1296" s="5"/>
    </row>
    <row r="1297" spans="1:19" ht="15.75" customHeight="1" x14ac:dyDescent="0.2">
      <c r="A1297" s="3">
        <v>46036</v>
      </c>
      <c r="B1297" s="4" t="str">
        <f>IF(A1297="","","PC-"&amp;TEXT(A1297,"mm/yyyy")&amp;"-"&amp;TEXT(COUNTIFS($A$2:A1297,"&gt;="&amp;EOMONTH(A1297,-1)+1,$A$2:A1297,"&lt;="&amp;EOMONTH(A1297,0)),"000"))</f>
        <v>PC-01/2026-214</v>
      </c>
      <c r="C1297" s="5" t="s">
        <v>208</v>
      </c>
      <c r="D1297" s="5" t="s">
        <v>29</v>
      </c>
      <c r="E1297" s="5" t="s">
        <v>41</v>
      </c>
      <c r="F1297" s="5"/>
      <c r="G1297" s="5" t="s">
        <v>82</v>
      </c>
      <c r="H1297" s="5" t="s">
        <v>23</v>
      </c>
      <c r="I1297" s="6">
        <v>100000</v>
      </c>
      <c r="J1297" s="6">
        <f>IF(D1297="Thu",I1297,0)</f>
        <v>0</v>
      </c>
      <c r="K1297" s="6">
        <f>IF(D1297="Chi",I1297,0)</f>
        <v>100000</v>
      </c>
      <c r="L1297" s="6" t="e">
        <f>L1296+J1297-K1297</f>
        <v>#VALUE!</v>
      </c>
      <c r="M1297" s="6">
        <f ca="1">IFERROR(__xludf.DUMMYFUNCTION("SUM(FILTER(J:J, H:H=""Tiền mặt"")) - SUM(FILTER(K:K, H:H=""Tiền mặt""))
"),959000)</f>
        <v>959000</v>
      </c>
      <c r="N1297" s="6">
        <f ca="1">IFERROR(__xludf.DUMMYFUNCTION("SUM(FILTER(J:J, H:H=""Chuyển khoản"")) - SUM(FILTER(K:K, H:H=""Chuyển khoản""))
"),4468984)</f>
        <v>4468984</v>
      </c>
      <c r="O1297" s="5"/>
      <c r="P1297" s="5"/>
      <c r="Q1297" s="5"/>
      <c r="R1297" s="5"/>
      <c r="S1297" s="5"/>
    </row>
    <row r="1298" spans="1:19" ht="15.75" customHeight="1" x14ac:dyDescent="0.2">
      <c r="A1298" s="3">
        <v>46036</v>
      </c>
      <c r="B1298" s="4" t="str">
        <f>IF(A1298="","","PC-"&amp;TEXT(A1298,"mm/yyyy")&amp;"-"&amp;TEXT(COUNTIFS($A$2:A1298,"&gt;="&amp;EOMONTH(A1298,-1)+1,$A$2:A1298,"&lt;="&amp;EOMONTH(A1298,0)),"000"))</f>
        <v>PC-01/2026-215</v>
      </c>
      <c r="C1298" s="5" t="s">
        <v>209</v>
      </c>
      <c r="D1298" s="5" t="s">
        <v>29</v>
      </c>
      <c r="E1298" s="5" t="s">
        <v>47</v>
      </c>
      <c r="F1298" s="5"/>
      <c r="G1298" s="5" t="s">
        <v>48</v>
      </c>
      <c r="H1298" s="5" t="s">
        <v>23</v>
      </c>
      <c r="I1298" s="6">
        <v>50000</v>
      </c>
      <c r="J1298" s="6">
        <f>IF(D1298="Thu",I1298,0)</f>
        <v>0</v>
      </c>
      <c r="K1298" s="6">
        <f>IF(D1298="Chi",I1298,0)</f>
        <v>50000</v>
      </c>
      <c r="L1298" s="6" t="e">
        <f>L1297+J1298-K1298</f>
        <v>#VALUE!</v>
      </c>
      <c r="M1298" s="6">
        <f ca="1">IFERROR(__xludf.DUMMYFUNCTION("SUM(FILTER(J:J, H:H=""Tiền mặt"")) - SUM(FILTER(K:K, H:H=""Tiền mặt""))
"),959000)</f>
        <v>959000</v>
      </c>
      <c r="N1298" s="6">
        <f ca="1">IFERROR(__xludf.DUMMYFUNCTION("SUM(FILTER(J:J, H:H=""Chuyển khoản"")) - SUM(FILTER(K:K, H:H=""Chuyển khoản""))
"),4468984)</f>
        <v>4468984</v>
      </c>
      <c r="O1298" s="5"/>
      <c r="P1298" s="5"/>
      <c r="Q1298" s="5"/>
      <c r="R1298" s="5"/>
      <c r="S1298" s="5"/>
    </row>
    <row r="1299" spans="1:19" ht="15.75" customHeight="1" x14ac:dyDescent="0.2">
      <c r="A1299" s="3">
        <v>46036</v>
      </c>
      <c r="B1299" s="4" t="str">
        <f>IF(A1299="","","PC-"&amp;TEXT(A1299,"mm/yyyy")&amp;"-"&amp;TEXT(COUNTIFS($A$2:A1299,"&gt;="&amp;EOMONTH(A1299,-1)+1,$A$2:A1299,"&lt;="&amp;EOMONTH(A1299,0)),"000"))</f>
        <v>PC-01/2026-216</v>
      </c>
      <c r="C1299" s="5" t="s">
        <v>210</v>
      </c>
      <c r="D1299" s="5" t="s">
        <v>29</v>
      </c>
      <c r="E1299" s="5" t="s">
        <v>41</v>
      </c>
      <c r="F1299" s="5"/>
      <c r="G1299" s="5" t="s">
        <v>211</v>
      </c>
      <c r="H1299" s="5" t="s">
        <v>23</v>
      </c>
      <c r="I1299" s="6">
        <v>100000</v>
      </c>
      <c r="J1299" s="6">
        <f>IF(D1299="Thu",I1299,0)</f>
        <v>0</v>
      </c>
      <c r="K1299" s="6">
        <f>IF(D1299="Chi",I1299,0)</f>
        <v>100000</v>
      </c>
      <c r="L1299" s="6" t="e">
        <f>L1298+J1299-K1299</f>
        <v>#VALUE!</v>
      </c>
      <c r="M1299" s="6">
        <f ca="1">IFERROR(__xludf.DUMMYFUNCTION("SUM(FILTER(J:J, H:H=""Tiền mặt"")) - SUM(FILTER(K:K, H:H=""Tiền mặt""))
"),959000)</f>
        <v>959000</v>
      </c>
      <c r="N1299" s="6">
        <f ca="1">IFERROR(__xludf.DUMMYFUNCTION("SUM(FILTER(J:J, H:H=""Chuyển khoản"")) - SUM(FILTER(K:K, H:H=""Chuyển khoản""))
"),4468984)</f>
        <v>4468984</v>
      </c>
      <c r="O1299" s="5"/>
      <c r="P1299" s="5"/>
      <c r="Q1299" s="5"/>
      <c r="R1299" s="5"/>
      <c r="S1299" s="5"/>
    </row>
    <row r="1300" spans="1:19" ht="15.75" customHeight="1" x14ac:dyDescent="0.2">
      <c r="A1300" s="3">
        <v>46036</v>
      </c>
      <c r="B1300" s="4" t="str">
        <f>IF(A1300="","","PC-"&amp;TEXT(A1300,"mm/yyyy")&amp;"-"&amp;TEXT(COUNTIFS($A$2:A1300,"&gt;="&amp;EOMONTH(A1300,-1)+1,$A$2:A1300,"&lt;="&amp;EOMONTH(A1300,0)),"000"))</f>
        <v>PC-01/2026-217</v>
      </c>
      <c r="C1300" s="5" t="s">
        <v>212</v>
      </c>
      <c r="D1300" s="5" t="s">
        <v>29</v>
      </c>
      <c r="E1300" s="5" t="s">
        <v>51</v>
      </c>
      <c r="F1300" s="5"/>
      <c r="G1300" s="5" t="s">
        <v>52</v>
      </c>
      <c r="H1300" s="5" t="s">
        <v>27</v>
      </c>
      <c r="I1300" s="6">
        <v>137861</v>
      </c>
      <c r="J1300" s="6">
        <f>IF(D1300="Thu",I1300,0)</f>
        <v>0</v>
      </c>
      <c r="K1300" s="6">
        <f>IF(D1300="Chi",I1300,0)</f>
        <v>137861</v>
      </c>
      <c r="L1300" s="6" t="e">
        <f>L1299+J1300-K1300</f>
        <v>#VALUE!</v>
      </c>
      <c r="M1300" s="6">
        <f ca="1">IFERROR(__xludf.DUMMYFUNCTION("SUM(FILTER(J:J, H:H=""Tiền mặt"")) - SUM(FILTER(K:K, H:H=""Tiền mặt""))
"),959000)</f>
        <v>959000</v>
      </c>
      <c r="N1300" s="6">
        <f ca="1">IFERROR(__xludf.DUMMYFUNCTION("SUM(FILTER(J:J, H:H=""Chuyển khoản"")) - SUM(FILTER(K:K, H:H=""Chuyển khoản""))
"),4468984)</f>
        <v>4468984</v>
      </c>
      <c r="O1300" s="5"/>
      <c r="P1300" s="5"/>
      <c r="Q1300" s="5"/>
      <c r="R1300" s="5"/>
      <c r="S1300" s="5"/>
    </row>
    <row r="1301" spans="1:19" ht="15.75" customHeight="1" x14ac:dyDescent="0.2">
      <c r="A1301" s="3">
        <v>46036</v>
      </c>
      <c r="B1301" s="4" t="str">
        <f>IF(A1301="","","PC-"&amp;TEXT(A1301,"mm/yyyy")&amp;"-"&amp;TEXT(COUNTIFS($A$2:A1301,"&gt;="&amp;EOMONTH(A1301,-1)+1,$A$2:A1301,"&lt;="&amp;EOMONTH(A1301,0)),"000"))</f>
        <v>PC-01/2026-218</v>
      </c>
      <c r="C1301" s="5" t="s">
        <v>213</v>
      </c>
      <c r="D1301" s="5" t="s">
        <v>29</v>
      </c>
      <c r="E1301" s="5" t="s">
        <v>51</v>
      </c>
      <c r="F1301" s="5"/>
      <c r="G1301" s="5" t="s">
        <v>52</v>
      </c>
      <c r="H1301" s="5" t="s">
        <v>27</v>
      </c>
      <c r="I1301" s="6">
        <v>60500</v>
      </c>
      <c r="J1301" s="6">
        <f>IF(D1301="Thu",I1301,0)</f>
        <v>0</v>
      </c>
      <c r="K1301" s="6">
        <f>IF(D1301="Chi",I1301,0)</f>
        <v>60500</v>
      </c>
      <c r="L1301" s="6" t="e">
        <f>L1300+J1301-K1301</f>
        <v>#VALUE!</v>
      </c>
      <c r="M1301" s="6">
        <f ca="1">IFERROR(__xludf.DUMMYFUNCTION("SUM(FILTER(J:J, H:H=""Tiền mặt"")) - SUM(FILTER(K:K, H:H=""Tiền mặt""))
"),959000)</f>
        <v>959000</v>
      </c>
      <c r="N1301" s="6">
        <f ca="1">IFERROR(__xludf.DUMMYFUNCTION("SUM(FILTER(J:J, H:H=""Chuyển khoản"")) - SUM(FILTER(K:K, H:H=""Chuyển khoản""))
"),4468984)</f>
        <v>4468984</v>
      </c>
      <c r="O1301" s="5"/>
      <c r="P1301" s="5"/>
      <c r="Q1301" s="5"/>
      <c r="R1301" s="5"/>
      <c r="S1301" s="5"/>
    </row>
    <row r="1302" spans="1:19" ht="15.75" customHeight="1" x14ac:dyDescent="0.2">
      <c r="A1302" s="3">
        <v>46036</v>
      </c>
      <c r="B1302" s="4" t="str">
        <f>IF(A1302="","","PC-"&amp;TEXT(A1302,"mm/yyyy")&amp;"-"&amp;TEXT(COUNTIFS($A$2:A1302,"&gt;="&amp;EOMONTH(A1302,-1)+1,$A$2:A1302,"&lt;="&amp;EOMONTH(A1302,0)),"000"))</f>
        <v>PC-01/2026-219</v>
      </c>
      <c r="C1302" s="5" t="s">
        <v>214</v>
      </c>
      <c r="D1302" s="5" t="s">
        <v>29</v>
      </c>
      <c r="E1302" s="5" t="s">
        <v>41</v>
      </c>
      <c r="F1302" s="5"/>
      <c r="G1302" s="5" t="s">
        <v>82</v>
      </c>
      <c r="H1302" s="5" t="s">
        <v>23</v>
      </c>
      <c r="I1302" s="6">
        <v>100000</v>
      </c>
      <c r="J1302" s="6">
        <f>IF(D1302="Thu",I1302,0)</f>
        <v>0</v>
      </c>
      <c r="K1302" s="6">
        <f>IF(D1302="Chi",I1302,0)</f>
        <v>100000</v>
      </c>
      <c r="L1302" s="6" t="e">
        <f>L1301+J1302-K1302</f>
        <v>#VALUE!</v>
      </c>
      <c r="M1302" s="6">
        <f ca="1">IFERROR(__xludf.DUMMYFUNCTION("SUM(FILTER(J:J, H:H=""Tiền mặt"")) - SUM(FILTER(K:K, H:H=""Tiền mặt""))
"),959000)</f>
        <v>959000</v>
      </c>
      <c r="N1302" s="6">
        <f ca="1">IFERROR(__xludf.DUMMYFUNCTION("SUM(FILTER(J:J, H:H=""Chuyển khoản"")) - SUM(FILTER(K:K, H:H=""Chuyển khoản""))
"),4468984)</f>
        <v>4468984</v>
      </c>
      <c r="O1302" s="5"/>
      <c r="P1302" s="5"/>
      <c r="Q1302" s="5"/>
      <c r="R1302" s="5"/>
      <c r="S1302" s="5"/>
    </row>
    <row r="1303" spans="1:19" ht="15.75" customHeight="1" x14ac:dyDescent="0.2">
      <c r="A1303" s="3">
        <v>46036</v>
      </c>
      <c r="B1303" s="4" t="str">
        <f>IF(A1303="","","PC-"&amp;TEXT(A1303,"mm/yyyy")&amp;"-"&amp;TEXT(COUNTIFS($A$2:A1303,"&gt;="&amp;EOMONTH(A1303,-1)+1,$A$2:A1303,"&lt;="&amp;EOMONTH(A1303,0)),"000"))</f>
        <v>PC-01/2026-220</v>
      </c>
      <c r="C1303" s="5" t="s">
        <v>215</v>
      </c>
      <c r="D1303" s="5" t="s">
        <v>29</v>
      </c>
      <c r="E1303" s="5" t="s">
        <v>41</v>
      </c>
      <c r="F1303" s="5"/>
      <c r="G1303" s="5" t="s">
        <v>82</v>
      </c>
      <c r="H1303" s="5" t="s">
        <v>23</v>
      </c>
      <c r="I1303" s="6">
        <v>100000</v>
      </c>
      <c r="J1303" s="6">
        <f>IF(D1303="Thu",I1303,0)</f>
        <v>0</v>
      </c>
      <c r="K1303" s="6">
        <f>IF(D1303="Chi",I1303,0)</f>
        <v>100000</v>
      </c>
      <c r="L1303" s="6" t="e">
        <f>L1302+J1303-K1303</f>
        <v>#VALUE!</v>
      </c>
      <c r="M1303" s="6">
        <f ca="1">IFERROR(__xludf.DUMMYFUNCTION("SUM(FILTER(J:J, H:H=""Tiền mặt"")) - SUM(FILTER(K:K, H:H=""Tiền mặt""))
"),959000)</f>
        <v>959000</v>
      </c>
      <c r="N1303" s="6">
        <f ca="1">IFERROR(__xludf.DUMMYFUNCTION("SUM(FILTER(J:J, H:H=""Chuyển khoản"")) - SUM(FILTER(K:K, H:H=""Chuyển khoản""))
"),4468984)</f>
        <v>4468984</v>
      </c>
      <c r="O1303" s="5"/>
      <c r="P1303" s="5"/>
      <c r="Q1303" s="5"/>
      <c r="R1303" s="5"/>
      <c r="S1303" s="5"/>
    </row>
    <row r="1304" spans="1:19" ht="15.75" customHeight="1" x14ac:dyDescent="0.2">
      <c r="A1304" s="3">
        <v>46036</v>
      </c>
      <c r="B1304" s="4" t="str">
        <f>IF(A1304="","","PC-"&amp;TEXT(A1304,"mm/yyyy")&amp;"-"&amp;TEXT(COUNTIFS($A$2:A1304,"&gt;="&amp;EOMONTH(A1304,-1)+1,$A$2:A1304,"&lt;="&amp;EOMONTH(A1304,0)),"000"))</f>
        <v>PC-01/2026-221</v>
      </c>
      <c r="C1304" s="5" t="s">
        <v>216</v>
      </c>
      <c r="D1304" s="5" t="s">
        <v>29</v>
      </c>
      <c r="E1304" s="5" t="s">
        <v>64</v>
      </c>
      <c r="F1304" s="5"/>
      <c r="G1304" s="5" t="s">
        <v>217</v>
      </c>
      <c r="H1304" s="5" t="s">
        <v>27</v>
      </c>
      <c r="I1304" s="6">
        <v>280000</v>
      </c>
      <c r="J1304" s="6">
        <f>IF(D1304="Thu",I1304,0)</f>
        <v>0</v>
      </c>
      <c r="K1304" s="6">
        <f>IF(D1304="Chi",I1304,0)</f>
        <v>280000</v>
      </c>
      <c r="L1304" s="6" t="e">
        <f>L1303+J1304-K1304</f>
        <v>#VALUE!</v>
      </c>
      <c r="M1304" s="6">
        <f ca="1">IFERROR(__xludf.DUMMYFUNCTION("SUM(FILTER(J:J, H:H=""Tiền mặt"")) - SUM(FILTER(K:K, H:H=""Tiền mặt""))
"),959000)</f>
        <v>959000</v>
      </c>
      <c r="N1304" s="6">
        <f ca="1">IFERROR(__xludf.DUMMYFUNCTION("SUM(FILTER(J:J, H:H=""Chuyển khoản"")) - SUM(FILTER(K:K, H:H=""Chuyển khoản""))
"),4468984)</f>
        <v>4468984</v>
      </c>
      <c r="O1304" s="5"/>
      <c r="P1304" s="5"/>
      <c r="Q1304" s="5"/>
      <c r="R1304" s="5"/>
      <c r="S1304" s="5"/>
    </row>
    <row r="1305" spans="1:19" ht="15.75" customHeight="1" x14ac:dyDescent="0.2">
      <c r="A1305" s="3">
        <v>46036</v>
      </c>
      <c r="B1305" s="4" t="str">
        <f>IF(A1305="","","PC-"&amp;TEXT(A1305,"mm/yyyy")&amp;"-"&amp;TEXT(COUNTIFS($A$2:A1305,"&gt;="&amp;EOMONTH(A1305,-1)+1,$A$2:A1305,"&lt;="&amp;EOMONTH(A1305,0)),"000"))</f>
        <v>PC-01/2026-222</v>
      </c>
      <c r="C1305" s="5" t="s">
        <v>218</v>
      </c>
      <c r="D1305" s="5" t="s">
        <v>29</v>
      </c>
      <c r="E1305" s="5" t="s">
        <v>71</v>
      </c>
      <c r="F1305" s="5"/>
      <c r="G1305" s="5" t="s">
        <v>219</v>
      </c>
      <c r="H1305" s="5" t="s">
        <v>27</v>
      </c>
      <c r="I1305" s="6">
        <v>100000</v>
      </c>
      <c r="J1305" s="6">
        <f>IF(D1305="Thu",I1305,0)</f>
        <v>0</v>
      </c>
      <c r="K1305" s="6">
        <f>IF(D1305="Chi",I1305,0)</f>
        <v>100000</v>
      </c>
      <c r="L1305" s="6" t="e">
        <f>L1304+J1305-K1305</f>
        <v>#VALUE!</v>
      </c>
      <c r="M1305" s="6">
        <f ca="1">IFERROR(__xludf.DUMMYFUNCTION("SUM(FILTER(J:J, H:H=""Tiền mặt"")) - SUM(FILTER(K:K, H:H=""Tiền mặt""))
"),959000)</f>
        <v>959000</v>
      </c>
      <c r="N1305" s="6">
        <f ca="1">IFERROR(__xludf.DUMMYFUNCTION("SUM(FILTER(J:J, H:H=""Chuyển khoản"")) - SUM(FILTER(K:K, H:H=""Chuyển khoản""))
"),4468984)</f>
        <v>4468984</v>
      </c>
      <c r="O1305" s="5"/>
      <c r="P1305" s="5"/>
      <c r="Q1305" s="5"/>
      <c r="R1305" s="5"/>
      <c r="S1305" s="5"/>
    </row>
    <row r="1306" spans="1:19" ht="15.75" customHeight="1" x14ac:dyDescent="0.2">
      <c r="A1306" s="3">
        <v>46035</v>
      </c>
      <c r="B1306" s="4" t="str">
        <f>IF(A1306="","","PC-"&amp;TEXT(A1306,"mm/yyyy")&amp;"-"&amp;TEXT(COUNTIFS($A$2:A1306,"&gt;="&amp;EOMONTH(A1306,-1)+1,$A$2:A1306,"&lt;="&amp;EOMONTH(A1306,0)),"000"))</f>
        <v>PC-01/2026-223</v>
      </c>
      <c r="C1306" s="5" t="s">
        <v>190</v>
      </c>
      <c r="D1306" s="5" t="s">
        <v>29</v>
      </c>
      <c r="E1306" s="5" t="s">
        <v>44</v>
      </c>
      <c r="F1306" s="5"/>
      <c r="G1306" s="5" t="s">
        <v>99</v>
      </c>
      <c r="H1306" s="5" t="s">
        <v>23</v>
      </c>
      <c r="I1306" s="6">
        <v>1500000</v>
      </c>
      <c r="J1306" s="6">
        <f>IF(D1306="Thu",I1306,0)</f>
        <v>0</v>
      </c>
      <c r="K1306" s="6">
        <f>IF(D1306="Chi",I1306,0)</f>
        <v>1500000</v>
      </c>
      <c r="L1306" s="6" t="e">
        <f>L1305+J1306-K1306</f>
        <v>#VALUE!</v>
      </c>
      <c r="M1306" s="6">
        <f ca="1">IFERROR(__xludf.DUMMYFUNCTION("SUM(FILTER(J:J, H:H=""Tiền mặt"")) - SUM(FILTER(K:K, H:H=""Tiền mặt""))
"),959000)</f>
        <v>959000</v>
      </c>
      <c r="N1306" s="6">
        <f ca="1">IFERROR(__xludf.DUMMYFUNCTION("SUM(FILTER(J:J, H:H=""Chuyển khoản"")) - SUM(FILTER(K:K, H:H=""Chuyển khoản""))
"),4468984)</f>
        <v>4468984</v>
      </c>
      <c r="O1306" s="5"/>
      <c r="P1306" s="5"/>
      <c r="Q1306" s="5"/>
      <c r="R1306" s="5"/>
      <c r="S1306" s="5"/>
    </row>
    <row r="1307" spans="1:19" ht="15.75" customHeight="1" x14ac:dyDescent="0.2">
      <c r="A1307" s="3">
        <v>46035</v>
      </c>
      <c r="B1307" s="4" t="str">
        <f>IF(A1307="","","PC-"&amp;TEXT(A1307,"mm/yyyy")&amp;"-"&amp;TEXT(COUNTIFS($A$2:A1307,"&gt;="&amp;EOMONTH(A1307,-1)+1,$A$2:A1307,"&lt;="&amp;EOMONTH(A1307,0)),"000"))</f>
        <v>PC-01/2026-224</v>
      </c>
      <c r="C1307" s="5" t="s">
        <v>191</v>
      </c>
      <c r="D1307" s="5" t="s">
        <v>29</v>
      </c>
      <c r="E1307" s="5" t="s">
        <v>41</v>
      </c>
      <c r="F1307" s="5"/>
      <c r="G1307" s="5" t="s">
        <v>192</v>
      </c>
      <c r="H1307" s="5" t="s">
        <v>23</v>
      </c>
      <c r="I1307" s="6">
        <v>100000</v>
      </c>
      <c r="J1307" s="6">
        <f>IF(D1307="Thu",I1307,0)</f>
        <v>0</v>
      </c>
      <c r="K1307" s="6">
        <f>IF(D1307="Chi",I1307,0)</f>
        <v>100000</v>
      </c>
      <c r="L1307" s="6" t="e">
        <f>L1306+J1307-K1307</f>
        <v>#VALUE!</v>
      </c>
      <c r="M1307" s="6">
        <f ca="1">IFERROR(__xludf.DUMMYFUNCTION("SUM(FILTER(J:J, H:H=""Tiền mặt"")) - SUM(FILTER(K:K, H:H=""Tiền mặt""))
"),959000)</f>
        <v>959000</v>
      </c>
      <c r="N1307" s="6">
        <f ca="1">IFERROR(__xludf.DUMMYFUNCTION("SUM(FILTER(J:J, H:H=""Chuyển khoản"")) - SUM(FILTER(K:K, H:H=""Chuyển khoản""))
"),4468984)</f>
        <v>4468984</v>
      </c>
      <c r="O1307" s="5"/>
      <c r="P1307" s="5"/>
      <c r="Q1307" s="5"/>
      <c r="R1307" s="5"/>
      <c r="S1307" s="5"/>
    </row>
    <row r="1308" spans="1:19" ht="15.75" customHeight="1" x14ac:dyDescent="0.2">
      <c r="A1308" s="3">
        <v>46035</v>
      </c>
      <c r="B1308" s="4" t="str">
        <f>IF(A1308="","","PC-"&amp;TEXT(A1308,"mm/yyyy")&amp;"-"&amp;TEXT(COUNTIFS($A$2:A1308,"&gt;="&amp;EOMONTH(A1308,-1)+1,$A$2:A1308,"&lt;="&amp;EOMONTH(A1308,0)),"000"))</f>
        <v>PC-01/2026-225</v>
      </c>
      <c r="C1308" s="5" t="s">
        <v>193</v>
      </c>
      <c r="D1308" s="5" t="s">
        <v>29</v>
      </c>
      <c r="E1308" s="5" t="s">
        <v>51</v>
      </c>
      <c r="F1308" s="5"/>
      <c r="G1308" s="5" t="s">
        <v>52</v>
      </c>
      <c r="H1308" s="5" t="s">
        <v>27</v>
      </c>
      <c r="I1308" s="6">
        <v>117787</v>
      </c>
      <c r="J1308" s="6">
        <f>IF(D1308="Thu",I1308,0)</f>
        <v>0</v>
      </c>
      <c r="K1308" s="6">
        <f>IF(D1308="Chi",I1308,0)</f>
        <v>117787</v>
      </c>
      <c r="L1308" s="6" t="e">
        <f>L1307+J1308-K1308</f>
        <v>#VALUE!</v>
      </c>
      <c r="M1308" s="6">
        <f ca="1">IFERROR(__xludf.DUMMYFUNCTION("SUM(FILTER(J:J, H:H=""Tiền mặt"")) - SUM(FILTER(K:K, H:H=""Tiền mặt""))
"),959000)</f>
        <v>959000</v>
      </c>
      <c r="N1308" s="6">
        <f ca="1">IFERROR(__xludf.DUMMYFUNCTION("SUM(FILTER(J:J, H:H=""Chuyển khoản"")) - SUM(FILTER(K:K, H:H=""Chuyển khoản""))
"),4468984)</f>
        <v>4468984</v>
      </c>
      <c r="O1308" s="5"/>
      <c r="P1308" s="5"/>
      <c r="Q1308" s="5"/>
      <c r="R1308" s="5"/>
      <c r="S1308" s="5"/>
    </row>
    <row r="1309" spans="1:19" ht="15.75" customHeight="1" x14ac:dyDescent="0.2">
      <c r="A1309" s="3">
        <v>46035</v>
      </c>
      <c r="B1309" s="4" t="str">
        <f>IF(A1309="","","PC-"&amp;TEXT(A1309,"mm/yyyy")&amp;"-"&amp;TEXT(COUNTIFS($A$2:A1309,"&gt;="&amp;EOMONTH(A1309,-1)+1,$A$2:A1309,"&lt;="&amp;EOMONTH(A1309,0)),"000"))</f>
        <v>PC-01/2026-226</v>
      </c>
      <c r="C1309" s="5" t="s">
        <v>194</v>
      </c>
      <c r="D1309" s="5" t="s">
        <v>29</v>
      </c>
      <c r="E1309" s="5" t="s">
        <v>51</v>
      </c>
      <c r="F1309" s="5"/>
      <c r="G1309" s="5" t="s">
        <v>52</v>
      </c>
      <c r="H1309" s="5" t="s">
        <v>27</v>
      </c>
      <c r="I1309" s="6">
        <v>157609</v>
      </c>
      <c r="J1309" s="6">
        <f>IF(D1309="Thu",I1309,0)</f>
        <v>0</v>
      </c>
      <c r="K1309" s="6">
        <f>IF(D1309="Chi",I1309,0)</f>
        <v>157609</v>
      </c>
      <c r="L1309" s="6" t="e">
        <f>L1308+J1309-K1309</f>
        <v>#VALUE!</v>
      </c>
      <c r="M1309" s="6">
        <f ca="1">IFERROR(__xludf.DUMMYFUNCTION("SUM(FILTER(J:J, H:H=""Tiền mặt"")) - SUM(FILTER(K:K, H:H=""Tiền mặt""))
"),959000)</f>
        <v>959000</v>
      </c>
      <c r="N1309" s="6">
        <f ca="1">IFERROR(__xludf.DUMMYFUNCTION("SUM(FILTER(J:J, H:H=""Chuyển khoản"")) - SUM(FILTER(K:K, H:H=""Chuyển khoản""))
"),4468984)</f>
        <v>4468984</v>
      </c>
      <c r="O1309" s="5"/>
      <c r="P1309" s="5"/>
      <c r="Q1309" s="5"/>
      <c r="R1309" s="5"/>
      <c r="S1309" s="5"/>
    </row>
    <row r="1310" spans="1:19" ht="15.75" customHeight="1" x14ac:dyDescent="0.2">
      <c r="A1310" s="3">
        <v>46035</v>
      </c>
      <c r="B1310" s="4" t="str">
        <f>IF(A1310="","","PC-"&amp;TEXT(A1310,"mm/yyyy")&amp;"-"&amp;TEXT(COUNTIFS($A$2:A1310,"&gt;="&amp;EOMONTH(A1310,-1)+1,$A$2:A1310,"&lt;="&amp;EOMONTH(A1310,0)),"000"))</f>
        <v>PC-01/2026-227</v>
      </c>
      <c r="C1310" s="5" t="s">
        <v>195</v>
      </c>
      <c r="D1310" s="5" t="s">
        <v>29</v>
      </c>
      <c r="E1310" s="5" t="s">
        <v>41</v>
      </c>
      <c r="F1310" s="5"/>
      <c r="G1310" s="5" t="s">
        <v>192</v>
      </c>
      <c r="H1310" s="5" t="s">
        <v>23</v>
      </c>
      <c r="I1310" s="6">
        <v>100000</v>
      </c>
      <c r="J1310" s="6">
        <f>IF(D1310="Thu",I1310,0)</f>
        <v>0</v>
      </c>
      <c r="K1310" s="6">
        <f>IF(D1310="Chi",I1310,0)</f>
        <v>100000</v>
      </c>
      <c r="L1310" s="6" t="e">
        <f>L1309+J1310-K1310</f>
        <v>#VALUE!</v>
      </c>
      <c r="M1310" s="6">
        <f ca="1">IFERROR(__xludf.DUMMYFUNCTION("SUM(FILTER(J:J, H:H=""Tiền mặt"")) - SUM(FILTER(K:K, H:H=""Tiền mặt""))
"),959000)</f>
        <v>959000</v>
      </c>
      <c r="N1310" s="6">
        <f ca="1">IFERROR(__xludf.DUMMYFUNCTION("SUM(FILTER(J:J, H:H=""Chuyển khoản"")) - SUM(FILTER(K:K, H:H=""Chuyển khoản""))
"),4468984)</f>
        <v>4468984</v>
      </c>
      <c r="O1310" s="5"/>
      <c r="P1310" s="5"/>
      <c r="Q1310" s="5"/>
      <c r="R1310" s="5"/>
      <c r="S1310" s="5"/>
    </row>
    <row r="1311" spans="1:19" ht="15.75" customHeight="1" x14ac:dyDescent="0.2">
      <c r="A1311" s="3">
        <v>46035</v>
      </c>
      <c r="B1311" s="4" t="str">
        <f>IF(A1311="","","PC-"&amp;TEXT(A1311,"mm/yyyy")&amp;"-"&amp;TEXT(COUNTIFS($A$2:A1311,"&gt;="&amp;EOMONTH(A1311,-1)+1,$A$2:A1311,"&lt;="&amp;EOMONTH(A1311,0)),"000"))</f>
        <v>PC-01/2026-228</v>
      </c>
      <c r="C1311" s="5" t="s">
        <v>196</v>
      </c>
      <c r="D1311" s="5" t="s">
        <v>29</v>
      </c>
      <c r="E1311" s="5" t="s">
        <v>47</v>
      </c>
      <c r="F1311" s="5"/>
      <c r="G1311" s="5" t="s">
        <v>48</v>
      </c>
      <c r="H1311" s="5" t="s">
        <v>23</v>
      </c>
      <c r="I1311" s="6">
        <v>50000</v>
      </c>
      <c r="J1311" s="6">
        <f>IF(D1311="Thu",I1311,0)</f>
        <v>0</v>
      </c>
      <c r="K1311" s="6">
        <f>IF(D1311="Chi",I1311,0)</f>
        <v>50000</v>
      </c>
      <c r="L1311" s="6" t="e">
        <f>L1310+J1311-K1311</f>
        <v>#VALUE!</v>
      </c>
      <c r="M1311" s="6">
        <f ca="1">IFERROR(__xludf.DUMMYFUNCTION("SUM(FILTER(J:J, H:H=""Tiền mặt"")) - SUM(FILTER(K:K, H:H=""Tiền mặt""))
"),959000)</f>
        <v>959000</v>
      </c>
      <c r="N1311" s="6">
        <f ca="1">IFERROR(__xludf.DUMMYFUNCTION("SUM(FILTER(J:J, H:H=""Chuyển khoản"")) - SUM(FILTER(K:K, H:H=""Chuyển khoản""))
"),4468984)</f>
        <v>4468984</v>
      </c>
      <c r="O1311" s="5"/>
      <c r="P1311" s="5"/>
      <c r="Q1311" s="5"/>
      <c r="R1311" s="5"/>
      <c r="S1311" s="5"/>
    </row>
    <row r="1312" spans="1:19" ht="15.75" customHeight="1" x14ac:dyDescent="0.2">
      <c r="A1312" s="3">
        <v>46035</v>
      </c>
      <c r="B1312" s="4" t="str">
        <f>IF(A1312="","","PC-"&amp;TEXT(A1312,"mm/yyyy")&amp;"-"&amp;TEXT(COUNTIFS($A$2:A1312,"&gt;="&amp;EOMONTH(A1312,-1)+1,$A$2:A1312,"&lt;="&amp;EOMONTH(A1312,0)),"000"))</f>
        <v>PC-01/2026-229</v>
      </c>
      <c r="C1312" s="5" t="s">
        <v>197</v>
      </c>
      <c r="D1312" s="5" t="s">
        <v>29</v>
      </c>
      <c r="E1312" s="5" t="s">
        <v>41</v>
      </c>
      <c r="F1312" s="5"/>
      <c r="G1312" s="5" t="s">
        <v>192</v>
      </c>
      <c r="H1312" s="5" t="s">
        <v>23</v>
      </c>
      <c r="I1312" s="6">
        <v>100000</v>
      </c>
      <c r="J1312" s="6">
        <f>IF(D1312="Thu",I1312,0)</f>
        <v>0</v>
      </c>
      <c r="K1312" s="6">
        <f>IF(D1312="Chi",I1312,0)</f>
        <v>100000</v>
      </c>
      <c r="L1312" s="6" t="e">
        <f>L1311+J1312-K1312</f>
        <v>#VALUE!</v>
      </c>
      <c r="M1312" s="6">
        <f ca="1">IFERROR(__xludf.DUMMYFUNCTION("SUM(FILTER(J:J, H:H=""Tiền mặt"")) - SUM(FILTER(K:K, H:H=""Tiền mặt""))
"),959000)</f>
        <v>959000</v>
      </c>
      <c r="N1312" s="6">
        <f ca="1">IFERROR(__xludf.DUMMYFUNCTION("SUM(FILTER(J:J, H:H=""Chuyển khoản"")) - SUM(FILTER(K:K, H:H=""Chuyển khoản""))
"),4468984)</f>
        <v>4468984</v>
      </c>
      <c r="O1312" s="5"/>
      <c r="P1312" s="5"/>
      <c r="Q1312" s="5"/>
      <c r="R1312" s="5"/>
      <c r="S1312" s="5"/>
    </row>
    <row r="1313" spans="1:19" ht="15.75" customHeight="1" x14ac:dyDescent="0.2">
      <c r="A1313" s="3">
        <v>46035</v>
      </c>
      <c r="B1313" s="4" t="str">
        <f>IF(A1313="","","PC-"&amp;TEXT(A1313,"mm/yyyy")&amp;"-"&amp;TEXT(COUNTIFS($A$2:A1313,"&gt;="&amp;EOMONTH(A1313,-1)+1,$A$2:A1313,"&lt;="&amp;EOMONTH(A1313,0)),"000"))</f>
        <v>PC-01/2026-230</v>
      </c>
      <c r="C1313" s="5" t="s">
        <v>198</v>
      </c>
      <c r="D1313" s="5" t="s">
        <v>29</v>
      </c>
      <c r="E1313" s="5" t="s">
        <v>44</v>
      </c>
      <c r="F1313" s="5"/>
      <c r="G1313" s="5" t="s">
        <v>45</v>
      </c>
      <c r="H1313" s="5" t="s">
        <v>23</v>
      </c>
      <c r="I1313" s="6">
        <v>1500000</v>
      </c>
      <c r="J1313" s="6">
        <f>IF(D1313="Thu",I1313,0)</f>
        <v>0</v>
      </c>
      <c r="K1313" s="6">
        <f>IF(D1313="Chi",I1313,0)</f>
        <v>1500000</v>
      </c>
      <c r="L1313" s="6" t="e">
        <f>L1312+J1313-K1313</f>
        <v>#VALUE!</v>
      </c>
      <c r="M1313" s="6">
        <f ca="1">IFERROR(__xludf.DUMMYFUNCTION("SUM(FILTER(J:J, H:H=""Tiền mặt"")) - SUM(FILTER(K:K, H:H=""Tiền mặt""))
"),959000)</f>
        <v>959000</v>
      </c>
      <c r="N1313" s="6">
        <f ca="1">IFERROR(__xludf.DUMMYFUNCTION("SUM(FILTER(J:J, H:H=""Chuyển khoản"")) - SUM(FILTER(K:K, H:H=""Chuyển khoản""))
"),4468984)</f>
        <v>4468984</v>
      </c>
      <c r="O1313" s="5"/>
      <c r="P1313" s="5"/>
      <c r="Q1313" s="5"/>
      <c r="R1313" s="5"/>
      <c r="S1313" s="5"/>
    </row>
    <row r="1314" spans="1:19" ht="15.75" customHeight="1" x14ac:dyDescent="0.2">
      <c r="A1314" s="3">
        <v>46035</v>
      </c>
      <c r="B1314" s="4" t="str">
        <f>IF(A1314="","","PC-"&amp;TEXT(A1314,"mm/yyyy")&amp;"-"&amp;TEXT(COUNTIFS($A$2:A1314,"&gt;="&amp;EOMONTH(A1314,-1)+1,$A$2:A1314,"&lt;="&amp;EOMONTH(A1314,0)),"000"))</f>
        <v>PC-01/2026-231</v>
      </c>
      <c r="C1314" s="5" t="s">
        <v>199</v>
      </c>
      <c r="D1314" s="5" t="s">
        <v>29</v>
      </c>
      <c r="E1314" s="5" t="s">
        <v>47</v>
      </c>
      <c r="F1314" s="5"/>
      <c r="G1314" s="5" t="s">
        <v>48</v>
      </c>
      <c r="H1314" s="5" t="s">
        <v>23</v>
      </c>
      <c r="I1314" s="6">
        <v>50000</v>
      </c>
      <c r="J1314" s="6">
        <f>IF(D1314="Thu",I1314,0)</f>
        <v>0</v>
      </c>
      <c r="K1314" s="6">
        <f>IF(D1314="Chi",I1314,0)</f>
        <v>50000</v>
      </c>
      <c r="L1314" s="6" t="e">
        <f>L1313+J1314-K1314</f>
        <v>#VALUE!</v>
      </c>
      <c r="M1314" s="6">
        <f ca="1">IFERROR(__xludf.DUMMYFUNCTION("SUM(FILTER(J:J, H:H=""Tiền mặt"")) - SUM(FILTER(K:K, H:H=""Tiền mặt""))
"),959000)</f>
        <v>959000</v>
      </c>
      <c r="N1314" s="6">
        <f ca="1">IFERROR(__xludf.DUMMYFUNCTION("SUM(FILTER(J:J, H:H=""Chuyển khoản"")) - SUM(FILTER(K:K, H:H=""Chuyển khoản""))
"),4468984)</f>
        <v>4468984</v>
      </c>
      <c r="O1314" s="5"/>
      <c r="P1314" s="5"/>
      <c r="Q1314" s="5"/>
      <c r="R1314" s="5"/>
      <c r="S1314" s="5"/>
    </row>
    <row r="1315" spans="1:19" ht="15.75" customHeight="1" x14ac:dyDescent="0.2">
      <c r="A1315" s="3">
        <v>46035</v>
      </c>
      <c r="B1315" s="4" t="str">
        <f>IF(A1315="","","PC-"&amp;TEXT(A1315,"mm/yyyy")&amp;"-"&amp;TEXT(COUNTIFS($A$2:A1315,"&gt;="&amp;EOMONTH(A1315,-1)+1,$A$2:A1315,"&lt;="&amp;EOMONTH(A1315,0)),"000"))</f>
        <v>PC-01/2026-232</v>
      </c>
      <c r="C1315" s="5" t="s">
        <v>200</v>
      </c>
      <c r="D1315" s="5" t="s">
        <v>29</v>
      </c>
      <c r="E1315" s="5" t="s">
        <v>41</v>
      </c>
      <c r="F1315" s="5"/>
      <c r="G1315" s="5" t="s">
        <v>82</v>
      </c>
      <c r="H1315" s="5" t="s">
        <v>23</v>
      </c>
      <c r="I1315" s="6">
        <v>100000</v>
      </c>
      <c r="J1315" s="6">
        <f>IF(D1315="Thu",I1315,0)</f>
        <v>0</v>
      </c>
      <c r="K1315" s="6">
        <f>IF(D1315="Chi",I1315,0)</f>
        <v>100000</v>
      </c>
      <c r="L1315" s="6" t="e">
        <f>L1314+J1315-K1315</f>
        <v>#VALUE!</v>
      </c>
      <c r="M1315" s="6">
        <f ca="1">IFERROR(__xludf.DUMMYFUNCTION("SUM(FILTER(J:J, H:H=""Tiền mặt"")) - SUM(FILTER(K:K, H:H=""Tiền mặt""))
"),959000)</f>
        <v>959000</v>
      </c>
      <c r="N1315" s="6">
        <f ca="1">IFERROR(__xludf.DUMMYFUNCTION("SUM(FILTER(J:J, H:H=""Chuyển khoản"")) - SUM(FILTER(K:K, H:H=""Chuyển khoản""))
"),4468984)</f>
        <v>4468984</v>
      </c>
      <c r="O1315" s="5"/>
      <c r="P1315" s="5"/>
      <c r="Q1315" s="5"/>
      <c r="R1315" s="5"/>
      <c r="S1315" s="5"/>
    </row>
    <row r="1316" spans="1:19" ht="15.75" customHeight="1" x14ac:dyDescent="0.2">
      <c r="A1316" s="3">
        <v>46035</v>
      </c>
      <c r="B1316" s="4" t="str">
        <f>IF(A1316="","","PC-"&amp;TEXT(A1316,"mm/yyyy")&amp;"-"&amp;TEXT(COUNTIFS($A$2:A1316,"&gt;="&amp;EOMONTH(A1316,-1)+1,$A$2:A1316,"&lt;="&amp;EOMONTH(A1316,0)),"000"))</f>
        <v>PC-01/2026-233</v>
      </c>
      <c r="C1316" s="5" t="s">
        <v>201</v>
      </c>
      <c r="D1316" s="5" t="s">
        <v>29</v>
      </c>
      <c r="E1316" s="5" t="s">
        <v>44</v>
      </c>
      <c r="F1316" s="5"/>
      <c r="G1316" s="5" t="s">
        <v>202</v>
      </c>
      <c r="H1316" s="5" t="s">
        <v>23</v>
      </c>
      <c r="I1316" s="6">
        <v>1000000</v>
      </c>
      <c r="J1316" s="6">
        <f>IF(D1316="Thu",I1316,0)</f>
        <v>0</v>
      </c>
      <c r="K1316" s="6">
        <f>IF(D1316="Chi",I1316,0)</f>
        <v>1000000</v>
      </c>
      <c r="L1316" s="6" t="e">
        <f>L1315+J1316-K1316</f>
        <v>#VALUE!</v>
      </c>
      <c r="M1316" s="6">
        <f ca="1">IFERROR(__xludf.DUMMYFUNCTION("SUM(FILTER(J:J, H:H=""Tiền mặt"")) - SUM(FILTER(K:K, H:H=""Tiền mặt""))
"),959000)</f>
        <v>959000</v>
      </c>
      <c r="N1316" s="6">
        <f ca="1">IFERROR(__xludf.DUMMYFUNCTION("SUM(FILTER(J:J, H:H=""Chuyển khoản"")) - SUM(FILTER(K:K, H:H=""Chuyển khoản""))
"),4468984)</f>
        <v>4468984</v>
      </c>
      <c r="O1316" s="5"/>
      <c r="P1316" s="5"/>
      <c r="Q1316" s="5"/>
      <c r="R1316" s="5"/>
      <c r="S1316" s="5"/>
    </row>
    <row r="1317" spans="1:19" ht="15.75" customHeight="1" x14ac:dyDescent="0.2">
      <c r="A1317" s="3">
        <v>46035</v>
      </c>
      <c r="B1317" s="4" t="str">
        <f>IF(A1317="","","PC-"&amp;TEXT(A1317,"mm/yyyy")&amp;"-"&amp;TEXT(COUNTIFS($A$2:A1317,"&gt;="&amp;EOMONTH(A1317,-1)+1,$A$2:A1317,"&lt;="&amp;EOMONTH(A1317,0)),"000"))</f>
        <v>PC-01/2026-234</v>
      </c>
      <c r="C1317" s="5" t="s">
        <v>203</v>
      </c>
      <c r="D1317" s="5" t="s">
        <v>29</v>
      </c>
      <c r="E1317" s="5" t="s">
        <v>47</v>
      </c>
      <c r="F1317" s="5"/>
      <c r="G1317" s="5" t="s">
        <v>48</v>
      </c>
      <c r="H1317" s="5" t="s">
        <v>23</v>
      </c>
      <c r="I1317" s="6">
        <v>50000</v>
      </c>
      <c r="J1317" s="6">
        <f>IF(D1317="Thu",I1317,0)</f>
        <v>0</v>
      </c>
      <c r="K1317" s="6">
        <f>IF(D1317="Chi",I1317,0)</f>
        <v>50000</v>
      </c>
      <c r="L1317" s="6" t="e">
        <f>L1316+J1317-K1317</f>
        <v>#VALUE!</v>
      </c>
      <c r="M1317" s="6">
        <f ca="1">IFERROR(__xludf.DUMMYFUNCTION("SUM(FILTER(J:J, H:H=""Tiền mặt"")) - SUM(FILTER(K:K, H:H=""Tiền mặt""))
"),959000)</f>
        <v>959000</v>
      </c>
      <c r="N1317" s="6">
        <f ca="1">IFERROR(__xludf.DUMMYFUNCTION("SUM(FILTER(J:J, H:H=""Chuyển khoản"")) - SUM(FILTER(K:K, H:H=""Chuyển khoản""))
"),4468984)</f>
        <v>4468984</v>
      </c>
      <c r="O1317" s="5"/>
      <c r="P1317" s="5"/>
      <c r="Q1317" s="5"/>
      <c r="R1317" s="5"/>
      <c r="S1317" s="5"/>
    </row>
    <row r="1318" spans="1:19" ht="15.75" customHeight="1" x14ac:dyDescent="0.2">
      <c r="A1318" s="3">
        <v>46035</v>
      </c>
      <c r="B1318" s="4" t="str">
        <f>IF(A1318="","","PC-"&amp;TEXT(A1318,"mm/yyyy")&amp;"-"&amp;TEXT(COUNTIFS($A$2:A1318,"&gt;="&amp;EOMONTH(A1318,-1)+1,$A$2:A1318,"&lt;="&amp;EOMONTH(A1318,0)),"000"))</f>
        <v>PC-01/2026-235</v>
      </c>
      <c r="C1318" s="52" t="s">
        <v>204</v>
      </c>
      <c r="D1318" s="5" t="s">
        <v>29</v>
      </c>
      <c r="E1318" s="5" t="s">
        <v>71</v>
      </c>
      <c r="F1318" s="5"/>
      <c r="G1318" s="5" t="s">
        <v>205</v>
      </c>
      <c r="H1318" s="5" t="s">
        <v>27</v>
      </c>
      <c r="I1318" s="6">
        <v>44000</v>
      </c>
      <c r="J1318" s="6">
        <f>IF(D1318="Thu",I1318,0)</f>
        <v>0</v>
      </c>
      <c r="K1318" s="6">
        <f>IF(D1318="Chi",I1318,0)</f>
        <v>44000</v>
      </c>
      <c r="L1318" s="6" t="e">
        <f>L1317+J1318-K1318</f>
        <v>#VALUE!</v>
      </c>
      <c r="M1318" s="6">
        <f ca="1">IFERROR(__xludf.DUMMYFUNCTION("SUM(FILTER(J:J, H:H=""Tiền mặt"")) - SUM(FILTER(K:K, H:H=""Tiền mặt""))
"),959000)</f>
        <v>959000</v>
      </c>
      <c r="N1318" s="6">
        <f ca="1">IFERROR(__xludf.DUMMYFUNCTION("SUM(FILTER(J:J, H:H=""Chuyển khoản"")) - SUM(FILTER(K:K, H:H=""Chuyển khoản""))
"),4468984)</f>
        <v>4468984</v>
      </c>
      <c r="O1318" s="5"/>
      <c r="P1318" s="5"/>
      <c r="Q1318" s="5"/>
      <c r="R1318" s="5"/>
      <c r="S1318" s="5"/>
    </row>
    <row r="1319" spans="1:19" ht="15.75" customHeight="1" x14ac:dyDescent="0.2">
      <c r="A1319" s="3">
        <v>46034</v>
      </c>
      <c r="B1319" s="4" t="str">
        <f>IF(A1319="","","PC-"&amp;TEXT(A1319,"mm/yyyy")&amp;"-"&amp;TEXT(COUNTIFS($A$2:A1319,"&gt;="&amp;EOMONTH(A1319,-1)+1,$A$2:A1319,"&lt;="&amp;EOMONTH(A1319,0)),"000"))</f>
        <v>PC-01/2026-236</v>
      </c>
      <c r="C1319" s="5" t="s">
        <v>170</v>
      </c>
      <c r="D1319" s="5" t="s">
        <v>29</v>
      </c>
      <c r="E1319" s="5" t="s">
        <v>30</v>
      </c>
      <c r="F1319" s="5"/>
      <c r="G1319" s="5" t="s">
        <v>37</v>
      </c>
      <c r="H1319" s="5" t="s">
        <v>23</v>
      </c>
      <c r="I1319" s="6">
        <v>50000</v>
      </c>
      <c r="J1319" s="6">
        <f>IF(D1319="Thu",I1319,0)</f>
        <v>0</v>
      </c>
      <c r="K1319" s="6">
        <f>IF(D1319="Chi",I1319,0)</f>
        <v>50000</v>
      </c>
      <c r="L1319" s="6" t="e">
        <f>L1318+J1319-K1319</f>
        <v>#VALUE!</v>
      </c>
      <c r="M1319" s="6">
        <f ca="1">IFERROR(__xludf.DUMMYFUNCTION("SUM(FILTER(J:J, H:H=""Tiền mặt"")) - SUM(FILTER(K:K, H:H=""Tiền mặt""))
"),959000)</f>
        <v>959000</v>
      </c>
      <c r="N1319" s="6">
        <f ca="1">IFERROR(__xludf.DUMMYFUNCTION("SUM(FILTER(J:J, H:H=""Chuyển khoản"")) - SUM(FILTER(K:K, H:H=""Chuyển khoản""))
"),4468984)</f>
        <v>4468984</v>
      </c>
      <c r="O1319" s="5"/>
      <c r="P1319" s="5"/>
      <c r="Q1319" s="5"/>
      <c r="R1319" s="5"/>
      <c r="S1319" s="5"/>
    </row>
    <row r="1320" spans="1:19" ht="15.75" customHeight="1" x14ac:dyDescent="0.2">
      <c r="A1320" s="3">
        <v>46034</v>
      </c>
      <c r="B1320" s="4" t="str">
        <f>IF(A1320="","","PC-"&amp;TEXT(A1320,"mm/yyyy")&amp;"-"&amp;TEXT(COUNTIFS($A$2:A1320,"&gt;="&amp;EOMONTH(A1320,-1)+1,$A$2:A1320,"&lt;="&amp;EOMONTH(A1320,0)),"000"))</f>
        <v>PC-01/2026-237</v>
      </c>
      <c r="C1320" s="5" t="s">
        <v>171</v>
      </c>
      <c r="D1320" s="5" t="s">
        <v>29</v>
      </c>
      <c r="E1320" s="5" t="s">
        <v>51</v>
      </c>
      <c r="F1320" s="5"/>
      <c r="G1320" s="5" t="s">
        <v>52</v>
      </c>
      <c r="H1320" s="5" t="s">
        <v>27</v>
      </c>
      <c r="I1320" s="6">
        <v>127915</v>
      </c>
      <c r="J1320" s="6">
        <f>IF(D1320="Thu",I1320,0)</f>
        <v>0</v>
      </c>
      <c r="K1320" s="6">
        <f>IF(D1320="Chi",I1320,0)</f>
        <v>127915</v>
      </c>
      <c r="L1320" s="6" t="e">
        <f>L1319+J1320-K1320</f>
        <v>#VALUE!</v>
      </c>
      <c r="M1320" s="6">
        <f ca="1">IFERROR(__xludf.DUMMYFUNCTION("SUM(FILTER(J:J, H:H=""Tiền mặt"")) - SUM(FILTER(K:K, H:H=""Tiền mặt""))
"),959000)</f>
        <v>959000</v>
      </c>
      <c r="N1320" s="6">
        <f ca="1">IFERROR(__xludf.DUMMYFUNCTION("SUM(FILTER(J:J, H:H=""Chuyển khoản"")) - SUM(FILTER(K:K, H:H=""Chuyển khoản""))
"),4468984)</f>
        <v>4468984</v>
      </c>
      <c r="O1320" s="5"/>
      <c r="P1320" s="5"/>
      <c r="Q1320" s="5"/>
      <c r="R1320" s="5"/>
      <c r="S1320" s="5"/>
    </row>
    <row r="1321" spans="1:19" ht="15.75" customHeight="1" x14ac:dyDescent="0.2">
      <c r="A1321" s="3">
        <v>46034</v>
      </c>
      <c r="B1321" s="4" t="str">
        <f>IF(A1321="","","PC-"&amp;TEXT(A1321,"mm/yyyy")&amp;"-"&amp;TEXT(COUNTIFS($A$2:A1321,"&gt;="&amp;EOMONTH(A1321,-1)+1,$A$2:A1321,"&lt;="&amp;EOMONTH(A1321,0)),"000"))</f>
        <v>PC-01/2026-238</v>
      </c>
      <c r="C1321" s="5" t="s">
        <v>172</v>
      </c>
      <c r="D1321" s="5" t="s">
        <v>29</v>
      </c>
      <c r="E1321" s="5" t="s">
        <v>51</v>
      </c>
      <c r="F1321" s="5"/>
      <c r="G1321" s="5" t="s">
        <v>52</v>
      </c>
      <c r="H1321" s="5" t="s">
        <v>27</v>
      </c>
      <c r="I1321" s="6">
        <v>63800</v>
      </c>
      <c r="J1321" s="6">
        <f>IF(D1321="Thu",I1321,0)</f>
        <v>0</v>
      </c>
      <c r="K1321" s="6">
        <f>IF(D1321="Chi",I1321,0)</f>
        <v>63800</v>
      </c>
      <c r="L1321" s="6" t="e">
        <f>L1320+J1321-K1321</f>
        <v>#VALUE!</v>
      </c>
      <c r="M1321" s="6">
        <f ca="1">IFERROR(__xludf.DUMMYFUNCTION("SUM(FILTER(J:J, H:H=""Tiền mặt"")) - SUM(FILTER(K:K, H:H=""Tiền mặt""))
"),959000)</f>
        <v>959000</v>
      </c>
      <c r="N1321" s="6">
        <f ca="1">IFERROR(__xludf.DUMMYFUNCTION("SUM(FILTER(J:J, H:H=""Chuyển khoản"")) - SUM(FILTER(K:K, H:H=""Chuyển khoản""))
"),4468984)</f>
        <v>4468984</v>
      </c>
      <c r="O1321" s="5"/>
      <c r="P1321" s="5"/>
      <c r="Q1321" s="5"/>
      <c r="R1321" s="5"/>
      <c r="S1321" s="5"/>
    </row>
    <row r="1322" spans="1:19" ht="15.75" customHeight="1" x14ac:dyDescent="0.2">
      <c r="A1322" s="3">
        <v>46034</v>
      </c>
      <c r="B1322" s="4" t="str">
        <f>IF(A1322="","","PC-"&amp;TEXT(A1322,"mm/yyyy")&amp;"-"&amp;TEXT(COUNTIFS($A$2:A1322,"&gt;="&amp;EOMONTH(A1322,-1)+1,$A$2:A1322,"&lt;="&amp;EOMONTH(A1322,0)),"000"))</f>
        <v>PC-01/2026-239</v>
      </c>
      <c r="C1322" s="5" t="s">
        <v>173</v>
      </c>
      <c r="D1322" s="5" t="s">
        <v>29</v>
      </c>
      <c r="E1322" s="5" t="s">
        <v>51</v>
      </c>
      <c r="F1322" s="5"/>
      <c r="G1322" s="5" t="s">
        <v>52</v>
      </c>
      <c r="H1322" s="5" t="s">
        <v>27</v>
      </c>
      <c r="I1322" s="6">
        <v>172930</v>
      </c>
      <c r="J1322" s="6">
        <f>IF(D1322="Thu",I1322,0)</f>
        <v>0</v>
      </c>
      <c r="K1322" s="6">
        <f>IF(D1322="Chi",I1322,0)</f>
        <v>172930</v>
      </c>
      <c r="L1322" s="6" t="e">
        <f>L1321+J1322-K1322</f>
        <v>#VALUE!</v>
      </c>
      <c r="M1322" s="6">
        <f ca="1">IFERROR(__xludf.DUMMYFUNCTION("SUM(FILTER(J:J, H:H=""Tiền mặt"")) - SUM(FILTER(K:K, H:H=""Tiền mặt""))
"),959000)</f>
        <v>959000</v>
      </c>
      <c r="N1322" s="6">
        <f ca="1">IFERROR(__xludf.DUMMYFUNCTION("SUM(FILTER(J:J, H:H=""Chuyển khoản"")) - SUM(FILTER(K:K, H:H=""Chuyển khoản""))
"),4468984)</f>
        <v>4468984</v>
      </c>
      <c r="O1322" s="5"/>
      <c r="P1322" s="5"/>
      <c r="Q1322" s="5"/>
      <c r="R1322" s="5"/>
      <c r="S1322" s="5"/>
    </row>
    <row r="1323" spans="1:19" ht="15.75" customHeight="1" x14ac:dyDescent="0.2">
      <c r="A1323" s="3">
        <v>46034</v>
      </c>
      <c r="B1323" s="4" t="str">
        <f>IF(A1323="","","PC-"&amp;TEXT(A1323,"mm/yyyy")&amp;"-"&amp;TEXT(COUNTIFS($A$2:A1323,"&gt;="&amp;EOMONTH(A1323,-1)+1,$A$2:A1323,"&lt;="&amp;EOMONTH(A1323,0)),"000"))</f>
        <v>PC-01/2026-240</v>
      </c>
      <c r="C1323" s="5" t="s">
        <v>174</v>
      </c>
      <c r="D1323" s="5" t="s">
        <v>29</v>
      </c>
      <c r="E1323" s="5" t="s">
        <v>61</v>
      </c>
      <c r="F1323" s="5"/>
      <c r="G1323" s="5" t="s">
        <v>52</v>
      </c>
      <c r="H1323" s="5" t="s">
        <v>27</v>
      </c>
      <c r="I1323" s="6">
        <v>200000</v>
      </c>
      <c r="J1323" s="6">
        <f>IF(D1323="Thu",I1323,0)</f>
        <v>0</v>
      </c>
      <c r="K1323" s="6">
        <f>IF(D1323="Chi",I1323,0)</f>
        <v>200000</v>
      </c>
      <c r="L1323" s="6" t="e">
        <f>L1322+J1323-K1323</f>
        <v>#VALUE!</v>
      </c>
      <c r="M1323" s="6">
        <f ca="1">IFERROR(__xludf.DUMMYFUNCTION("SUM(FILTER(J:J, H:H=""Tiền mặt"")) - SUM(FILTER(K:K, H:H=""Tiền mặt""))
"),959000)</f>
        <v>959000</v>
      </c>
      <c r="N1323" s="6">
        <f ca="1">IFERROR(__xludf.DUMMYFUNCTION("SUM(FILTER(J:J, H:H=""Chuyển khoản"")) - SUM(FILTER(K:K, H:H=""Chuyển khoản""))
"),4468984)</f>
        <v>4468984</v>
      </c>
      <c r="O1323" s="5"/>
      <c r="P1323" s="5"/>
      <c r="Q1323" s="5"/>
      <c r="R1323" s="5"/>
      <c r="S1323" s="5"/>
    </row>
    <row r="1324" spans="1:19" ht="15.75" customHeight="1" x14ac:dyDescent="0.2">
      <c r="A1324" s="3">
        <v>46034</v>
      </c>
      <c r="B1324" s="4" t="str">
        <f>IF(A1324="","","PC-"&amp;TEXT(A1324,"mm/yyyy")&amp;"-"&amp;TEXT(COUNTIFS($A$2:A1324,"&gt;="&amp;EOMONTH(A1324,-1)+1,$A$2:A1324,"&lt;="&amp;EOMONTH(A1324,0)),"000"))</f>
        <v>PC-01/2026-241</v>
      </c>
      <c r="C1324" s="5" t="s">
        <v>175</v>
      </c>
      <c r="D1324" s="5" t="s">
        <v>29</v>
      </c>
      <c r="E1324" s="5" t="s">
        <v>61</v>
      </c>
      <c r="F1324" s="5"/>
      <c r="G1324" s="5" t="s">
        <v>52</v>
      </c>
      <c r="H1324" s="5" t="s">
        <v>27</v>
      </c>
      <c r="I1324" s="6">
        <v>200000</v>
      </c>
      <c r="J1324" s="6">
        <f>IF(D1324="Thu",I1324,0)</f>
        <v>0</v>
      </c>
      <c r="K1324" s="6">
        <f>IF(D1324="Chi",I1324,0)</f>
        <v>200000</v>
      </c>
      <c r="L1324" s="6" t="e">
        <f>L1323+J1324-K1324</f>
        <v>#VALUE!</v>
      </c>
      <c r="M1324" s="6">
        <f ca="1">IFERROR(__xludf.DUMMYFUNCTION("SUM(FILTER(J:J, H:H=""Tiền mặt"")) - SUM(FILTER(K:K, H:H=""Tiền mặt""))
"),959000)</f>
        <v>959000</v>
      </c>
      <c r="N1324" s="6">
        <f ca="1">IFERROR(__xludf.DUMMYFUNCTION("SUM(FILTER(J:J, H:H=""Chuyển khoản"")) - SUM(FILTER(K:K, H:H=""Chuyển khoản""))
"),4468984)</f>
        <v>4468984</v>
      </c>
      <c r="O1324" s="5"/>
      <c r="P1324" s="5"/>
      <c r="Q1324" s="5"/>
      <c r="R1324" s="5"/>
      <c r="S1324" s="5"/>
    </row>
    <row r="1325" spans="1:19" ht="15.75" customHeight="1" x14ac:dyDescent="0.2">
      <c r="A1325" s="3">
        <v>46034</v>
      </c>
      <c r="B1325" s="4" t="str">
        <f>IF(A1325="","","PC-"&amp;TEXT(A1325,"mm/yyyy")&amp;"-"&amp;TEXT(COUNTIFS($A$2:A1325,"&gt;="&amp;EOMONTH(A1325,-1)+1,$A$2:A1325,"&lt;="&amp;EOMONTH(A1325,0)),"000"))</f>
        <v>PC-01/2026-242</v>
      </c>
      <c r="C1325" s="5" t="s">
        <v>176</v>
      </c>
      <c r="D1325" s="5" t="s">
        <v>29</v>
      </c>
      <c r="E1325" s="5" t="s">
        <v>71</v>
      </c>
      <c r="F1325" s="5"/>
      <c r="G1325" s="5" t="s">
        <v>122</v>
      </c>
      <c r="H1325" s="5" t="s">
        <v>27</v>
      </c>
      <c r="I1325" s="6">
        <v>81000</v>
      </c>
      <c r="J1325" s="6">
        <f>IF(D1325="Thu",I1325,0)</f>
        <v>0</v>
      </c>
      <c r="K1325" s="6">
        <f>IF(D1325="Chi",I1325,0)</f>
        <v>81000</v>
      </c>
      <c r="L1325" s="6" t="e">
        <f>L1324+J1325-K1325</f>
        <v>#VALUE!</v>
      </c>
      <c r="M1325" s="6">
        <f ca="1">IFERROR(__xludf.DUMMYFUNCTION("SUM(FILTER(J:J, H:H=""Tiền mặt"")) - SUM(FILTER(K:K, H:H=""Tiền mặt""))
"),959000)</f>
        <v>959000</v>
      </c>
      <c r="N1325" s="6">
        <f ca="1">IFERROR(__xludf.DUMMYFUNCTION("SUM(FILTER(J:J, H:H=""Chuyển khoản"")) - SUM(FILTER(K:K, H:H=""Chuyển khoản""))
"),4468984)</f>
        <v>4468984</v>
      </c>
      <c r="O1325" s="5"/>
      <c r="P1325" s="5"/>
      <c r="Q1325" s="5"/>
      <c r="R1325" s="5"/>
      <c r="S1325" s="5"/>
    </row>
    <row r="1326" spans="1:19" ht="15.75" customHeight="1" x14ac:dyDescent="0.2">
      <c r="A1326" s="3">
        <v>46034</v>
      </c>
      <c r="B1326" s="4" t="str">
        <f>IF(A1326="","","PC-"&amp;TEXT(A1326,"mm/yyyy")&amp;"-"&amp;TEXT(COUNTIFS($A$2:A1326,"&gt;="&amp;EOMONTH(A1326,-1)+1,$A$2:A1326,"&lt;="&amp;EOMONTH(A1326,0)),"000"))</f>
        <v>PC-01/2026-243</v>
      </c>
      <c r="C1326" s="5" t="s">
        <v>177</v>
      </c>
      <c r="D1326" s="5" t="s">
        <v>29</v>
      </c>
      <c r="E1326" s="5" t="s">
        <v>44</v>
      </c>
      <c r="F1326" s="5"/>
      <c r="G1326" s="5" t="s">
        <v>124</v>
      </c>
      <c r="H1326" s="5" t="s">
        <v>23</v>
      </c>
      <c r="I1326" s="6">
        <v>1500000</v>
      </c>
      <c r="J1326" s="6">
        <f>IF(D1326="Thu",I1326,0)</f>
        <v>0</v>
      </c>
      <c r="K1326" s="6">
        <f>IF(D1326="Chi",I1326,0)</f>
        <v>1500000</v>
      </c>
      <c r="L1326" s="6" t="e">
        <f>L1325+J1326-K1326</f>
        <v>#VALUE!</v>
      </c>
      <c r="M1326" s="6">
        <f ca="1">IFERROR(__xludf.DUMMYFUNCTION("SUM(FILTER(J:J, H:H=""Tiền mặt"")) - SUM(FILTER(K:K, H:H=""Tiền mặt""))
"),959000)</f>
        <v>959000</v>
      </c>
      <c r="N1326" s="6">
        <f ca="1">IFERROR(__xludf.DUMMYFUNCTION("SUM(FILTER(J:J, H:H=""Chuyển khoản"")) - SUM(FILTER(K:K, H:H=""Chuyển khoản""))
"),4468984)</f>
        <v>4468984</v>
      </c>
      <c r="O1326" s="5"/>
      <c r="P1326" s="5"/>
      <c r="Q1326" s="5"/>
      <c r="R1326" s="5"/>
      <c r="S1326" s="5"/>
    </row>
    <row r="1327" spans="1:19" ht="15.75" customHeight="1" x14ac:dyDescent="0.2">
      <c r="A1327" s="3">
        <v>46034</v>
      </c>
      <c r="B1327" s="4" t="str">
        <f>IF(A1327="","","PC-"&amp;TEXT(A1327,"mm/yyyy")&amp;"-"&amp;TEXT(COUNTIFS($A$2:A1327,"&gt;="&amp;EOMONTH(A1327,-1)+1,$A$2:A1327,"&lt;="&amp;EOMONTH(A1327,0)),"000"))</f>
        <v>PC-01/2026-244</v>
      </c>
      <c r="C1327" s="5" t="s">
        <v>178</v>
      </c>
      <c r="D1327" s="5" t="s">
        <v>29</v>
      </c>
      <c r="E1327" s="5" t="s">
        <v>47</v>
      </c>
      <c r="F1327" s="5"/>
      <c r="G1327" s="5" t="s">
        <v>48</v>
      </c>
      <c r="H1327" s="5" t="s">
        <v>23</v>
      </c>
      <c r="I1327" s="6">
        <v>50000</v>
      </c>
      <c r="J1327" s="6">
        <f>IF(D1327="Thu",I1327,0)</f>
        <v>0</v>
      </c>
      <c r="K1327" s="6">
        <f>IF(D1327="Chi",I1327,0)</f>
        <v>50000</v>
      </c>
      <c r="L1327" s="6" t="e">
        <f>L1326+J1327-K1327</f>
        <v>#VALUE!</v>
      </c>
      <c r="M1327" s="6">
        <f ca="1">IFERROR(__xludf.DUMMYFUNCTION("SUM(FILTER(J:J, H:H=""Tiền mặt"")) - SUM(FILTER(K:K, H:H=""Tiền mặt""))
"),959000)</f>
        <v>959000</v>
      </c>
      <c r="N1327" s="6">
        <f ca="1">IFERROR(__xludf.DUMMYFUNCTION("SUM(FILTER(J:J, H:H=""Chuyển khoản"")) - SUM(FILTER(K:K, H:H=""Chuyển khoản""))
"),4468984)</f>
        <v>4468984</v>
      </c>
      <c r="O1327" s="5"/>
      <c r="P1327" s="5"/>
      <c r="Q1327" s="5"/>
      <c r="R1327" s="5"/>
      <c r="S1327" s="5"/>
    </row>
    <row r="1328" spans="1:19" ht="15.75" customHeight="1" x14ac:dyDescent="0.2">
      <c r="A1328" s="3">
        <v>46034</v>
      </c>
      <c r="B1328" s="4" t="str">
        <f>IF(A1328="","","PC-"&amp;TEXT(A1328,"mm/yyyy")&amp;"-"&amp;TEXT(COUNTIFS($A$2:A1328,"&gt;="&amp;EOMONTH(A1328,-1)+1,$A$2:A1328,"&lt;="&amp;EOMONTH(A1328,0)),"000"))</f>
        <v>PC-01/2026-245</v>
      </c>
      <c r="C1328" s="5" t="s">
        <v>179</v>
      </c>
      <c r="D1328" s="5" t="s">
        <v>20</v>
      </c>
      <c r="E1328" s="5" t="s">
        <v>21</v>
      </c>
      <c r="F1328" s="5"/>
      <c r="G1328" s="5" t="s">
        <v>22</v>
      </c>
      <c r="H1328" s="5" t="s">
        <v>23</v>
      </c>
      <c r="I1328" s="6">
        <v>10000000</v>
      </c>
      <c r="J1328" s="6">
        <f>IF(D1328="Thu",I1328,0)</f>
        <v>10000000</v>
      </c>
      <c r="K1328" s="6">
        <f>IF(D1328="Chi",I1328,0)</f>
        <v>0</v>
      </c>
      <c r="L1328" s="6" t="e">
        <f>L1327+J1328-K1328</f>
        <v>#VALUE!</v>
      </c>
      <c r="M1328" s="6">
        <f ca="1">IFERROR(__xludf.DUMMYFUNCTION("SUM(FILTER(J:J, H:H=""Tiền mặt"")) - SUM(FILTER(K:K, H:H=""Tiền mặt""))
"),959000)</f>
        <v>959000</v>
      </c>
      <c r="N1328" s="6">
        <f ca="1">IFERROR(__xludf.DUMMYFUNCTION("SUM(FILTER(J:J, H:H=""Chuyển khoản"")) - SUM(FILTER(K:K, H:H=""Chuyển khoản""))
"),4468984)</f>
        <v>4468984</v>
      </c>
      <c r="O1328" s="5"/>
      <c r="P1328" s="5"/>
      <c r="Q1328" s="5"/>
      <c r="R1328" s="5"/>
      <c r="S1328" s="5"/>
    </row>
    <row r="1329" spans="1:19" ht="15.75" customHeight="1" x14ac:dyDescent="0.2">
      <c r="A1329" s="3">
        <v>46034</v>
      </c>
      <c r="B1329" s="4" t="str">
        <f>IF(A1329="","","PC-"&amp;TEXT(A1329,"mm/yyyy")&amp;"-"&amp;TEXT(COUNTIFS($A$2:A1329,"&gt;="&amp;EOMONTH(A1329,-1)+1,$A$2:A1329,"&lt;="&amp;EOMONTH(A1329,0)),"000"))</f>
        <v>PC-01/2026-246</v>
      </c>
      <c r="C1329" s="7" t="s">
        <v>180</v>
      </c>
      <c r="D1329" s="5" t="s">
        <v>29</v>
      </c>
      <c r="E1329" s="5" t="s">
        <v>64</v>
      </c>
      <c r="F1329" s="5"/>
      <c r="G1329" s="5" t="s">
        <v>86</v>
      </c>
      <c r="H1329" s="5" t="s">
        <v>27</v>
      </c>
      <c r="I1329" s="6">
        <v>320000</v>
      </c>
      <c r="J1329" s="6">
        <f>IF(D1329="Thu",I1329,0)</f>
        <v>0</v>
      </c>
      <c r="K1329" s="6">
        <f>IF(D1329="Chi",I1329,0)</f>
        <v>320000</v>
      </c>
      <c r="L1329" s="6" t="e">
        <f>L1328+J1329-K1329</f>
        <v>#VALUE!</v>
      </c>
      <c r="M1329" s="6">
        <f ca="1">IFERROR(__xludf.DUMMYFUNCTION("SUM(FILTER(J:J, H:H=""Tiền mặt"")) - SUM(FILTER(K:K, H:H=""Tiền mặt""))
"),959000)</f>
        <v>959000</v>
      </c>
      <c r="N1329" s="6">
        <f ca="1">IFERROR(__xludf.DUMMYFUNCTION("SUM(FILTER(J:J, H:H=""Chuyển khoản"")) - SUM(FILTER(K:K, H:H=""Chuyển khoản""))
"),4468984)</f>
        <v>4468984</v>
      </c>
      <c r="O1329" s="5"/>
      <c r="P1329" s="5"/>
      <c r="Q1329" s="5"/>
      <c r="R1329" s="5"/>
      <c r="S1329" s="5"/>
    </row>
    <row r="1330" spans="1:19" ht="15.75" customHeight="1" x14ac:dyDescent="0.2">
      <c r="A1330" s="3">
        <v>46034</v>
      </c>
      <c r="B1330" s="4" t="str">
        <f>IF(A1330="","","PC-"&amp;TEXT(A1330,"mm/yyyy")&amp;"-"&amp;TEXT(COUNTIFS($A$2:A1330,"&gt;="&amp;EOMONTH(A1330,-1)+1,$A$2:A1330,"&lt;="&amp;EOMONTH(A1330,0)),"000"))</f>
        <v>PC-01/2026-247</v>
      </c>
      <c r="C1330" s="5" t="s">
        <v>181</v>
      </c>
      <c r="D1330" s="5" t="s">
        <v>29</v>
      </c>
      <c r="E1330" s="5" t="s">
        <v>64</v>
      </c>
      <c r="F1330" s="5"/>
      <c r="G1330" s="5" t="s">
        <v>86</v>
      </c>
      <c r="H1330" s="5" t="s">
        <v>27</v>
      </c>
      <c r="I1330" s="6">
        <v>30000</v>
      </c>
      <c r="J1330" s="6">
        <f>IF(D1330="Thu",I1330,0)</f>
        <v>0</v>
      </c>
      <c r="K1330" s="6">
        <f>IF(D1330="Chi",I1330,0)</f>
        <v>30000</v>
      </c>
      <c r="L1330" s="6" t="e">
        <f>L1329+J1330-K1330</f>
        <v>#VALUE!</v>
      </c>
      <c r="M1330" s="6">
        <f ca="1">IFERROR(__xludf.DUMMYFUNCTION("SUM(FILTER(J:J, H:H=""Tiền mặt"")) - SUM(FILTER(K:K, H:H=""Tiền mặt""))
"),959000)</f>
        <v>959000</v>
      </c>
      <c r="N1330" s="6">
        <f ca="1">IFERROR(__xludf.DUMMYFUNCTION("SUM(FILTER(J:J, H:H=""Chuyển khoản"")) - SUM(FILTER(K:K, H:H=""Chuyển khoản""))
"),4468984)</f>
        <v>4468984</v>
      </c>
      <c r="O1330" s="5"/>
      <c r="P1330" s="5"/>
      <c r="Q1330" s="5"/>
      <c r="R1330" s="5"/>
      <c r="S1330" s="5"/>
    </row>
    <row r="1331" spans="1:19" ht="15.75" customHeight="1" x14ac:dyDescent="0.2">
      <c r="A1331" s="3">
        <v>46034</v>
      </c>
      <c r="B1331" s="4" t="str">
        <f>IF(A1331="","","PC-"&amp;TEXT(A1331,"mm/yyyy")&amp;"-"&amp;TEXT(COUNTIFS($A$2:A1331,"&gt;="&amp;EOMONTH(A1331,-1)+1,$A$2:A1331,"&lt;="&amp;EOMONTH(A1331,0)),"000"))</f>
        <v>PC-01/2026-248</v>
      </c>
      <c r="C1331" s="5" t="s">
        <v>182</v>
      </c>
      <c r="D1331" s="5" t="s">
        <v>29</v>
      </c>
      <c r="E1331" s="5" t="s">
        <v>71</v>
      </c>
      <c r="F1331" s="5"/>
      <c r="G1331" s="5" t="s">
        <v>122</v>
      </c>
      <c r="H1331" s="5" t="s">
        <v>27</v>
      </c>
      <c r="I1331" s="6">
        <v>101000</v>
      </c>
      <c r="J1331" s="6">
        <f>IF(D1331="Thu",I1331,0)</f>
        <v>0</v>
      </c>
      <c r="K1331" s="6">
        <f>IF(D1331="Chi",I1331,0)</f>
        <v>101000</v>
      </c>
      <c r="L1331" s="6" t="e">
        <f>L1330+J1331-K1331</f>
        <v>#VALUE!</v>
      </c>
      <c r="M1331" s="6">
        <f ca="1">IFERROR(__xludf.DUMMYFUNCTION("SUM(FILTER(J:J, H:H=""Tiền mặt"")) - SUM(FILTER(K:K, H:H=""Tiền mặt""))
"),959000)</f>
        <v>959000</v>
      </c>
      <c r="N1331" s="6">
        <f ca="1">IFERROR(__xludf.DUMMYFUNCTION("SUM(FILTER(J:J, H:H=""Chuyển khoản"")) - SUM(FILTER(K:K, H:H=""Chuyển khoản""))
"),4468984)</f>
        <v>4468984</v>
      </c>
      <c r="O1331" s="5"/>
      <c r="P1331" s="5"/>
      <c r="Q1331" s="5"/>
      <c r="R1331" s="5"/>
      <c r="S1331" s="5"/>
    </row>
    <row r="1332" spans="1:19" ht="15.75" customHeight="1" x14ac:dyDescent="0.2">
      <c r="A1332" s="3">
        <v>46034</v>
      </c>
      <c r="B1332" s="4" t="str">
        <f>IF(A1332="","","PC-"&amp;TEXT(A1332,"mm/yyyy")&amp;"-"&amp;TEXT(COUNTIFS($A$2:A1332,"&gt;="&amp;EOMONTH(A1332,-1)+1,$A$2:A1332,"&lt;="&amp;EOMONTH(A1332,0)),"000"))</f>
        <v>PC-01/2026-249</v>
      </c>
      <c r="C1332" s="5" t="s">
        <v>183</v>
      </c>
      <c r="D1332" s="5" t="s">
        <v>29</v>
      </c>
      <c r="E1332" s="5" t="s">
        <v>71</v>
      </c>
      <c r="F1332" s="5"/>
      <c r="G1332" s="5" t="s">
        <v>184</v>
      </c>
      <c r="H1332" s="5" t="s">
        <v>27</v>
      </c>
      <c r="I1332" s="6">
        <v>67000</v>
      </c>
      <c r="J1332" s="6">
        <f>IF(D1332="Thu",I1332,0)</f>
        <v>0</v>
      </c>
      <c r="K1332" s="6">
        <f>IF(D1332="Chi",I1332,0)</f>
        <v>67000</v>
      </c>
      <c r="L1332" s="6" t="e">
        <f>L1331+J1332-K1332</f>
        <v>#VALUE!</v>
      </c>
      <c r="M1332" s="6">
        <f ca="1">IFERROR(__xludf.DUMMYFUNCTION("SUM(FILTER(J:J, H:H=""Tiền mặt"")) - SUM(FILTER(K:K, H:H=""Tiền mặt""))
"),959000)</f>
        <v>959000</v>
      </c>
      <c r="N1332" s="6">
        <f ca="1">IFERROR(__xludf.DUMMYFUNCTION("SUM(FILTER(J:J, H:H=""Chuyển khoản"")) - SUM(FILTER(K:K, H:H=""Chuyển khoản""))
"),4468984)</f>
        <v>4468984</v>
      </c>
      <c r="O1332" s="5"/>
      <c r="P1332" s="5"/>
      <c r="Q1332" s="5"/>
      <c r="R1332" s="5"/>
      <c r="S1332" s="5"/>
    </row>
    <row r="1333" spans="1:19" ht="15.75" customHeight="1" x14ac:dyDescent="0.2">
      <c r="A1333" s="3">
        <v>46034</v>
      </c>
      <c r="B1333" s="4" t="str">
        <f>IF(A1333="","","PC-"&amp;TEXT(A1333,"mm/yyyy")&amp;"-"&amp;TEXT(COUNTIFS($A$2:A1333,"&gt;="&amp;EOMONTH(A1333,-1)+1,$A$2:A1333,"&lt;="&amp;EOMONTH(A1333,0)),"000"))</f>
        <v>PC-01/2026-250</v>
      </c>
      <c r="C1333" s="5" t="s">
        <v>185</v>
      </c>
      <c r="D1333" s="5" t="s">
        <v>29</v>
      </c>
      <c r="E1333" s="5" t="s">
        <v>51</v>
      </c>
      <c r="F1333" s="5"/>
      <c r="G1333" s="5" t="s">
        <v>52</v>
      </c>
      <c r="H1333" s="5" t="s">
        <v>27</v>
      </c>
      <c r="I1333" s="6">
        <v>321691</v>
      </c>
      <c r="J1333" s="6">
        <f>IF(D1333="Thu",I1333,0)</f>
        <v>0</v>
      </c>
      <c r="K1333" s="6">
        <f>IF(D1333="Chi",I1333,0)</f>
        <v>321691</v>
      </c>
      <c r="L1333" s="6" t="e">
        <f>L1332+J1333-K1333</f>
        <v>#VALUE!</v>
      </c>
      <c r="M1333" s="6">
        <f ca="1">IFERROR(__xludf.DUMMYFUNCTION("SUM(FILTER(J:J, H:H=""Tiền mặt"")) - SUM(FILTER(K:K, H:H=""Tiền mặt""))
"),959000)</f>
        <v>959000</v>
      </c>
      <c r="N1333" s="6">
        <f ca="1">IFERROR(__xludf.DUMMYFUNCTION("SUM(FILTER(J:J, H:H=""Chuyển khoản"")) - SUM(FILTER(K:K, H:H=""Chuyển khoản""))
"),4468984)</f>
        <v>4468984</v>
      </c>
      <c r="O1333" s="5"/>
      <c r="P1333" s="5"/>
      <c r="Q1333" s="5"/>
      <c r="R1333" s="5"/>
      <c r="S1333" s="5"/>
    </row>
    <row r="1334" spans="1:19" ht="15.75" customHeight="1" x14ac:dyDescent="0.2">
      <c r="A1334" s="3">
        <v>46034</v>
      </c>
      <c r="B1334" s="4" t="str">
        <f>IF(A1334="","","PC-"&amp;TEXT(A1334,"mm/yyyy")&amp;"-"&amp;TEXT(COUNTIFS($A$2:A1334,"&gt;="&amp;EOMONTH(A1334,-1)+1,$A$2:A1334,"&lt;="&amp;EOMONTH(A1334,0)),"000"))</f>
        <v>PC-01/2026-251</v>
      </c>
      <c r="C1334" s="5" t="s">
        <v>186</v>
      </c>
      <c r="D1334" s="5" t="s">
        <v>29</v>
      </c>
      <c r="E1334" s="5" t="s">
        <v>51</v>
      </c>
      <c r="F1334" s="5"/>
      <c r="G1334" s="5" t="s">
        <v>52</v>
      </c>
      <c r="H1334" s="5" t="s">
        <v>27</v>
      </c>
      <c r="I1334" s="6">
        <v>174651</v>
      </c>
      <c r="J1334" s="6">
        <f>IF(D1334="Thu",I1334,0)</f>
        <v>0</v>
      </c>
      <c r="K1334" s="6">
        <f>IF(D1334="Chi",I1334,0)</f>
        <v>174651</v>
      </c>
      <c r="L1334" s="6" t="e">
        <f>L1333+J1334-K1334</f>
        <v>#VALUE!</v>
      </c>
      <c r="M1334" s="6">
        <f ca="1">IFERROR(__xludf.DUMMYFUNCTION("SUM(FILTER(J:J, H:H=""Tiền mặt"")) - SUM(FILTER(K:K, H:H=""Tiền mặt""))
"),959000)</f>
        <v>959000</v>
      </c>
      <c r="N1334" s="6">
        <f ca="1">IFERROR(__xludf.DUMMYFUNCTION("SUM(FILTER(J:J, H:H=""Chuyển khoản"")) - SUM(FILTER(K:K, H:H=""Chuyển khoản""))
"),4468984)</f>
        <v>4468984</v>
      </c>
      <c r="O1334" s="5"/>
      <c r="P1334" s="5"/>
      <c r="Q1334" s="5"/>
      <c r="R1334" s="5"/>
      <c r="S1334" s="5"/>
    </row>
    <row r="1335" spans="1:19" ht="15.75" customHeight="1" x14ac:dyDescent="0.2">
      <c r="A1335" s="3">
        <v>46034</v>
      </c>
      <c r="B1335" s="4" t="str">
        <f>IF(A1335="","","PC-"&amp;TEXT(A1335,"mm/yyyy")&amp;"-"&amp;TEXT(COUNTIFS($A$2:A1335,"&gt;="&amp;EOMONTH(A1335,-1)+1,$A$2:A1335,"&lt;="&amp;EOMONTH(A1335,0)),"000"))</f>
        <v>PC-01/2026-252</v>
      </c>
      <c r="C1335" s="5" t="s">
        <v>187</v>
      </c>
      <c r="D1335" s="5" t="s">
        <v>29</v>
      </c>
      <c r="E1335" s="5" t="s">
        <v>71</v>
      </c>
      <c r="F1335" s="5"/>
      <c r="G1335" s="5" t="s">
        <v>31</v>
      </c>
      <c r="H1335" s="5" t="s">
        <v>27</v>
      </c>
      <c r="I1335" s="6">
        <v>67000</v>
      </c>
      <c r="J1335" s="6">
        <f>IF(D1335="Thu",I1335,0)</f>
        <v>0</v>
      </c>
      <c r="K1335" s="6">
        <f>IF(D1335="Chi",I1335,0)</f>
        <v>67000</v>
      </c>
      <c r="L1335" s="6" t="e">
        <f>L1334+J1335-K1335</f>
        <v>#VALUE!</v>
      </c>
      <c r="M1335" s="6">
        <f ca="1">IFERROR(__xludf.DUMMYFUNCTION("SUM(FILTER(J:J, H:H=""Tiền mặt"")) - SUM(FILTER(K:K, H:H=""Tiền mặt""))
"),959000)</f>
        <v>959000</v>
      </c>
      <c r="N1335" s="6">
        <f ca="1">IFERROR(__xludf.DUMMYFUNCTION("SUM(FILTER(J:J, H:H=""Chuyển khoản"")) - SUM(FILTER(K:K, H:H=""Chuyển khoản""))
"),4468984)</f>
        <v>4468984</v>
      </c>
      <c r="O1335" s="5"/>
      <c r="P1335" s="5"/>
      <c r="Q1335" s="5"/>
      <c r="R1335" s="5"/>
      <c r="S1335" s="5"/>
    </row>
    <row r="1336" spans="1:19" ht="15.75" customHeight="1" x14ac:dyDescent="0.2">
      <c r="A1336" s="3">
        <v>46034</v>
      </c>
      <c r="B1336" s="4" t="str">
        <f>IF(A1336="","","PC-"&amp;TEXT(A1336,"mm/yyyy")&amp;"-"&amp;TEXT(COUNTIFS($A$2:A1336,"&gt;="&amp;EOMONTH(A1336,-1)+1,$A$2:A1336,"&lt;="&amp;EOMONTH(A1336,0)),"000"))</f>
        <v>PC-01/2026-253</v>
      </c>
      <c r="C1336" s="5" t="s">
        <v>188</v>
      </c>
      <c r="D1336" s="5" t="s">
        <v>29</v>
      </c>
      <c r="E1336" s="5" t="s">
        <v>47</v>
      </c>
      <c r="F1336" s="5"/>
      <c r="G1336" s="5" t="s">
        <v>48</v>
      </c>
      <c r="H1336" s="5" t="s">
        <v>23</v>
      </c>
      <c r="I1336" s="6">
        <v>50000</v>
      </c>
      <c r="J1336" s="6">
        <f>IF(D1336="Thu",I1336,0)</f>
        <v>0</v>
      </c>
      <c r="K1336" s="6">
        <f>IF(D1336="Chi",I1336,0)</f>
        <v>50000</v>
      </c>
      <c r="L1336" s="6" t="e">
        <f>L1335+J1336-K1336</f>
        <v>#VALUE!</v>
      </c>
      <c r="M1336" s="6">
        <f ca="1">IFERROR(__xludf.DUMMYFUNCTION("SUM(FILTER(J:J, H:H=""Tiền mặt"")) - SUM(FILTER(K:K, H:H=""Tiền mặt""))
"),959000)</f>
        <v>959000</v>
      </c>
      <c r="N1336" s="6">
        <f ca="1">IFERROR(__xludf.DUMMYFUNCTION("SUM(FILTER(J:J, H:H=""Chuyển khoản"")) - SUM(FILTER(K:K, H:H=""Chuyển khoản""))
"),4468984)</f>
        <v>4468984</v>
      </c>
      <c r="O1336" s="5"/>
      <c r="P1336" s="5"/>
      <c r="Q1336" s="5"/>
      <c r="R1336" s="5"/>
      <c r="S1336" s="5"/>
    </row>
    <row r="1337" spans="1:19" ht="15.75" customHeight="1" x14ac:dyDescent="0.2">
      <c r="A1337" s="3">
        <v>46034</v>
      </c>
      <c r="B1337" s="4" t="str">
        <f>IF(A1337="","","PC-"&amp;TEXT(A1337,"mm/yyyy")&amp;"-"&amp;TEXT(COUNTIFS($A$2:A1337,"&gt;="&amp;EOMONTH(A1337,-1)+1,$A$2:A1337,"&lt;="&amp;EOMONTH(A1337,0)),"000"))</f>
        <v>PC-01/2026-254</v>
      </c>
      <c r="C1337" s="7" t="s">
        <v>189</v>
      </c>
      <c r="D1337" s="5" t="s">
        <v>29</v>
      </c>
      <c r="E1337" s="5" t="s">
        <v>88</v>
      </c>
      <c r="F1337" s="5"/>
      <c r="G1337" s="5" t="s">
        <v>113</v>
      </c>
      <c r="H1337" s="5" t="s">
        <v>23</v>
      </c>
      <c r="I1337" s="6">
        <v>900000</v>
      </c>
      <c r="J1337" s="6">
        <f>IF(D1337="Thu",I1337,0)</f>
        <v>0</v>
      </c>
      <c r="K1337" s="6">
        <f>IF(D1337="Chi",I1337,0)</f>
        <v>900000</v>
      </c>
      <c r="L1337" s="6" t="e">
        <f>L1336+J1337-K1337</f>
        <v>#VALUE!</v>
      </c>
      <c r="M1337" s="6">
        <f ca="1">IFERROR(__xludf.DUMMYFUNCTION("SUM(FILTER(J:J, H:H=""Tiền mặt"")) - SUM(FILTER(K:K, H:H=""Tiền mặt""))
"),959000)</f>
        <v>959000</v>
      </c>
      <c r="N1337" s="6">
        <f ca="1">IFERROR(__xludf.DUMMYFUNCTION("SUM(FILTER(J:J, H:H=""Chuyển khoản"")) - SUM(FILTER(K:K, H:H=""Chuyển khoản""))
"),4468984)</f>
        <v>4468984</v>
      </c>
      <c r="O1337" s="5"/>
      <c r="P1337" s="5"/>
      <c r="Q1337" s="5"/>
      <c r="R1337" s="5"/>
      <c r="S1337" s="5"/>
    </row>
    <row r="1338" spans="1:19" ht="15.75" customHeight="1" x14ac:dyDescent="0.2">
      <c r="A1338" s="3">
        <v>46032</v>
      </c>
      <c r="B1338" s="4" t="str">
        <f>IF(A1338="","","PC-"&amp;TEXT(A1338,"mm/yyyy")&amp;"-"&amp;TEXT(COUNTIFS($A$2:A1338,"&gt;="&amp;EOMONTH(A1338,-1)+1,$A$2:A1338,"&lt;="&amp;EOMONTH(A1338,0)),"000"))</f>
        <v>PC-01/2026-255</v>
      </c>
      <c r="C1338" s="52" t="s">
        <v>160</v>
      </c>
      <c r="D1338" s="5" t="s">
        <v>29</v>
      </c>
      <c r="E1338" s="5" t="s">
        <v>36</v>
      </c>
      <c r="F1338" s="5"/>
      <c r="G1338" s="5" t="s">
        <v>37</v>
      </c>
      <c r="H1338" s="5" t="s">
        <v>23</v>
      </c>
      <c r="I1338" s="6">
        <v>135000</v>
      </c>
      <c r="J1338" s="6">
        <f>IF(D1338="Thu",I1338,0)</f>
        <v>0</v>
      </c>
      <c r="K1338" s="6">
        <f>IF(D1338="Chi",I1338,0)</f>
        <v>135000</v>
      </c>
      <c r="L1338" s="6" t="e">
        <f>L1337+J1338-K1338</f>
        <v>#VALUE!</v>
      </c>
      <c r="M1338" s="6">
        <f ca="1">IFERROR(__xludf.DUMMYFUNCTION("SUM(FILTER(J:J, H:H=""Tiền mặt"")) - SUM(FILTER(K:K, H:H=""Tiền mặt""))
"),959000)</f>
        <v>959000</v>
      </c>
      <c r="N1338" s="6">
        <f ca="1">IFERROR(__xludf.DUMMYFUNCTION("SUM(FILTER(J:J, H:H=""Chuyển khoản"")) - SUM(FILTER(K:K, H:H=""Chuyển khoản""))
"),4468984)</f>
        <v>4468984</v>
      </c>
      <c r="O1338" s="5"/>
      <c r="P1338" s="5"/>
      <c r="Q1338" s="5"/>
      <c r="R1338" s="5"/>
      <c r="S1338" s="5"/>
    </row>
    <row r="1339" spans="1:19" ht="15.75" customHeight="1" x14ac:dyDescent="0.2">
      <c r="A1339" s="3">
        <v>46032</v>
      </c>
      <c r="B1339" s="4" t="str">
        <f>IF(A1339="","","PC-"&amp;TEXT(A1339,"mm/yyyy")&amp;"-"&amp;TEXT(COUNTIFS($A$2:A1339,"&gt;="&amp;EOMONTH(A1339,-1)+1,$A$2:A1339,"&lt;="&amp;EOMONTH(A1339,0)),"000"))</f>
        <v>PC-01/2026-256</v>
      </c>
      <c r="C1339" s="5" t="s">
        <v>161</v>
      </c>
      <c r="D1339" s="5" t="s">
        <v>29</v>
      </c>
      <c r="E1339" s="5" t="s">
        <v>64</v>
      </c>
      <c r="F1339" s="5"/>
      <c r="G1339" s="5" t="s">
        <v>162</v>
      </c>
      <c r="H1339" s="5" t="s">
        <v>23</v>
      </c>
      <c r="I1339" s="6">
        <v>2000000</v>
      </c>
      <c r="J1339" s="6">
        <f>IF(D1339="Thu",I1339,0)</f>
        <v>0</v>
      </c>
      <c r="K1339" s="6">
        <f>IF(D1339="Chi",I1339,0)</f>
        <v>2000000</v>
      </c>
      <c r="L1339" s="6" t="e">
        <f>L1338+J1339-K1339</f>
        <v>#VALUE!</v>
      </c>
      <c r="M1339" s="6">
        <f ca="1">IFERROR(__xludf.DUMMYFUNCTION("SUM(FILTER(J:J, H:H=""Tiền mặt"")) - SUM(FILTER(K:K, H:H=""Tiền mặt""))
"),959000)</f>
        <v>959000</v>
      </c>
      <c r="N1339" s="6">
        <f ca="1">IFERROR(__xludf.DUMMYFUNCTION("SUM(FILTER(J:J, H:H=""Chuyển khoản"")) - SUM(FILTER(K:K, H:H=""Chuyển khoản""))
"),4468984)</f>
        <v>4468984</v>
      </c>
      <c r="O1339" s="5"/>
      <c r="P1339" s="5"/>
      <c r="Q1339" s="5"/>
      <c r="R1339" s="5"/>
      <c r="S1339" s="5"/>
    </row>
    <row r="1340" spans="1:19" ht="15.75" customHeight="1" x14ac:dyDescent="0.2">
      <c r="A1340" s="3">
        <v>46032</v>
      </c>
      <c r="B1340" s="4" t="str">
        <f>IF(A1340="","","PC-"&amp;TEXT(A1340,"mm/yyyy")&amp;"-"&amp;TEXT(COUNTIFS($A$2:A1340,"&gt;="&amp;EOMONTH(A1340,-1)+1,$A$2:A1340,"&lt;="&amp;EOMONTH(A1340,0)),"000"))</f>
        <v>PC-01/2026-257</v>
      </c>
      <c r="C1340" s="5" t="s">
        <v>163</v>
      </c>
      <c r="D1340" s="5" t="s">
        <v>29</v>
      </c>
      <c r="E1340" s="5" t="s">
        <v>41</v>
      </c>
      <c r="F1340" s="5"/>
      <c r="G1340" s="5" t="s">
        <v>82</v>
      </c>
      <c r="H1340" s="5" t="s">
        <v>23</v>
      </c>
      <c r="I1340" s="6">
        <v>100000</v>
      </c>
      <c r="J1340" s="6">
        <f>IF(D1340="Thu",I1340,0)</f>
        <v>0</v>
      </c>
      <c r="K1340" s="6">
        <f>IF(D1340="Chi",I1340,0)</f>
        <v>100000</v>
      </c>
      <c r="L1340" s="6" t="e">
        <f>L1339+J1340-K1340</f>
        <v>#VALUE!</v>
      </c>
      <c r="M1340" s="6">
        <f ca="1">IFERROR(__xludf.DUMMYFUNCTION("SUM(FILTER(J:J, H:H=""Tiền mặt"")) - SUM(FILTER(K:K, H:H=""Tiền mặt""))
"),959000)</f>
        <v>959000</v>
      </c>
      <c r="N1340" s="6">
        <f ca="1">IFERROR(__xludf.DUMMYFUNCTION("SUM(FILTER(J:J, H:H=""Chuyển khoản"")) - SUM(FILTER(K:K, H:H=""Chuyển khoản""))
"),4468984)</f>
        <v>4468984</v>
      </c>
      <c r="O1340" s="5"/>
      <c r="P1340" s="5"/>
      <c r="Q1340" s="5"/>
      <c r="R1340" s="5"/>
      <c r="S1340" s="5"/>
    </row>
    <row r="1341" spans="1:19" ht="15.75" customHeight="1" x14ac:dyDescent="0.2">
      <c r="A1341" s="3">
        <v>46032</v>
      </c>
      <c r="B1341" s="4" t="str">
        <f>IF(A1341="","","PC-"&amp;TEXT(A1341,"mm/yyyy")&amp;"-"&amp;TEXT(COUNTIFS($A$2:A1341,"&gt;="&amp;EOMONTH(A1341,-1)+1,$A$2:A1341,"&lt;="&amp;EOMONTH(A1341,0)),"000"))</f>
        <v>PC-01/2026-258</v>
      </c>
      <c r="C1341" s="5" t="s">
        <v>164</v>
      </c>
      <c r="D1341" s="5" t="s">
        <v>29</v>
      </c>
      <c r="E1341" s="5" t="s">
        <v>41</v>
      </c>
      <c r="F1341" s="5"/>
      <c r="G1341" s="5" t="s">
        <v>84</v>
      </c>
      <c r="H1341" s="5" t="s">
        <v>23</v>
      </c>
      <c r="I1341" s="6">
        <v>100000</v>
      </c>
      <c r="J1341" s="6">
        <f>IF(D1341="Thu",I1341,0)</f>
        <v>0</v>
      </c>
      <c r="K1341" s="6">
        <f>IF(D1341="Chi",I1341,0)</f>
        <v>100000</v>
      </c>
      <c r="L1341" s="6" t="e">
        <f>L1340+J1341-K1341</f>
        <v>#VALUE!</v>
      </c>
      <c r="M1341" s="6">
        <f ca="1">IFERROR(__xludf.DUMMYFUNCTION("SUM(FILTER(J:J, H:H=""Tiền mặt"")) - SUM(FILTER(K:K, H:H=""Tiền mặt""))
"),959000)</f>
        <v>959000</v>
      </c>
      <c r="N1341" s="6">
        <f ca="1">IFERROR(__xludf.DUMMYFUNCTION("SUM(FILTER(J:J, H:H=""Chuyển khoản"")) - SUM(FILTER(K:K, H:H=""Chuyển khoản""))
"),4468984)</f>
        <v>4468984</v>
      </c>
      <c r="O1341" s="5"/>
      <c r="P1341" s="5"/>
      <c r="Q1341" s="5"/>
      <c r="R1341" s="5"/>
      <c r="S1341" s="5"/>
    </row>
    <row r="1342" spans="1:19" ht="15.75" customHeight="1" x14ac:dyDescent="0.2">
      <c r="A1342" s="3">
        <v>46032</v>
      </c>
      <c r="B1342" s="4" t="str">
        <f>IF(A1342="","","PC-"&amp;TEXT(A1342,"mm/yyyy")&amp;"-"&amp;TEXT(COUNTIFS($A$2:A1342,"&gt;="&amp;EOMONTH(A1342,-1)+1,$A$2:A1342,"&lt;="&amp;EOMONTH(A1342,0)),"000"))</f>
        <v>PC-01/2026-259</v>
      </c>
      <c r="C1342" s="5" t="s">
        <v>165</v>
      </c>
      <c r="D1342" s="5" t="s">
        <v>29</v>
      </c>
      <c r="E1342" s="5" t="s">
        <v>51</v>
      </c>
      <c r="F1342" s="5"/>
      <c r="G1342" s="5" t="s">
        <v>52</v>
      </c>
      <c r="H1342" s="5" t="s">
        <v>27</v>
      </c>
      <c r="I1342" s="6">
        <v>140918</v>
      </c>
      <c r="J1342" s="6">
        <f>IF(D1342="Thu",I1342,0)</f>
        <v>0</v>
      </c>
      <c r="K1342" s="6">
        <f>IF(D1342="Chi",I1342,0)</f>
        <v>140918</v>
      </c>
      <c r="L1342" s="6" t="e">
        <f>L1341+J1342-K1342</f>
        <v>#VALUE!</v>
      </c>
      <c r="M1342" s="6">
        <f ca="1">IFERROR(__xludf.DUMMYFUNCTION("SUM(FILTER(J:J, H:H=""Tiền mặt"")) - SUM(FILTER(K:K, H:H=""Tiền mặt""))
"),959000)</f>
        <v>959000</v>
      </c>
      <c r="N1342" s="6">
        <f ca="1">IFERROR(__xludf.DUMMYFUNCTION("SUM(FILTER(J:J, H:H=""Chuyển khoản"")) - SUM(FILTER(K:K, H:H=""Chuyển khoản""))
"),4468984)</f>
        <v>4468984</v>
      </c>
      <c r="O1342" s="5"/>
      <c r="P1342" s="5"/>
      <c r="Q1342" s="5"/>
      <c r="R1342" s="5"/>
      <c r="S1342" s="5"/>
    </row>
    <row r="1343" spans="1:19" ht="15.75" customHeight="1" x14ac:dyDescent="0.2">
      <c r="A1343" s="3">
        <v>46032</v>
      </c>
      <c r="B1343" s="4" t="str">
        <f>IF(A1343="","","PC-"&amp;TEXT(A1343,"mm/yyyy")&amp;"-"&amp;TEXT(COUNTIFS($A$2:A1343,"&gt;="&amp;EOMONTH(A1343,-1)+1,$A$2:A1343,"&lt;="&amp;EOMONTH(A1343,0)),"000"))</f>
        <v>PC-01/2026-260</v>
      </c>
      <c r="C1343" s="5" t="s">
        <v>166</v>
      </c>
      <c r="D1343" s="5" t="s">
        <v>29</v>
      </c>
      <c r="E1343" s="5" t="s">
        <v>51</v>
      </c>
      <c r="F1343" s="5"/>
      <c r="G1343" s="5" t="s">
        <v>52</v>
      </c>
      <c r="H1343" s="5" t="s">
        <v>27</v>
      </c>
      <c r="I1343" s="6">
        <v>126818</v>
      </c>
      <c r="J1343" s="6">
        <f>IF(D1343="Thu",I1343,0)</f>
        <v>0</v>
      </c>
      <c r="K1343" s="6">
        <f>IF(D1343="Chi",I1343,0)</f>
        <v>126818</v>
      </c>
      <c r="L1343" s="6" t="e">
        <f>L1342+J1343-K1343</f>
        <v>#VALUE!</v>
      </c>
      <c r="M1343" s="6">
        <f ca="1">IFERROR(__xludf.DUMMYFUNCTION("SUM(FILTER(J:J, H:H=""Tiền mặt"")) - SUM(FILTER(K:K, H:H=""Tiền mặt""))
"),959000)</f>
        <v>959000</v>
      </c>
      <c r="N1343" s="6">
        <f ca="1">IFERROR(__xludf.DUMMYFUNCTION("SUM(FILTER(J:J, H:H=""Chuyển khoản"")) - SUM(FILTER(K:K, H:H=""Chuyển khoản""))
"),4468984)</f>
        <v>4468984</v>
      </c>
      <c r="O1343" s="5"/>
      <c r="P1343" s="5"/>
      <c r="Q1343" s="5"/>
      <c r="R1343" s="5"/>
      <c r="S1343" s="5"/>
    </row>
    <row r="1344" spans="1:19" ht="15.75" customHeight="1" x14ac:dyDescent="0.2">
      <c r="A1344" s="3">
        <v>46032</v>
      </c>
      <c r="B1344" s="4" t="str">
        <f>IF(A1344="","","PC-"&amp;TEXT(A1344,"mm/yyyy")&amp;"-"&amp;TEXT(COUNTIFS($A$2:A1344,"&gt;="&amp;EOMONTH(A1344,-1)+1,$A$2:A1344,"&lt;="&amp;EOMONTH(A1344,0)),"000"))</f>
        <v>PC-01/2026-261</v>
      </c>
      <c r="C1344" s="5" t="s">
        <v>167</v>
      </c>
      <c r="D1344" s="5" t="s">
        <v>29</v>
      </c>
      <c r="E1344" s="5" t="s">
        <v>71</v>
      </c>
      <c r="F1344" s="5"/>
      <c r="G1344" s="5" t="s">
        <v>122</v>
      </c>
      <c r="H1344" s="5" t="s">
        <v>27</v>
      </c>
      <c r="I1344" s="6">
        <v>78000</v>
      </c>
      <c r="J1344" s="6">
        <f>IF(D1344="Thu",I1344,0)</f>
        <v>0</v>
      </c>
      <c r="K1344" s="6">
        <f>IF(D1344="Chi",I1344,0)</f>
        <v>78000</v>
      </c>
      <c r="L1344" s="6" t="e">
        <f>L1343+J1344-K1344</f>
        <v>#VALUE!</v>
      </c>
      <c r="M1344" s="6">
        <f ca="1">IFERROR(__xludf.DUMMYFUNCTION("SUM(FILTER(J:J, H:H=""Tiền mặt"")) - SUM(FILTER(K:K, H:H=""Tiền mặt""))
"),959000)</f>
        <v>959000</v>
      </c>
      <c r="N1344" s="6">
        <f ca="1">IFERROR(__xludf.DUMMYFUNCTION("SUM(FILTER(J:J, H:H=""Chuyển khoản"")) - SUM(FILTER(K:K, H:H=""Chuyển khoản""))
"),4468984)</f>
        <v>4468984</v>
      </c>
      <c r="O1344" s="5"/>
      <c r="P1344" s="5"/>
      <c r="Q1344" s="5"/>
      <c r="R1344" s="5"/>
      <c r="S1344" s="5"/>
    </row>
    <row r="1345" spans="1:19" ht="15.75" customHeight="1" x14ac:dyDescent="0.2">
      <c r="A1345" s="3">
        <v>46032</v>
      </c>
      <c r="B1345" s="4" t="str">
        <f>IF(A1345="","","PC-"&amp;TEXT(A1345,"mm/yyyy")&amp;"-"&amp;TEXT(COUNTIFS($A$2:A1345,"&gt;="&amp;EOMONTH(A1345,-1)+1,$A$2:A1345,"&lt;="&amp;EOMONTH(A1345,0)),"000"))</f>
        <v>PC-01/2026-262</v>
      </c>
      <c r="C1345" s="5" t="s">
        <v>168</v>
      </c>
      <c r="D1345" s="5" t="s">
        <v>29</v>
      </c>
      <c r="E1345" s="5" t="s">
        <v>153</v>
      </c>
      <c r="F1345" s="5"/>
      <c r="G1345" s="5" t="s">
        <v>72</v>
      </c>
      <c r="H1345" s="5" t="s">
        <v>27</v>
      </c>
      <c r="I1345" s="6">
        <v>233000</v>
      </c>
      <c r="J1345" s="6">
        <f>IF(D1345="Thu",I1345,0)</f>
        <v>0</v>
      </c>
      <c r="K1345" s="6">
        <f>IF(D1345="Chi",I1345,0)</f>
        <v>233000</v>
      </c>
      <c r="L1345" s="6" t="e">
        <f>L1344+J1345-K1345</f>
        <v>#VALUE!</v>
      </c>
      <c r="M1345" s="6">
        <f ca="1">IFERROR(__xludf.DUMMYFUNCTION("SUM(FILTER(J:J, H:H=""Tiền mặt"")) - SUM(FILTER(K:K, H:H=""Tiền mặt""))
"),959000)</f>
        <v>959000</v>
      </c>
      <c r="N1345" s="6">
        <f ca="1">IFERROR(__xludf.DUMMYFUNCTION("SUM(FILTER(J:J, H:H=""Chuyển khoản"")) - SUM(FILTER(K:K, H:H=""Chuyển khoản""))
"),4468984)</f>
        <v>4468984</v>
      </c>
      <c r="O1345" s="5"/>
      <c r="P1345" s="5"/>
      <c r="Q1345" s="5"/>
      <c r="R1345" s="5"/>
      <c r="S1345" s="5"/>
    </row>
    <row r="1346" spans="1:19" ht="15.75" customHeight="1" x14ac:dyDescent="0.2">
      <c r="A1346" s="3">
        <v>46032</v>
      </c>
      <c r="B1346" s="4" t="str">
        <f>IF(A1346="","","PC-"&amp;TEXT(A1346,"mm/yyyy")&amp;"-"&amp;TEXT(COUNTIFS($A$2:A1346,"&gt;="&amp;EOMONTH(A1346,-1)+1,$A$2:A1346,"&lt;="&amp;EOMONTH(A1346,0)),"000"))</f>
        <v>PC-01/2026-263</v>
      </c>
      <c r="C1346" s="5" t="s">
        <v>169</v>
      </c>
      <c r="D1346" s="5" t="s">
        <v>29</v>
      </c>
      <c r="E1346" s="5" t="s">
        <v>71</v>
      </c>
      <c r="F1346" s="5"/>
      <c r="G1346" s="5" t="s">
        <v>122</v>
      </c>
      <c r="H1346" s="5" t="s">
        <v>27</v>
      </c>
      <c r="I1346" s="6">
        <v>77000</v>
      </c>
      <c r="J1346" s="6">
        <f>IF(D1346="Thu",I1346,0)</f>
        <v>0</v>
      </c>
      <c r="K1346" s="6">
        <f>IF(D1346="Chi",I1346,0)</f>
        <v>77000</v>
      </c>
      <c r="L1346" s="6" t="e">
        <f>L1345+J1346-K1346</f>
        <v>#VALUE!</v>
      </c>
      <c r="M1346" s="6">
        <f ca="1">IFERROR(__xludf.DUMMYFUNCTION("SUM(FILTER(J:J, H:H=""Tiền mặt"")) - SUM(FILTER(K:K, H:H=""Tiền mặt""))
"),959000)</f>
        <v>959000</v>
      </c>
      <c r="N1346" s="6">
        <f ca="1">IFERROR(__xludf.DUMMYFUNCTION("SUM(FILTER(J:J, H:H=""Chuyển khoản"")) - SUM(FILTER(K:K, H:H=""Chuyển khoản""))
"),4468984)</f>
        <v>4468984</v>
      </c>
      <c r="O1346" s="5"/>
      <c r="P1346" s="5"/>
      <c r="Q1346" s="5"/>
      <c r="R1346" s="5"/>
      <c r="S1346" s="5"/>
    </row>
    <row r="1347" spans="1:19" ht="15.75" customHeight="1" x14ac:dyDescent="0.2">
      <c r="A1347" s="3">
        <v>46031</v>
      </c>
      <c r="B1347" s="4" t="str">
        <f>IF(A1347="","","PC-"&amp;TEXT(A1347,"mm/yyyy")&amp;"-"&amp;TEXT(COUNTIFS($A$2:A1347,"&gt;="&amp;EOMONTH(A1347,-1)+1,$A$2:A1347,"&lt;="&amp;EOMONTH(A1347,0)),"000"))</f>
        <v>PC-01/2026-264</v>
      </c>
      <c r="C1347" s="5" t="s">
        <v>144</v>
      </c>
      <c r="D1347" s="5" t="s">
        <v>29</v>
      </c>
      <c r="E1347" s="5" t="s">
        <v>41</v>
      </c>
      <c r="F1347" s="5"/>
      <c r="G1347" s="5" t="s">
        <v>84</v>
      </c>
      <c r="H1347" s="5" t="s">
        <v>23</v>
      </c>
      <c r="I1347" s="6">
        <v>100000</v>
      </c>
      <c r="J1347" s="6">
        <f>IF(D1347="Thu",I1347,0)</f>
        <v>0</v>
      </c>
      <c r="K1347" s="6">
        <f>IF(D1347="Chi",I1347,0)</f>
        <v>100000</v>
      </c>
      <c r="L1347" s="6" t="e">
        <f>L1346+J1347-K1347</f>
        <v>#VALUE!</v>
      </c>
      <c r="M1347" s="6">
        <f ca="1">IFERROR(__xludf.DUMMYFUNCTION("SUM(FILTER(J:J, H:H=""Tiền mặt"")) - SUM(FILTER(K:K, H:H=""Tiền mặt""))
"),959000)</f>
        <v>959000</v>
      </c>
      <c r="N1347" s="6">
        <f ca="1">IFERROR(__xludf.DUMMYFUNCTION("SUM(FILTER(J:J, H:H=""Chuyển khoản"")) - SUM(FILTER(K:K, H:H=""Chuyển khoản""))
"),4468984)</f>
        <v>4468984</v>
      </c>
      <c r="O1347" s="5"/>
      <c r="P1347" s="5"/>
      <c r="Q1347" s="5"/>
      <c r="R1347" s="5"/>
      <c r="S1347" s="5"/>
    </row>
    <row r="1348" spans="1:19" ht="15.75" customHeight="1" x14ac:dyDescent="0.2">
      <c r="A1348" s="3">
        <v>46031</v>
      </c>
      <c r="B1348" s="4" t="str">
        <f>IF(A1348="","","PC-"&amp;TEXT(A1348,"mm/yyyy")&amp;"-"&amp;TEXT(COUNTIFS($A$2:A1348,"&gt;="&amp;EOMONTH(A1348,-1)+1,$A$2:A1348,"&lt;="&amp;EOMONTH(A1348,0)),"000"))</f>
        <v>PC-01/2026-265</v>
      </c>
      <c r="C1348" s="5" t="s">
        <v>68</v>
      </c>
      <c r="D1348" s="5" t="s">
        <v>20</v>
      </c>
      <c r="E1348" s="5" t="s">
        <v>68</v>
      </c>
      <c r="F1348" s="5"/>
      <c r="G1348" s="5" t="s">
        <v>145</v>
      </c>
      <c r="H1348" s="5" t="s">
        <v>23</v>
      </c>
      <c r="I1348" s="6">
        <v>200000</v>
      </c>
      <c r="J1348" s="6">
        <f>IF(D1348="Thu",I1348,0)</f>
        <v>200000</v>
      </c>
      <c r="K1348" s="6">
        <f>IF(D1348="Chi",I1348,0)</f>
        <v>0</v>
      </c>
      <c r="L1348" s="6" t="e">
        <f>L1347+J1348-K1348</f>
        <v>#VALUE!</v>
      </c>
      <c r="M1348" s="6">
        <f ca="1">IFERROR(__xludf.DUMMYFUNCTION("SUM(FILTER(J:J, H:H=""Tiền mặt"")) - SUM(FILTER(K:K, H:H=""Tiền mặt""))
"),959000)</f>
        <v>959000</v>
      </c>
      <c r="N1348" s="6">
        <f ca="1">IFERROR(__xludf.DUMMYFUNCTION("SUM(FILTER(J:J, H:H=""Chuyển khoản"")) - SUM(FILTER(K:K, H:H=""Chuyển khoản""))
"),4468984)</f>
        <v>4468984</v>
      </c>
      <c r="O1348" s="5"/>
      <c r="P1348" s="5"/>
      <c r="Q1348" s="5"/>
      <c r="R1348" s="5"/>
      <c r="S1348" s="5"/>
    </row>
    <row r="1349" spans="1:19" ht="15.75" customHeight="1" x14ac:dyDescent="0.2">
      <c r="A1349" s="3">
        <v>46031</v>
      </c>
      <c r="B1349" s="4" t="str">
        <f>IF(A1349="","","PC-"&amp;TEXT(A1349,"mm/yyyy")&amp;"-"&amp;TEXT(COUNTIFS($A$2:A1349,"&gt;="&amp;EOMONTH(A1349,-1)+1,$A$2:A1349,"&lt;="&amp;EOMONTH(A1349,0)),"000"))</f>
        <v>PC-01/2026-266</v>
      </c>
      <c r="C1349" s="5" t="s">
        <v>146</v>
      </c>
      <c r="D1349" s="5" t="s">
        <v>29</v>
      </c>
      <c r="E1349" s="5" t="s">
        <v>51</v>
      </c>
      <c r="F1349" s="5"/>
      <c r="G1349" s="5" t="s">
        <v>52</v>
      </c>
      <c r="H1349" s="5" t="s">
        <v>27</v>
      </c>
      <c r="I1349" s="6">
        <v>129542</v>
      </c>
      <c r="J1349" s="6">
        <f>IF(D1349="Thu",I1349,0)</f>
        <v>0</v>
      </c>
      <c r="K1349" s="6">
        <f>IF(D1349="Chi",I1349,0)</f>
        <v>129542</v>
      </c>
      <c r="L1349" s="6" t="e">
        <f>L1348+J1349-K1349</f>
        <v>#VALUE!</v>
      </c>
      <c r="M1349" s="6">
        <f ca="1">IFERROR(__xludf.DUMMYFUNCTION("SUM(FILTER(J:J, H:H=""Tiền mặt"")) - SUM(FILTER(K:K, H:H=""Tiền mặt""))
"),959000)</f>
        <v>959000</v>
      </c>
      <c r="N1349" s="6">
        <f ca="1">IFERROR(__xludf.DUMMYFUNCTION("SUM(FILTER(J:J, H:H=""Chuyển khoản"")) - SUM(FILTER(K:K, H:H=""Chuyển khoản""))
"),4468984)</f>
        <v>4468984</v>
      </c>
      <c r="O1349" s="5"/>
      <c r="P1349" s="5"/>
      <c r="Q1349" s="5"/>
      <c r="R1349" s="5"/>
      <c r="S1349" s="5"/>
    </row>
    <row r="1350" spans="1:19" ht="15.75" customHeight="1" x14ac:dyDescent="0.2">
      <c r="A1350" s="3">
        <v>46031</v>
      </c>
      <c r="B1350" s="4" t="str">
        <f>IF(A1350="","","PC-"&amp;TEXT(A1350,"mm/yyyy")&amp;"-"&amp;TEXT(COUNTIFS($A$2:A1350,"&gt;="&amp;EOMONTH(A1350,-1)+1,$A$2:A1350,"&lt;="&amp;EOMONTH(A1350,0)),"000"))</f>
        <v>PC-01/2026-267</v>
      </c>
      <c r="C1350" s="5" t="s">
        <v>147</v>
      </c>
      <c r="D1350" s="5" t="s">
        <v>29</v>
      </c>
      <c r="E1350" s="5" t="s">
        <v>51</v>
      </c>
      <c r="F1350" s="5"/>
      <c r="G1350" s="5" t="s">
        <v>52</v>
      </c>
      <c r="H1350" s="5" t="s">
        <v>27</v>
      </c>
      <c r="I1350" s="6">
        <v>233617</v>
      </c>
      <c r="J1350" s="6">
        <f>IF(D1350="Thu",I1350,0)</f>
        <v>0</v>
      </c>
      <c r="K1350" s="6">
        <f>IF(D1350="Chi",I1350,0)</f>
        <v>233617</v>
      </c>
      <c r="L1350" s="6" t="e">
        <f>L1349+J1350-K1350</f>
        <v>#VALUE!</v>
      </c>
      <c r="M1350" s="6">
        <f ca="1">IFERROR(__xludf.DUMMYFUNCTION("SUM(FILTER(J:J, H:H=""Tiền mặt"")) - SUM(FILTER(K:K, H:H=""Tiền mặt""))
"),959000)</f>
        <v>959000</v>
      </c>
      <c r="N1350" s="6">
        <f ca="1">IFERROR(__xludf.DUMMYFUNCTION("SUM(FILTER(J:J, H:H=""Chuyển khoản"")) - SUM(FILTER(K:K, H:H=""Chuyển khoản""))
"),4468984)</f>
        <v>4468984</v>
      </c>
      <c r="O1350" s="5"/>
      <c r="P1350" s="5"/>
      <c r="Q1350" s="5"/>
      <c r="R1350" s="5"/>
      <c r="S1350" s="5"/>
    </row>
    <row r="1351" spans="1:19" ht="15.75" customHeight="1" x14ac:dyDescent="0.2">
      <c r="A1351" s="3">
        <v>46031</v>
      </c>
      <c r="B1351" s="4" t="str">
        <f>IF(A1351="","","PC-"&amp;TEXT(A1351,"mm/yyyy")&amp;"-"&amp;TEXT(COUNTIFS($A$2:A1351,"&gt;="&amp;EOMONTH(A1351,-1)+1,$A$2:A1351,"&lt;="&amp;EOMONTH(A1351,0)),"000"))</f>
        <v>PC-01/2026-268</v>
      </c>
      <c r="C1351" s="5" t="s">
        <v>148</v>
      </c>
      <c r="D1351" s="5" t="s">
        <v>29</v>
      </c>
      <c r="E1351" s="5" t="s">
        <v>51</v>
      </c>
      <c r="F1351" s="5"/>
      <c r="G1351" s="5" t="s">
        <v>52</v>
      </c>
      <c r="H1351" s="5" t="s">
        <v>27</v>
      </c>
      <c r="I1351" s="6">
        <v>101539</v>
      </c>
      <c r="J1351" s="6">
        <f>IF(D1351="Thu",I1351,0)</f>
        <v>0</v>
      </c>
      <c r="K1351" s="6">
        <f>IF(D1351="Chi",I1351,0)</f>
        <v>101539</v>
      </c>
      <c r="L1351" s="6" t="e">
        <f>L1350+J1351-K1351</f>
        <v>#VALUE!</v>
      </c>
      <c r="M1351" s="6">
        <f ca="1">IFERROR(__xludf.DUMMYFUNCTION("SUM(FILTER(J:J, H:H=""Tiền mặt"")) - SUM(FILTER(K:K, H:H=""Tiền mặt""))
"),959000)</f>
        <v>959000</v>
      </c>
      <c r="N1351" s="6">
        <f ca="1">IFERROR(__xludf.DUMMYFUNCTION("SUM(FILTER(J:J, H:H=""Chuyển khoản"")) - SUM(FILTER(K:K, H:H=""Chuyển khoản""))
"),4468984)</f>
        <v>4468984</v>
      </c>
      <c r="O1351" s="5"/>
      <c r="P1351" s="5"/>
      <c r="Q1351" s="5"/>
      <c r="R1351" s="5"/>
      <c r="S1351" s="5"/>
    </row>
    <row r="1352" spans="1:19" ht="15.75" customHeight="1" x14ac:dyDescent="0.2">
      <c r="A1352" s="3">
        <v>46031</v>
      </c>
      <c r="B1352" s="4" t="str">
        <f>IF(A1352="","","PC-"&amp;TEXT(A1352,"mm/yyyy")&amp;"-"&amp;TEXT(COUNTIFS($A$2:A1352,"&gt;="&amp;EOMONTH(A1352,-1)+1,$A$2:A1352,"&lt;="&amp;EOMONTH(A1352,0)),"000"))</f>
        <v>PC-01/2026-269</v>
      </c>
      <c r="C1352" s="5" t="s">
        <v>149</v>
      </c>
      <c r="D1352" s="5" t="s">
        <v>29</v>
      </c>
      <c r="E1352" s="5" t="s">
        <v>41</v>
      </c>
      <c r="F1352" s="5"/>
      <c r="G1352" s="5" t="s">
        <v>82</v>
      </c>
      <c r="H1352" s="5" t="s">
        <v>23</v>
      </c>
      <c r="I1352" s="6">
        <v>100000</v>
      </c>
      <c r="J1352" s="6">
        <f>IF(D1352="Thu",I1352,0)</f>
        <v>0</v>
      </c>
      <c r="K1352" s="6">
        <f>IF(D1352="Chi",I1352,0)</f>
        <v>100000</v>
      </c>
      <c r="L1352" s="6" t="e">
        <f>L1351+J1352-K1352</f>
        <v>#VALUE!</v>
      </c>
      <c r="M1352" s="6">
        <f ca="1">IFERROR(__xludf.DUMMYFUNCTION("SUM(FILTER(J:J, H:H=""Tiền mặt"")) - SUM(FILTER(K:K, H:H=""Tiền mặt""))
"),959000)</f>
        <v>959000</v>
      </c>
      <c r="N1352" s="6">
        <f ca="1">IFERROR(__xludf.DUMMYFUNCTION("SUM(FILTER(J:J, H:H=""Chuyển khoản"")) - SUM(FILTER(K:K, H:H=""Chuyển khoản""))
"),4468984)</f>
        <v>4468984</v>
      </c>
      <c r="O1352" s="5"/>
      <c r="P1352" s="5"/>
      <c r="Q1352" s="5"/>
      <c r="R1352" s="5"/>
      <c r="S1352" s="5"/>
    </row>
    <row r="1353" spans="1:19" ht="15.75" customHeight="1" x14ac:dyDescent="0.2">
      <c r="A1353" s="3">
        <v>46031</v>
      </c>
      <c r="B1353" s="4" t="str">
        <f>IF(A1353="","","PC-"&amp;TEXT(A1353,"mm/yyyy")&amp;"-"&amp;TEXT(COUNTIFS($A$2:A1353,"&gt;="&amp;EOMONTH(A1353,-1)+1,$A$2:A1353,"&lt;="&amp;EOMONTH(A1353,0)),"000"))</f>
        <v>PC-01/2026-270</v>
      </c>
      <c r="C1353" s="5" t="s">
        <v>150</v>
      </c>
      <c r="D1353" s="5" t="s">
        <v>29</v>
      </c>
      <c r="E1353" s="5" t="s">
        <v>44</v>
      </c>
      <c r="F1353" s="5"/>
      <c r="G1353" s="5" t="s">
        <v>136</v>
      </c>
      <c r="H1353" s="5" t="s">
        <v>23</v>
      </c>
      <c r="I1353" s="6">
        <v>2000000</v>
      </c>
      <c r="J1353" s="6">
        <f>IF(D1353="Thu",I1353,0)</f>
        <v>0</v>
      </c>
      <c r="K1353" s="6">
        <f>IF(D1353="Chi",I1353,0)</f>
        <v>2000000</v>
      </c>
      <c r="L1353" s="6" t="e">
        <f>L1352+J1353-K1353</f>
        <v>#VALUE!</v>
      </c>
      <c r="M1353" s="6">
        <f ca="1">IFERROR(__xludf.DUMMYFUNCTION("SUM(FILTER(J:J, H:H=""Tiền mặt"")) - SUM(FILTER(K:K, H:H=""Tiền mặt""))
"),959000)</f>
        <v>959000</v>
      </c>
      <c r="N1353" s="6">
        <f ca="1">IFERROR(__xludf.DUMMYFUNCTION("SUM(FILTER(J:J, H:H=""Chuyển khoản"")) - SUM(FILTER(K:K, H:H=""Chuyển khoản""))
"),4468984)</f>
        <v>4468984</v>
      </c>
      <c r="O1353" s="5"/>
      <c r="P1353" s="5"/>
      <c r="Q1353" s="5"/>
      <c r="R1353" s="5"/>
      <c r="S1353" s="5"/>
    </row>
    <row r="1354" spans="1:19" ht="15.75" customHeight="1" x14ac:dyDescent="0.2">
      <c r="A1354" s="3">
        <v>46031</v>
      </c>
      <c r="B1354" s="4" t="str">
        <f>IF(A1354="","","PC-"&amp;TEXT(A1354,"mm/yyyy")&amp;"-"&amp;TEXT(COUNTIFS($A$2:A1354,"&gt;="&amp;EOMONTH(A1354,-1)+1,$A$2:A1354,"&lt;="&amp;EOMONTH(A1354,0)),"000"))</f>
        <v>PC-01/2026-271</v>
      </c>
      <c r="C1354" s="5" t="s">
        <v>151</v>
      </c>
      <c r="D1354" s="5" t="s">
        <v>29</v>
      </c>
      <c r="E1354" s="5" t="s">
        <v>47</v>
      </c>
      <c r="F1354" s="5"/>
      <c r="G1354" s="5" t="s">
        <v>48</v>
      </c>
      <c r="H1354" s="5" t="s">
        <v>23</v>
      </c>
      <c r="I1354" s="6">
        <v>50000</v>
      </c>
      <c r="J1354" s="6">
        <f>IF(D1354="Thu",I1354,0)</f>
        <v>0</v>
      </c>
      <c r="K1354" s="6">
        <f>IF(D1354="Chi",I1354,0)</f>
        <v>50000</v>
      </c>
      <c r="L1354" s="6" t="e">
        <f>L1353+J1354-K1354</f>
        <v>#VALUE!</v>
      </c>
      <c r="M1354" s="6">
        <f ca="1">IFERROR(__xludf.DUMMYFUNCTION("SUM(FILTER(J:J, H:H=""Tiền mặt"")) - SUM(FILTER(K:K, H:H=""Tiền mặt""))
"),959000)</f>
        <v>959000</v>
      </c>
      <c r="N1354" s="6">
        <f ca="1">IFERROR(__xludf.DUMMYFUNCTION("SUM(FILTER(J:J, H:H=""Chuyển khoản"")) - SUM(FILTER(K:K, H:H=""Chuyển khoản""))
"),4468984)</f>
        <v>4468984</v>
      </c>
      <c r="O1354" s="5"/>
      <c r="P1354" s="5"/>
      <c r="Q1354" s="5"/>
      <c r="R1354" s="5"/>
      <c r="S1354" s="5"/>
    </row>
    <row r="1355" spans="1:19" ht="15.75" customHeight="1" x14ac:dyDescent="0.2">
      <c r="A1355" s="3">
        <v>46031</v>
      </c>
      <c r="B1355" s="4" t="str">
        <f>IF(A1355="","","PC-"&amp;TEXT(A1355,"mm/yyyy")&amp;"-"&amp;TEXT(COUNTIFS($A$2:A1355,"&gt;="&amp;EOMONTH(A1355,-1)+1,$A$2:A1355,"&lt;="&amp;EOMONTH(A1355,0)),"000"))</f>
        <v>PC-01/2026-272</v>
      </c>
      <c r="C1355" s="5" t="s">
        <v>152</v>
      </c>
      <c r="D1355" s="5" t="s">
        <v>29</v>
      </c>
      <c r="E1355" s="5" t="s">
        <v>153</v>
      </c>
      <c r="F1355" s="5"/>
      <c r="G1355" s="5" t="s">
        <v>154</v>
      </c>
      <c r="H1355" s="5" t="s">
        <v>27</v>
      </c>
      <c r="I1355" s="6">
        <v>2170000</v>
      </c>
      <c r="J1355" s="6">
        <f>IF(D1355="Thu",I1355,0)</f>
        <v>0</v>
      </c>
      <c r="K1355" s="6">
        <f>IF(D1355="Chi",I1355,0)</f>
        <v>2170000</v>
      </c>
      <c r="L1355" s="6" t="e">
        <f>L1354+J1355-K1355</f>
        <v>#VALUE!</v>
      </c>
      <c r="M1355" s="6">
        <f ca="1">IFERROR(__xludf.DUMMYFUNCTION("SUM(FILTER(J:J, H:H=""Tiền mặt"")) - SUM(FILTER(K:K, H:H=""Tiền mặt""))
"),959000)</f>
        <v>959000</v>
      </c>
      <c r="N1355" s="6">
        <f ca="1">IFERROR(__xludf.DUMMYFUNCTION("SUM(FILTER(J:J, H:H=""Chuyển khoản"")) - SUM(FILTER(K:K, H:H=""Chuyển khoản""))
"),4468984)</f>
        <v>4468984</v>
      </c>
      <c r="O1355" s="5"/>
      <c r="P1355" s="5"/>
      <c r="Q1355" s="5"/>
      <c r="R1355" s="5"/>
      <c r="S1355" s="5"/>
    </row>
    <row r="1356" spans="1:19" ht="15.75" customHeight="1" x14ac:dyDescent="0.2">
      <c r="A1356" s="3">
        <v>46031</v>
      </c>
      <c r="B1356" s="4" t="str">
        <f>IF(A1356="","","PC-"&amp;TEXT(A1356,"mm/yyyy")&amp;"-"&amp;TEXT(COUNTIFS($A$2:A1356,"&gt;="&amp;EOMONTH(A1356,-1)+1,$A$2:A1356,"&lt;="&amp;EOMONTH(A1356,0)),"000"))</f>
        <v>PC-01/2026-273</v>
      </c>
      <c r="C1356" s="5" t="s">
        <v>155</v>
      </c>
      <c r="D1356" s="5" t="s">
        <v>29</v>
      </c>
      <c r="E1356" s="5" t="s">
        <v>41</v>
      </c>
      <c r="F1356" s="5"/>
      <c r="G1356" s="5" t="s">
        <v>82</v>
      </c>
      <c r="H1356" s="5" t="s">
        <v>23</v>
      </c>
      <c r="I1356" s="6">
        <v>100000</v>
      </c>
      <c r="J1356" s="6">
        <f>IF(D1356="Thu",I1356,0)</f>
        <v>0</v>
      </c>
      <c r="K1356" s="6">
        <f>IF(D1356="Chi",I1356,0)</f>
        <v>100000</v>
      </c>
      <c r="L1356" s="6" t="e">
        <f>L1355+J1356-K1356</f>
        <v>#VALUE!</v>
      </c>
      <c r="M1356" s="6">
        <f ca="1">IFERROR(__xludf.DUMMYFUNCTION("SUM(FILTER(J:J, H:H=""Tiền mặt"")) - SUM(FILTER(K:K, H:H=""Tiền mặt""))
"),959000)</f>
        <v>959000</v>
      </c>
      <c r="N1356" s="6">
        <f ca="1">IFERROR(__xludf.DUMMYFUNCTION("SUM(FILTER(J:J, H:H=""Chuyển khoản"")) - SUM(FILTER(K:K, H:H=""Chuyển khoản""))
"),4468984)</f>
        <v>4468984</v>
      </c>
      <c r="O1356" s="5"/>
      <c r="P1356" s="5"/>
      <c r="Q1356" s="5"/>
      <c r="R1356" s="5"/>
      <c r="S1356" s="5"/>
    </row>
    <row r="1357" spans="1:19" ht="15.75" customHeight="1" x14ac:dyDescent="0.2">
      <c r="A1357" s="3">
        <v>46031</v>
      </c>
      <c r="B1357" s="4" t="str">
        <f>IF(A1357="","","PC-"&amp;TEXT(A1357,"mm/yyyy")&amp;"-"&amp;TEXT(COUNTIFS($A$2:A1357,"&gt;="&amp;EOMONTH(A1357,-1)+1,$A$2:A1357,"&lt;="&amp;EOMONTH(A1357,0)),"000"))</f>
        <v>PC-01/2026-274</v>
      </c>
      <c r="C1357" s="5" t="s">
        <v>156</v>
      </c>
      <c r="D1357" s="5" t="s">
        <v>29</v>
      </c>
      <c r="E1357" s="5" t="s">
        <v>41</v>
      </c>
      <c r="F1357" s="5"/>
      <c r="G1357" s="5" t="s">
        <v>82</v>
      </c>
      <c r="H1357" s="5" t="s">
        <v>23</v>
      </c>
      <c r="I1357" s="6">
        <v>100000</v>
      </c>
      <c r="J1357" s="6">
        <f>IF(D1357="Thu",I1357,0)</f>
        <v>0</v>
      </c>
      <c r="K1357" s="6">
        <f>IF(D1357="Chi",I1357,0)</f>
        <v>100000</v>
      </c>
      <c r="L1357" s="6" t="e">
        <f>L1356+J1357-K1357</f>
        <v>#VALUE!</v>
      </c>
      <c r="M1357" s="6">
        <f ca="1">IFERROR(__xludf.DUMMYFUNCTION("SUM(FILTER(J:J, H:H=""Tiền mặt"")) - SUM(FILTER(K:K, H:H=""Tiền mặt""))
"),959000)</f>
        <v>959000</v>
      </c>
      <c r="N1357" s="6">
        <f ca="1">IFERROR(__xludf.DUMMYFUNCTION("SUM(FILTER(J:J, H:H=""Chuyển khoản"")) - SUM(FILTER(K:K, H:H=""Chuyển khoản""))
"),4468984)</f>
        <v>4468984</v>
      </c>
      <c r="O1357" s="5"/>
      <c r="P1357" s="5"/>
      <c r="Q1357" s="5"/>
      <c r="R1357" s="5"/>
      <c r="S1357" s="5"/>
    </row>
    <row r="1358" spans="1:19" ht="15.75" customHeight="1" x14ac:dyDescent="0.2">
      <c r="A1358" s="3">
        <v>46031</v>
      </c>
      <c r="B1358" s="4" t="str">
        <f>IF(A1358="","","PC-"&amp;TEXT(A1358,"mm/yyyy")&amp;"-"&amp;TEXT(COUNTIFS($A$2:A1358,"&gt;="&amp;EOMONTH(A1358,-1)+1,$A$2:A1358,"&lt;="&amp;EOMONTH(A1358,0)),"000"))</f>
        <v>PC-01/2026-275</v>
      </c>
      <c r="C1358" s="5" t="s">
        <v>157</v>
      </c>
      <c r="D1358" s="5" t="s">
        <v>29</v>
      </c>
      <c r="E1358" s="5" t="s">
        <v>44</v>
      </c>
      <c r="F1358" s="5"/>
      <c r="G1358" s="5" t="s">
        <v>158</v>
      </c>
      <c r="H1358" s="5" t="s">
        <v>23</v>
      </c>
      <c r="I1358" s="6">
        <v>1000000</v>
      </c>
      <c r="J1358" s="6">
        <f>IF(D1358="Thu",I1358,0)</f>
        <v>0</v>
      </c>
      <c r="K1358" s="6">
        <f>IF(D1358="Chi",I1358,0)</f>
        <v>1000000</v>
      </c>
      <c r="L1358" s="6" t="e">
        <f>L1357+J1358-K1358</f>
        <v>#VALUE!</v>
      </c>
      <c r="M1358" s="6">
        <f ca="1">IFERROR(__xludf.DUMMYFUNCTION("SUM(FILTER(J:J, H:H=""Tiền mặt"")) - SUM(FILTER(K:K, H:H=""Tiền mặt""))
"),959000)</f>
        <v>959000</v>
      </c>
      <c r="N1358" s="6">
        <f ca="1">IFERROR(__xludf.DUMMYFUNCTION("SUM(FILTER(J:J, H:H=""Chuyển khoản"")) - SUM(FILTER(K:K, H:H=""Chuyển khoản""))
"),4468984)</f>
        <v>4468984</v>
      </c>
      <c r="O1358" s="5"/>
      <c r="P1358" s="5"/>
      <c r="Q1358" s="5"/>
      <c r="R1358" s="5"/>
      <c r="S1358" s="5"/>
    </row>
    <row r="1359" spans="1:19" ht="15.75" customHeight="1" x14ac:dyDescent="0.2">
      <c r="A1359" s="3">
        <v>46031</v>
      </c>
      <c r="B1359" s="4" t="str">
        <f>IF(A1359="","","PC-"&amp;TEXT(A1359,"mm/yyyy")&amp;"-"&amp;TEXT(COUNTIFS($A$2:A1359,"&gt;="&amp;EOMONTH(A1359,-1)+1,$A$2:A1359,"&lt;="&amp;EOMONTH(A1359,0)),"000"))</f>
        <v>PC-01/2026-276</v>
      </c>
      <c r="C1359" s="5" t="s">
        <v>159</v>
      </c>
      <c r="D1359" s="5" t="s">
        <v>29</v>
      </c>
      <c r="E1359" s="5" t="s">
        <v>44</v>
      </c>
      <c r="F1359" s="5"/>
      <c r="G1359" s="5" t="s">
        <v>158</v>
      </c>
      <c r="H1359" s="5" t="s">
        <v>23</v>
      </c>
      <c r="I1359" s="6">
        <v>1500000</v>
      </c>
      <c r="J1359" s="6">
        <f>IF(D1359="Thu",I1359,0)</f>
        <v>0</v>
      </c>
      <c r="K1359" s="6">
        <f>IF(D1359="Chi",I1359,0)</f>
        <v>1500000</v>
      </c>
      <c r="L1359" s="6" t="e">
        <f>L1358+J1359-K1359</f>
        <v>#VALUE!</v>
      </c>
      <c r="M1359" s="6">
        <f ca="1">IFERROR(__xludf.DUMMYFUNCTION("SUM(FILTER(J:J, H:H=""Tiền mặt"")) - SUM(FILTER(K:K, H:H=""Tiền mặt""))
"),959000)</f>
        <v>959000</v>
      </c>
      <c r="N1359" s="6">
        <f ca="1">IFERROR(__xludf.DUMMYFUNCTION("SUM(FILTER(J:J, H:H=""Chuyển khoản"")) - SUM(FILTER(K:K, H:H=""Chuyển khoản""))
"),4468984)</f>
        <v>4468984</v>
      </c>
      <c r="O1359" s="5"/>
      <c r="P1359" s="5"/>
      <c r="Q1359" s="5"/>
      <c r="R1359" s="5"/>
      <c r="S1359" s="5"/>
    </row>
    <row r="1360" spans="1:19" ht="15.75" customHeight="1" x14ac:dyDescent="0.2">
      <c r="A1360" s="3">
        <v>46030</v>
      </c>
      <c r="B1360" s="4" t="str">
        <f>IF(A1360="","","PC-"&amp;TEXT(A1360,"mm/yyyy")&amp;"-"&amp;TEXT(COUNTIFS($A$2:A1360,"&gt;="&amp;EOMONTH(A1360,-1)+1,$A$2:A1360,"&lt;="&amp;EOMONTH(A1360,0)),"000"))</f>
        <v>PC-01/2026-277</v>
      </c>
      <c r="C1360" s="4" t="s">
        <v>114</v>
      </c>
      <c r="D1360" s="5" t="s">
        <v>29</v>
      </c>
      <c r="E1360" s="57" t="s">
        <v>36</v>
      </c>
      <c r="F1360" s="5"/>
      <c r="G1360" s="4" t="s">
        <v>37</v>
      </c>
      <c r="H1360" s="5" t="s">
        <v>23</v>
      </c>
      <c r="I1360" s="6">
        <v>55000</v>
      </c>
      <c r="J1360" s="6">
        <f>IF(D1360="Thu",I1360,0)</f>
        <v>0</v>
      </c>
      <c r="K1360" s="6">
        <f>IF(D1360="Chi",I1360,0)</f>
        <v>55000</v>
      </c>
      <c r="L1360" s="6" t="e">
        <f>L1359+J1360-K1360</f>
        <v>#VALUE!</v>
      </c>
      <c r="M1360" s="6">
        <f ca="1">IFERROR(__xludf.DUMMYFUNCTION("SUM(FILTER(J:J, H:H=""Tiền mặt"")) - SUM(FILTER(K:K, H:H=""Tiền mặt""))
"),959000)</f>
        <v>959000</v>
      </c>
      <c r="N1360" s="6">
        <f ca="1">IFERROR(__xludf.DUMMYFUNCTION("SUM(FILTER(J:J, H:H=""Chuyển khoản"")) - SUM(FILTER(K:K, H:H=""Chuyển khoản""))
"),4468984)</f>
        <v>4468984</v>
      </c>
      <c r="O1360" s="5"/>
      <c r="P1360" s="5"/>
      <c r="Q1360" s="5"/>
      <c r="R1360" s="5"/>
      <c r="S1360" s="5"/>
    </row>
    <row r="1361" spans="1:19" ht="15.75" customHeight="1" x14ac:dyDescent="0.2">
      <c r="A1361" s="3">
        <v>46030</v>
      </c>
      <c r="B1361" s="4" t="str">
        <f>IF(A1361="","","PC-"&amp;TEXT(A1361,"mm/yyyy")&amp;"-"&amp;TEXT(COUNTIFS($A$2:A1361,"&gt;="&amp;EOMONTH(A1361,-1)+1,$A$2:A1361,"&lt;="&amp;EOMONTH(A1361,0)),"000"))</f>
        <v>PC-01/2026-278</v>
      </c>
      <c r="C1361" s="5" t="s">
        <v>115</v>
      </c>
      <c r="D1361" s="5" t="s">
        <v>29</v>
      </c>
      <c r="E1361" s="5" t="s">
        <v>47</v>
      </c>
      <c r="F1361" s="5"/>
      <c r="G1361" s="5" t="s">
        <v>48</v>
      </c>
      <c r="H1361" s="5" t="s">
        <v>23</v>
      </c>
      <c r="I1361" s="6">
        <v>50000</v>
      </c>
      <c r="J1361" s="6">
        <f>IF(D1361="Thu",I1361,0)</f>
        <v>0</v>
      </c>
      <c r="K1361" s="6">
        <f>IF(D1361="Chi",I1361,0)</f>
        <v>50000</v>
      </c>
      <c r="L1361" s="6" t="e">
        <f>L1360+J1361-K1361</f>
        <v>#VALUE!</v>
      </c>
      <c r="M1361" s="6">
        <f ca="1">IFERROR(__xludf.DUMMYFUNCTION("SUM(FILTER(J:J, H:H=""Tiền mặt"")) - SUM(FILTER(K:K, H:H=""Tiền mặt""))
"),959000)</f>
        <v>959000</v>
      </c>
      <c r="N1361" s="6">
        <f ca="1">IFERROR(__xludf.DUMMYFUNCTION("SUM(FILTER(J:J, H:H=""Chuyển khoản"")) - SUM(FILTER(K:K, H:H=""Chuyển khoản""))
"),4468984)</f>
        <v>4468984</v>
      </c>
      <c r="O1361" s="5"/>
      <c r="P1361" s="5"/>
      <c r="Q1361" s="5"/>
      <c r="R1361" s="5"/>
      <c r="S1361" s="5"/>
    </row>
    <row r="1362" spans="1:19" ht="15.75" customHeight="1" x14ac:dyDescent="0.2">
      <c r="A1362" s="3">
        <v>46030</v>
      </c>
      <c r="B1362" s="4" t="str">
        <f>IF(A1362="","","PC-"&amp;TEXT(A1362,"mm/yyyy")&amp;"-"&amp;TEXT(COUNTIFS($A$2:A1362,"&gt;="&amp;EOMONTH(A1362,-1)+1,$A$2:A1362,"&lt;="&amp;EOMONTH(A1362,0)),"000"))</f>
        <v>PC-01/2026-279</v>
      </c>
      <c r="C1362" s="5" t="s">
        <v>116</v>
      </c>
      <c r="D1362" s="5" t="s">
        <v>29</v>
      </c>
      <c r="E1362" s="5" t="s">
        <v>41</v>
      </c>
      <c r="F1362" s="5"/>
      <c r="G1362" s="5" t="s">
        <v>117</v>
      </c>
      <c r="H1362" s="5" t="s">
        <v>23</v>
      </c>
      <c r="I1362" s="6">
        <v>100000</v>
      </c>
      <c r="J1362" s="6">
        <f>IF(D1362="Thu",I1362,0)</f>
        <v>0</v>
      </c>
      <c r="K1362" s="6">
        <f>IF(D1362="Chi",I1362,0)</f>
        <v>100000</v>
      </c>
      <c r="L1362" s="6" t="e">
        <f>L1361+J1362-K1362</f>
        <v>#VALUE!</v>
      </c>
      <c r="M1362" s="6">
        <f ca="1">IFERROR(__xludf.DUMMYFUNCTION("SUM(FILTER(J:J, H:H=""Tiền mặt"")) - SUM(FILTER(K:K, H:H=""Tiền mặt""))
"),959000)</f>
        <v>959000</v>
      </c>
      <c r="N1362" s="6">
        <f ca="1">IFERROR(__xludf.DUMMYFUNCTION("SUM(FILTER(J:J, H:H=""Chuyển khoản"")) - SUM(FILTER(K:K, H:H=""Chuyển khoản""))
"),4468984)</f>
        <v>4468984</v>
      </c>
      <c r="O1362" s="5"/>
      <c r="P1362" s="5"/>
      <c r="Q1362" s="5"/>
      <c r="R1362" s="5"/>
      <c r="S1362" s="5"/>
    </row>
    <row r="1363" spans="1:19" ht="15.75" customHeight="1" x14ac:dyDescent="0.2">
      <c r="A1363" s="3">
        <v>46030</v>
      </c>
      <c r="B1363" s="4" t="str">
        <f>IF(A1363="","","PC-"&amp;TEXT(A1363,"mm/yyyy")&amp;"-"&amp;TEXT(COUNTIFS($A$2:A1363,"&gt;="&amp;EOMONTH(A1363,-1)+1,$A$2:A1363,"&lt;="&amp;EOMONTH(A1363,0)),"000"))</f>
        <v>PC-01/2026-280</v>
      </c>
      <c r="C1363" s="5" t="s">
        <v>118</v>
      </c>
      <c r="D1363" s="5" t="s">
        <v>29</v>
      </c>
      <c r="E1363" s="5" t="s">
        <v>61</v>
      </c>
      <c r="F1363" s="5"/>
      <c r="G1363" s="5" t="s">
        <v>52</v>
      </c>
      <c r="H1363" s="5" t="s">
        <v>27</v>
      </c>
      <c r="I1363" s="6">
        <v>200000</v>
      </c>
      <c r="J1363" s="6">
        <f>IF(D1363="Thu",I1363,0)</f>
        <v>0</v>
      </c>
      <c r="K1363" s="6">
        <f>IF(D1363="Chi",I1363,0)</f>
        <v>200000</v>
      </c>
      <c r="L1363" s="6" t="e">
        <f>L1362+J1363-K1363</f>
        <v>#VALUE!</v>
      </c>
      <c r="M1363" s="6">
        <f ca="1">IFERROR(__xludf.DUMMYFUNCTION("SUM(FILTER(J:J, H:H=""Tiền mặt"")) - SUM(FILTER(K:K, H:H=""Tiền mặt""))
"),959000)</f>
        <v>959000</v>
      </c>
      <c r="N1363" s="6">
        <f ca="1">IFERROR(__xludf.DUMMYFUNCTION("SUM(FILTER(J:J, H:H=""Chuyển khoản"")) - SUM(FILTER(K:K, H:H=""Chuyển khoản""))
"),4468984)</f>
        <v>4468984</v>
      </c>
      <c r="O1363" s="5"/>
      <c r="P1363" s="5"/>
      <c r="Q1363" s="5"/>
      <c r="R1363" s="5"/>
      <c r="S1363" s="5"/>
    </row>
    <row r="1364" spans="1:19" ht="15.75" customHeight="1" x14ac:dyDescent="0.2">
      <c r="A1364" s="3">
        <v>46030</v>
      </c>
      <c r="B1364" s="4" t="str">
        <f>IF(A1364="","","PC-"&amp;TEXT(A1364,"mm/yyyy")&amp;"-"&amp;TEXT(COUNTIFS($A$2:A1364,"&gt;="&amp;EOMONTH(A1364,-1)+1,$A$2:A1364,"&lt;="&amp;EOMONTH(A1364,0)),"000"))</f>
        <v>PC-01/2026-281</v>
      </c>
      <c r="C1364" s="5" t="s">
        <v>119</v>
      </c>
      <c r="D1364" s="5" t="s">
        <v>29</v>
      </c>
      <c r="E1364" s="5" t="s">
        <v>88</v>
      </c>
      <c r="F1364" s="5"/>
      <c r="G1364" s="5" t="s">
        <v>120</v>
      </c>
      <c r="H1364" s="5" t="s">
        <v>23</v>
      </c>
      <c r="I1364" s="6">
        <v>2000000</v>
      </c>
      <c r="J1364" s="6">
        <f>IF(D1364="Thu",I1364,0)</f>
        <v>0</v>
      </c>
      <c r="K1364" s="6">
        <f>IF(D1364="Chi",I1364,0)</f>
        <v>2000000</v>
      </c>
      <c r="L1364" s="6" t="e">
        <f>L1363+J1364-K1364</f>
        <v>#VALUE!</v>
      </c>
      <c r="M1364" s="6">
        <f ca="1">IFERROR(__xludf.DUMMYFUNCTION("SUM(FILTER(J:J, H:H=""Tiền mặt"")) - SUM(FILTER(K:K, H:H=""Tiền mặt""))
"),959000)</f>
        <v>959000</v>
      </c>
      <c r="N1364" s="6">
        <f ca="1">IFERROR(__xludf.DUMMYFUNCTION("SUM(FILTER(J:J, H:H=""Chuyển khoản"")) - SUM(FILTER(K:K, H:H=""Chuyển khoản""))
"),4468984)</f>
        <v>4468984</v>
      </c>
      <c r="O1364" s="5"/>
      <c r="P1364" s="5"/>
      <c r="Q1364" s="5"/>
      <c r="R1364" s="5"/>
      <c r="S1364" s="5"/>
    </row>
    <row r="1365" spans="1:19" ht="15.75" customHeight="1" x14ac:dyDescent="0.2">
      <c r="A1365" s="3">
        <v>46030</v>
      </c>
      <c r="B1365" s="4" t="str">
        <f>IF(A1365="","","PC-"&amp;TEXT(A1365,"mm/yyyy")&amp;"-"&amp;TEXT(COUNTIFS($A$2:A1365,"&gt;="&amp;EOMONTH(A1365,-1)+1,$A$2:A1365,"&lt;="&amp;EOMONTH(A1365,0)),"000"))</f>
        <v>PC-01/2026-282</v>
      </c>
      <c r="C1365" s="5" t="s">
        <v>121</v>
      </c>
      <c r="D1365" s="5" t="s">
        <v>29</v>
      </c>
      <c r="E1365" s="5" t="s">
        <v>71</v>
      </c>
      <c r="F1365" s="5"/>
      <c r="G1365" s="5" t="s">
        <v>122</v>
      </c>
      <c r="H1365" s="5" t="s">
        <v>27</v>
      </c>
      <c r="I1365" s="6">
        <v>75000</v>
      </c>
      <c r="J1365" s="6">
        <f>IF(D1365="Thu",I1365,0)</f>
        <v>0</v>
      </c>
      <c r="K1365" s="6">
        <f>IF(D1365="Chi",I1365,0)</f>
        <v>75000</v>
      </c>
      <c r="L1365" s="6" t="e">
        <f>L1364+J1365-K1365</f>
        <v>#VALUE!</v>
      </c>
      <c r="M1365" s="6">
        <f ca="1">IFERROR(__xludf.DUMMYFUNCTION("SUM(FILTER(J:J, H:H=""Tiền mặt"")) - SUM(FILTER(K:K, H:H=""Tiền mặt""))
"),959000)</f>
        <v>959000</v>
      </c>
      <c r="N1365" s="6">
        <f ca="1">IFERROR(__xludf.DUMMYFUNCTION("SUM(FILTER(J:J, H:H=""Chuyển khoản"")) - SUM(FILTER(K:K, H:H=""Chuyển khoản""))
"),4468984)</f>
        <v>4468984</v>
      </c>
      <c r="O1365" s="5"/>
      <c r="P1365" s="5"/>
      <c r="Q1365" s="5"/>
      <c r="R1365" s="5"/>
      <c r="S1365" s="5"/>
    </row>
    <row r="1366" spans="1:19" ht="15.75" customHeight="1" x14ac:dyDescent="0.2">
      <c r="A1366" s="3">
        <v>46030</v>
      </c>
      <c r="B1366" s="4" t="str">
        <f>IF(A1366="","","PC-"&amp;TEXT(A1366,"mm/yyyy")&amp;"-"&amp;TEXT(COUNTIFS($A$2:A1366,"&gt;="&amp;EOMONTH(A1366,-1)+1,$A$2:A1366,"&lt;="&amp;EOMONTH(A1366,0)),"000"))</f>
        <v>PC-01/2026-283</v>
      </c>
      <c r="C1366" s="5" t="s">
        <v>123</v>
      </c>
      <c r="D1366" s="5" t="s">
        <v>29</v>
      </c>
      <c r="E1366" s="5" t="s">
        <v>44</v>
      </c>
      <c r="F1366" s="5"/>
      <c r="G1366" s="5" t="s">
        <v>124</v>
      </c>
      <c r="H1366" s="5" t="s">
        <v>23</v>
      </c>
      <c r="I1366" s="6">
        <v>1500000</v>
      </c>
      <c r="J1366" s="6">
        <f>IF(D1366="Thu",I1366,0)</f>
        <v>0</v>
      </c>
      <c r="K1366" s="6">
        <f>IF(D1366="Chi",I1366,0)</f>
        <v>1500000</v>
      </c>
      <c r="L1366" s="6" t="e">
        <f>L1365+J1366-K1366</f>
        <v>#VALUE!</v>
      </c>
      <c r="M1366" s="6">
        <f ca="1">IFERROR(__xludf.DUMMYFUNCTION("SUM(FILTER(J:J, H:H=""Tiền mặt"")) - SUM(FILTER(K:K, H:H=""Tiền mặt""))
"),959000)</f>
        <v>959000</v>
      </c>
      <c r="N1366" s="6">
        <f ca="1">IFERROR(__xludf.DUMMYFUNCTION("SUM(FILTER(J:J, H:H=""Chuyển khoản"")) - SUM(FILTER(K:K, H:H=""Chuyển khoản""))
"),4468984)</f>
        <v>4468984</v>
      </c>
      <c r="O1366" s="5"/>
      <c r="P1366" s="5"/>
      <c r="Q1366" s="5"/>
      <c r="R1366" s="5"/>
      <c r="S1366" s="5"/>
    </row>
    <row r="1367" spans="1:19" ht="15.75" customHeight="1" x14ac:dyDescent="0.2">
      <c r="A1367" s="3">
        <v>46030</v>
      </c>
      <c r="B1367" s="4" t="str">
        <f>IF(A1367="","","PC-"&amp;TEXT(A1367,"mm/yyyy")&amp;"-"&amp;TEXT(COUNTIFS($A$2:A1367,"&gt;="&amp;EOMONTH(A1367,-1)+1,$A$2:A1367,"&lt;="&amp;EOMONTH(A1367,0)),"000"))</f>
        <v>PC-01/2026-284</v>
      </c>
      <c r="C1367" s="5" t="s">
        <v>125</v>
      </c>
      <c r="D1367" s="5" t="s">
        <v>29</v>
      </c>
      <c r="E1367" s="5" t="s">
        <v>47</v>
      </c>
      <c r="F1367" s="5"/>
      <c r="G1367" s="5" t="s">
        <v>48</v>
      </c>
      <c r="H1367" s="5" t="s">
        <v>23</v>
      </c>
      <c r="I1367" s="6">
        <v>50000</v>
      </c>
      <c r="J1367" s="6">
        <f>IF(D1367="Thu",I1367,0)</f>
        <v>0</v>
      </c>
      <c r="K1367" s="6">
        <f>IF(D1367="Chi",I1367,0)</f>
        <v>50000</v>
      </c>
      <c r="L1367" s="6" t="e">
        <f>L1366+J1367-K1367</f>
        <v>#VALUE!</v>
      </c>
      <c r="M1367" s="6">
        <f ca="1">IFERROR(__xludf.DUMMYFUNCTION("SUM(FILTER(J:J, H:H=""Tiền mặt"")) - SUM(FILTER(K:K, H:H=""Tiền mặt""))
"),959000)</f>
        <v>959000</v>
      </c>
      <c r="N1367" s="6">
        <f ca="1">IFERROR(__xludf.DUMMYFUNCTION("SUM(FILTER(J:J, H:H=""Chuyển khoản"")) - SUM(FILTER(K:K, H:H=""Chuyển khoản""))
"),4468984)</f>
        <v>4468984</v>
      </c>
      <c r="O1367" s="5"/>
      <c r="P1367" s="5"/>
      <c r="Q1367" s="5"/>
      <c r="R1367" s="5"/>
      <c r="S1367" s="5"/>
    </row>
    <row r="1368" spans="1:19" ht="15.75" customHeight="1" x14ac:dyDescent="0.2">
      <c r="A1368" s="3">
        <v>46030</v>
      </c>
      <c r="B1368" s="4" t="str">
        <f>IF(A1368="","","PC-"&amp;TEXT(A1368,"mm/yyyy")&amp;"-"&amp;TEXT(COUNTIFS($A$2:A1368,"&gt;="&amp;EOMONTH(A1368,-1)+1,$A$2:A1368,"&lt;="&amp;EOMONTH(A1368,0)),"000"))</f>
        <v>PC-01/2026-285</v>
      </c>
      <c r="C1368" s="5" t="s">
        <v>98</v>
      </c>
      <c r="D1368" s="5" t="s">
        <v>29</v>
      </c>
      <c r="E1368" s="5" t="s">
        <v>44</v>
      </c>
      <c r="F1368" s="5"/>
      <c r="G1368" s="5" t="s">
        <v>99</v>
      </c>
      <c r="H1368" s="5" t="s">
        <v>23</v>
      </c>
      <c r="I1368" s="6">
        <v>1500000</v>
      </c>
      <c r="J1368" s="6">
        <f>IF(D1368="Thu",I1368,0)</f>
        <v>0</v>
      </c>
      <c r="K1368" s="6">
        <f>IF(D1368="Chi",I1368,0)</f>
        <v>1500000</v>
      </c>
      <c r="L1368" s="6" t="e">
        <f>L1367+J1368-K1368</f>
        <v>#VALUE!</v>
      </c>
      <c r="M1368" s="6">
        <f ca="1">IFERROR(__xludf.DUMMYFUNCTION("SUM(FILTER(J:J, H:H=""Tiền mặt"")) - SUM(FILTER(K:K, H:H=""Tiền mặt""))
"),959000)</f>
        <v>959000</v>
      </c>
      <c r="N1368" s="6">
        <f ca="1">IFERROR(__xludf.DUMMYFUNCTION("SUM(FILTER(J:J, H:H=""Chuyển khoản"")) - SUM(FILTER(K:K, H:H=""Chuyển khoản""))
"),4468984)</f>
        <v>4468984</v>
      </c>
      <c r="O1368" s="5"/>
      <c r="P1368" s="5"/>
      <c r="Q1368" s="5"/>
      <c r="R1368" s="5"/>
      <c r="S1368" s="5"/>
    </row>
    <row r="1369" spans="1:19" ht="15.75" customHeight="1" x14ac:dyDescent="0.2">
      <c r="A1369" s="3">
        <v>46030</v>
      </c>
      <c r="B1369" s="4" t="str">
        <f>IF(A1369="","","PC-"&amp;TEXT(A1369,"mm/yyyy")&amp;"-"&amp;TEXT(COUNTIFS($A$2:A1369,"&gt;="&amp;EOMONTH(A1369,-1)+1,$A$2:A1369,"&lt;="&amp;EOMONTH(A1369,0)),"000"))</f>
        <v>PC-01/2026-286</v>
      </c>
      <c r="C1369" s="5" t="s">
        <v>126</v>
      </c>
      <c r="D1369" s="5" t="s">
        <v>29</v>
      </c>
      <c r="E1369" s="5" t="s">
        <v>64</v>
      </c>
      <c r="F1369" s="5"/>
      <c r="G1369" s="5" t="s">
        <v>37</v>
      </c>
      <c r="H1369" s="5" t="s">
        <v>23</v>
      </c>
      <c r="I1369" s="6">
        <v>100000</v>
      </c>
      <c r="J1369" s="6">
        <f>IF(D1369="Thu",I1369,0)</f>
        <v>0</v>
      </c>
      <c r="K1369" s="6">
        <f>IF(D1369="Chi",I1369,0)</f>
        <v>100000</v>
      </c>
      <c r="L1369" s="6" t="e">
        <f>L1368+J1369-K1369</f>
        <v>#VALUE!</v>
      </c>
      <c r="M1369" s="6">
        <f ca="1">IFERROR(__xludf.DUMMYFUNCTION("SUM(FILTER(J:J, H:H=""Tiền mặt"")) - SUM(FILTER(K:K, H:H=""Tiền mặt""))
"),959000)</f>
        <v>959000</v>
      </c>
      <c r="N1369" s="6">
        <f ca="1">IFERROR(__xludf.DUMMYFUNCTION("SUM(FILTER(J:J, H:H=""Chuyển khoản"")) - SUM(FILTER(K:K, H:H=""Chuyển khoản""))
"),4468984)</f>
        <v>4468984</v>
      </c>
      <c r="O1369" s="5"/>
      <c r="P1369" s="5"/>
      <c r="Q1369" s="5"/>
      <c r="R1369" s="5"/>
      <c r="S1369" s="5"/>
    </row>
    <row r="1370" spans="1:19" ht="15.75" customHeight="1" x14ac:dyDescent="0.2">
      <c r="A1370" s="3">
        <v>46030</v>
      </c>
      <c r="B1370" s="4" t="str">
        <f>IF(A1370="","","PC-"&amp;TEXT(A1370,"mm/yyyy")&amp;"-"&amp;TEXT(COUNTIFS($A$2:A1370,"&gt;="&amp;EOMONTH(A1370,-1)+1,$A$2:A1370,"&lt;="&amp;EOMONTH(A1370,0)),"000"))</f>
        <v>PC-01/2026-287</v>
      </c>
      <c r="C1370" s="5" t="s">
        <v>127</v>
      </c>
      <c r="D1370" s="5" t="s">
        <v>29</v>
      </c>
      <c r="E1370" s="5" t="s">
        <v>41</v>
      </c>
      <c r="F1370" s="5"/>
      <c r="G1370" s="5" t="s">
        <v>82</v>
      </c>
      <c r="H1370" s="5" t="s">
        <v>23</v>
      </c>
      <c r="I1370" s="6">
        <v>100000</v>
      </c>
      <c r="J1370" s="6">
        <f>IF(D1370="Thu",I1370,0)</f>
        <v>0</v>
      </c>
      <c r="K1370" s="6">
        <f>IF(D1370="Chi",I1370,0)</f>
        <v>100000</v>
      </c>
      <c r="L1370" s="6" t="e">
        <f>L1369+J1370-K1370</f>
        <v>#VALUE!</v>
      </c>
      <c r="M1370" s="6">
        <f ca="1">IFERROR(__xludf.DUMMYFUNCTION("SUM(FILTER(J:J, H:H=""Tiền mặt"")) - SUM(FILTER(K:K, H:H=""Tiền mặt""))
"),959000)</f>
        <v>959000</v>
      </c>
      <c r="N1370" s="6">
        <f ca="1">IFERROR(__xludf.DUMMYFUNCTION("SUM(FILTER(J:J, H:H=""Chuyển khoản"")) - SUM(FILTER(K:K, H:H=""Chuyển khoản""))
"),4468984)</f>
        <v>4468984</v>
      </c>
      <c r="O1370" s="5"/>
      <c r="P1370" s="5"/>
      <c r="Q1370" s="5"/>
      <c r="R1370" s="5"/>
      <c r="S1370" s="5"/>
    </row>
    <row r="1371" spans="1:19" ht="15.75" customHeight="1" x14ac:dyDescent="0.2">
      <c r="A1371" s="3">
        <v>46030</v>
      </c>
      <c r="B1371" s="4" t="str">
        <f>IF(A1371="","","PC-"&amp;TEXT(A1371,"mm/yyyy")&amp;"-"&amp;TEXT(COUNTIFS($A$2:A1371,"&gt;="&amp;EOMONTH(A1371,-1)+1,$A$2:A1371,"&lt;="&amp;EOMONTH(A1371,0)),"000"))</f>
        <v>PC-01/2026-288</v>
      </c>
      <c r="C1371" s="5" t="s">
        <v>128</v>
      </c>
      <c r="D1371" s="5" t="s">
        <v>29</v>
      </c>
      <c r="E1371" s="5" t="s">
        <v>44</v>
      </c>
      <c r="F1371" s="5"/>
      <c r="G1371" s="5" t="s">
        <v>129</v>
      </c>
      <c r="H1371" s="5" t="s">
        <v>23</v>
      </c>
      <c r="I1371" s="6">
        <v>1500000</v>
      </c>
      <c r="J1371" s="6">
        <f>IF(D1371="Thu",I1371,0)</f>
        <v>0</v>
      </c>
      <c r="K1371" s="6">
        <f>IF(D1371="Chi",I1371,0)</f>
        <v>1500000</v>
      </c>
      <c r="L1371" s="6" t="e">
        <f>L1370+J1371-K1371</f>
        <v>#VALUE!</v>
      </c>
      <c r="M1371" s="6">
        <f ca="1">IFERROR(__xludf.DUMMYFUNCTION("SUM(FILTER(J:J, H:H=""Tiền mặt"")) - SUM(FILTER(K:K, H:H=""Tiền mặt""))
"),959000)</f>
        <v>959000</v>
      </c>
      <c r="N1371" s="6">
        <f ca="1">IFERROR(__xludf.DUMMYFUNCTION("SUM(FILTER(J:J, H:H=""Chuyển khoản"")) - SUM(FILTER(K:K, H:H=""Chuyển khoản""))
"),4468984)</f>
        <v>4468984</v>
      </c>
      <c r="O1371" s="5"/>
      <c r="P1371" s="5"/>
      <c r="Q1371" s="5"/>
      <c r="R1371" s="5"/>
      <c r="S1371" s="5"/>
    </row>
    <row r="1372" spans="1:19" ht="15.75" customHeight="1" x14ac:dyDescent="0.2">
      <c r="A1372" s="3">
        <v>46030</v>
      </c>
      <c r="B1372" s="4" t="str">
        <f>IF(A1372="","","PC-"&amp;TEXT(A1372,"mm/yyyy")&amp;"-"&amp;TEXT(COUNTIFS($A$2:A1372,"&gt;="&amp;EOMONTH(A1372,-1)+1,$A$2:A1372,"&lt;="&amp;EOMONTH(A1372,0)),"000"))</f>
        <v>PC-01/2026-289</v>
      </c>
      <c r="C1372" s="5" t="s">
        <v>130</v>
      </c>
      <c r="D1372" s="5" t="s">
        <v>29</v>
      </c>
      <c r="E1372" s="5" t="s">
        <v>47</v>
      </c>
      <c r="F1372" s="5"/>
      <c r="G1372" s="5" t="s">
        <v>48</v>
      </c>
      <c r="H1372" s="5" t="s">
        <v>23</v>
      </c>
      <c r="I1372" s="6">
        <v>50000</v>
      </c>
      <c r="J1372" s="6">
        <f>IF(D1372="Thu",I1372,0)</f>
        <v>0</v>
      </c>
      <c r="K1372" s="6">
        <f>IF(D1372="Chi",I1372,0)</f>
        <v>50000</v>
      </c>
      <c r="L1372" s="6" t="e">
        <f>L1371+J1372-K1372</f>
        <v>#VALUE!</v>
      </c>
      <c r="M1372" s="6">
        <f ca="1">IFERROR(__xludf.DUMMYFUNCTION("SUM(FILTER(J:J, H:H=""Tiền mặt"")) - SUM(FILTER(K:K, H:H=""Tiền mặt""))
"),959000)</f>
        <v>959000</v>
      </c>
      <c r="N1372" s="6">
        <f ca="1">IFERROR(__xludf.DUMMYFUNCTION("SUM(FILTER(J:J, H:H=""Chuyển khoản"")) - SUM(FILTER(K:K, H:H=""Chuyển khoản""))
"),4468984)</f>
        <v>4468984</v>
      </c>
      <c r="O1372" s="5"/>
      <c r="P1372" s="5"/>
      <c r="Q1372" s="5"/>
      <c r="R1372" s="5"/>
      <c r="S1372" s="5"/>
    </row>
    <row r="1373" spans="1:19" ht="15.75" customHeight="1" x14ac:dyDescent="0.2">
      <c r="A1373" s="3">
        <v>46030</v>
      </c>
      <c r="B1373" s="4" t="str">
        <f>IF(A1373="","","PC-"&amp;TEXT(A1373,"mm/yyyy")&amp;"-"&amp;TEXT(COUNTIFS($A$2:A1373,"&gt;="&amp;EOMONTH(A1373,-1)+1,$A$2:A1373,"&lt;="&amp;EOMONTH(A1373,0)),"000"))</f>
        <v>PC-01/2026-290</v>
      </c>
      <c r="C1373" s="5" t="s">
        <v>131</v>
      </c>
      <c r="D1373" s="5" t="s">
        <v>20</v>
      </c>
      <c r="E1373" s="5" t="s">
        <v>68</v>
      </c>
      <c r="F1373" s="5"/>
      <c r="G1373" s="5" t="s">
        <v>132</v>
      </c>
      <c r="H1373" s="5" t="s">
        <v>23</v>
      </c>
      <c r="I1373" s="6">
        <v>800000</v>
      </c>
      <c r="J1373" s="6">
        <f>IF(D1373="Thu",I1373,0)</f>
        <v>800000</v>
      </c>
      <c r="K1373" s="6">
        <f>IF(D1373="Chi",I1373,0)</f>
        <v>0</v>
      </c>
      <c r="L1373" s="6" t="e">
        <f>L1372+J1373-K1373</f>
        <v>#VALUE!</v>
      </c>
      <c r="M1373" s="6">
        <f ca="1">IFERROR(__xludf.DUMMYFUNCTION("SUM(FILTER(J:J, H:H=""Tiền mặt"")) - SUM(FILTER(K:K, H:H=""Tiền mặt""))
"),959000)</f>
        <v>959000</v>
      </c>
      <c r="N1373" s="6">
        <f ca="1">IFERROR(__xludf.DUMMYFUNCTION("SUM(FILTER(J:J, H:H=""Chuyển khoản"")) - SUM(FILTER(K:K, H:H=""Chuyển khoản""))
"),4468984)</f>
        <v>4468984</v>
      </c>
      <c r="O1373" s="5"/>
      <c r="P1373" s="5"/>
      <c r="Q1373" s="5"/>
      <c r="R1373" s="5"/>
      <c r="S1373" s="5"/>
    </row>
    <row r="1374" spans="1:19" ht="15.75" customHeight="1" x14ac:dyDescent="0.2">
      <c r="A1374" s="3">
        <v>46030</v>
      </c>
      <c r="B1374" s="4" t="str">
        <f>IF(A1374="","","PC-"&amp;TEXT(A1374,"mm/yyyy")&amp;"-"&amp;TEXT(COUNTIFS($A$2:A1374,"&gt;="&amp;EOMONTH(A1374,-1)+1,$A$2:A1374,"&lt;="&amp;EOMONTH(A1374,0)),"000"))</f>
        <v>PC-01/2026-291</v>
      </c>
      <c r="C1374" s="5" t="s">
        <v>133</v>
      </c>
      <c r="D1374" s="5" t="s">
        <v>29</v>
      </c>
      <c r="E1374" s="5" t="s">
        <v>44</v>
      </c>
      <c r="F1374" s="5"/>
      <c r="G1374" s="5" t="s">
        <v>134</v>
      </c>
      <c r="H1374" s="5" t="s">
        <v>23</v>
      </c>
      <c r="I1374" s="6">
        <v>1500000</v>
      </c>
      <c r="J1374" s="6">
        <f>IF(D1374="Thu",I1374,0)</f>
        <v>0</v>
      </c>
      <c r="K1374" s="6">
        <f>IF(D1374="Chi",I1374,0)</f>
        <v>1500000</v>
      </c>
      <c r="L1374" s="6" t="e">
        <f>L1373+J1374-K1374</f>
        <v>#VALUE!</v>
      </c>
      <c r="M1374" s="6">
        <f ca="1">IFERROR(__xludf.DUMMYFUNCTION("SUM(FILTER(J:J, H:H=""Tiền mặt"")) - SUM(FILTER(K:K, H:H=""Tiền mặt""))
"),959000)</f>
        <v>959000</v>
      </c>
      <c r="N1374" s="6">
        <f ca="1">IFERROR(__xludf.DUMMYFUNCTION("SUM(FILTER(J:J, H:H=""Chuyển khoản"")) - SUM(FILTER(K:K, H:H=""Chuyển khoản""))
"),4468984)</f>
        <v>4468984</v>
      </c>
      <c r="O1374" s="5"/>
      <c r="P1374" s="5"/>
      <c r="Q1374" s="5"/>
      <c r="R1374" s="5"/>
      <c r="S1374" s="5"/>
    </row>
    <row r="1375" spans="1:19" ht="15.75" customHeight="1" x14ac:dyDescent="0.2">
      <c r="A1375" s="3">
        <v>46030</v>
      </c>
      <c r="B1375" s="4" t="str">
        <f>IF(A1375="","","PC-"&amp;TEXT(A1375,"mm/yyyy")&amp;"-"&amp;TEXT(COUNTIFS($A$2:A1375,"&gt;="&amp;EOMONTH(A1375,-1)+1,$A$2:A1375,"&lt;="&amp;EOMONTH(A1375,0)),"000"))</f>
        <v>PC-01/2026-292</v>
      </c>
      <c r="C1375" s="5" t="s">
        <v>135</v>
      </c>
      <c r="D1375" s="5" t="s">
        <v>29</v>
      </c>
      <c r="E1375" s="5" t="s">
        <v>44</v>
      </c>
      <c r="F1375" s="5"/>
      <c r="G1375" s="5" t="s">
        <v>136</v>
      </c>
      <c r="H1375" s="5" t="s">
        <v>23</v>
      </c>
      <c r="I1375" s="6">
        <v>1500000</v>
      </c>
      <c r="J1375" s="6">
        <f>IF(D1375="Thu",I1375,0)</f>
        <v>0</v>
      </c>
      <c r="K1375" s="6">
        <f>IF(D1375="Chi",I1375,0)</f>
        <v>1500000</v>
      </c>
      <c r="L1375" s="6" t="e">
        <f>L1374+J1375-K1375</f>
        <v>#VALUE!</v>
      </c>
      <c r="M1375" s="6">
        <f ca="1">IFERROR(__xludf.DUMMYFUNCTION("SUM(FILTER(J:J, H:H=""Tiền mặt"")) - SUM(FILTER(K:K, H:H=""Tiền mặt""))
"),959000)</f>
        <v>959000</v>
      </c>
      <c r="N1375" s="6">
        <f ca="1">IFERROR(__xludf.DUMMYFUNCTION("SUM(FILTER(J:J, H:H=""Chuyển khoản"")) - SUM(FILTER(K:K, H:H=""Chuyển khoản""))
"),4468984)</f>
        <v>4468984</v>
      </c>
      <c r="O1375" s="5"/>
      <c r="P1375" s="5"/>
      <c r="Q1375" s="5"/>
      <c r="R1375" s="5"/>
      <c r="S1375" s="5"/>
    </row>
    <row r="1376" spans="1:19" ht="15.75" customHeight="1" x14ac:dyDescent="0.2">
      <c r="A1376" s="3">
        <v>46030</v>
      </c>
      <c r="B1376" s="4" t="str">
        <f>IF(A1376="","","PC-"&amp;TEXT(A1376,"mm/yyyy")&amp;"-"&amp;TEXT(COUNTIFS($A$2:A1376,"&gt;="&amp;EOMONTH(A1376,-1)+1,$A$2:A1376,"&lt;="&amp;EOMONTH(A1376,0)),"000"))</f>
        <v>PC-01/2026-293</v>
      </c>
      <c r="C1376" s="7" t="s">
        <v>137</v>
      </c>
      <c r="D1376" s="5" t="s">
        <v>29</v>
      </c>
      <c r="E1376" s="5" t="s">
        <v>47</v>
      </c>
      <c r="F1376" s="5"/>
      <c r="G1376" s="5" t="s">
        <v>48</v>
      </c>
      <c r="H1376" s="5" t="s">
        <v>23</v>
      </c>
      <c r="I1376" s="6">
        <v>100000</v>
      </c>
      <c r="J1376" s="6">
        <f>IF(D1376="Thu",I1376,0)</f>
        <v>0</v>
      </c>
      <c r="K1376" s="6">
        <f>IF(D1376="Chi",I1376,0)</f>
        <v>100000</v>
      </c>
      <c r="L1376" s="6" t="e">
        <f>L1375+J1376-K1376</f>
        <v>#VALUE!</v>
      </c>
      <c r="M1376" s="6">
        <f ca="1">IFERROR(__xludf.DUMMYFUNCTION("SUM(FILTER(J:J, H:H=""Tiền mặt"")) - SUM(FILTER(K:K, H:H=""Tiền mặt""))
"),959000)</f>
        <v>959000</v>
      </c>
      <c r="N1376" s="6">
        <f ca="1">IFERROR(__xludf.DUMMYFUNCTION("SUM(FILTER(J:J, H:H=""Chuyển khoản"")) - SUM(FILTER(K:K, H:H=""Chuyển khoản""))
"),4468984)</f>
        <v>4468984</v>
      </c>
      <c r="O1376" s="5"/>
      <c r="P1376" s="5"/>
      <c r="Q1376" s="5"/>
      <c r="R1376" s="5"/>
      <c r="S1376" s="5"/>
    </row>
    <row r="1377" spans="1:19" ht="15.75" customHeight="1" x14ac:dyDescent="0.2">
      <c r="A1377" s="3">
        <v>46030</v>
      </c>
      <c r="B1377" s="4" t="str">
        <f>IF(A1377="","","PC-"&amp;TEXT(A1377,"mm/yyyy")&amp;"-"&amp;TEXT(COUNTIFS($A$2:A1377,"&gt;="&amp;EOMONTH(A1377,-1)+1,$A$2:A1377,"&lt;="&amp;EOMONTH(A1377,0)),"000"))</f>
        <v>PC-01/2026-294</v>
      </c>
      <c r="C1377" s="4" t="s">
        <v>138</v>
      </c>
      <c r="D1377" s="5" t="s">
        <v>20</v>
      </c>
      <c r="E1377" s="5" t="s">
        <v>21</v>
      </c>
      <c r="F1377" s="5"/>
      <c r="G1377" s="5" t="s">
        <v>22</v>
      </c>
      <c r="H1377" s="5" t="s">
        <v>23</v>
      </c>
      <c r="I1377" s="6">
        <v>10000000</v>
      </c>
      <c r="J1377" s="6">
        <f>IF(D1377="Thu",I1377,0)</f>
        <v>10000000</v>
      </c>
      <c r="K1377" s="6">
        <f>IF(D1377="Chi",I1377,0)</f>
        <v>0</v>
      </c>
      <c r="L1377" s="6" t="e">
        <f>L1376+J1377-K1377</f>
        <v>#VALUE!</v>
      </c>
      <c r="M1377" s="6">
        <f ca="1">IFERROR(__xludf.DUMMYFUNCTION("SUM(FILTER(J:J, H:H=""Tiền mặt"")) - SUM(FILTER(K:K, H:H=""Tiền mặt""))
"),959000)</f>
        <v>959000</v>
      </c>
      <c r="N1377" s="6">
        <f ca="1">IFERROR(__xludf.DUMMYFUNCTION("SUM(FILTER(J:J, H:H=""Chuyển khoản"")) - SUM(FILTER(K:K, H:H=""Chuyển khoản""))
"),4468984)</f>
        <v>4468984</v>
      </c>
      <c r="O1377" s="5"/>
      <c r="P1377" s="5"/>
      <c r="Q1377" s="5"/>
      <c r="R1377" s="5"/>
      <c r="S1377" s="5"/>
    </row>
    <row r="1378" spans="1:19" ht="15.75" customHeight="1" x14ac:dyDescent="0.2">
      <c r="A1378" s="3">
        <v>46030</v>
      </c>
      <c r="B1378" s="4" t="str">
        <f>IF(A1378="","","PC-"&amp;TEXT(A1378,"mm/yyyy")&amp;"-"&amp;TEXT(COUNTIFS($A$2:A1378,"&gt;="&amp;EOMONTH(A1378,-1)+1,$A$2:A1378,"&lt;="&amp;EOMONTH(A1378,0)),"000"))</f>
        <v>PC-01/2026-295</v>
      </c>
      <c r="C1378" s="5" t="s">
        <v>139</v>
      </c>
      <c r="D1378" s="5" t="s">
        <v>29</v>
      </c>
      <c r="E1378" s="5" t="s">
        <v>41</v>
      </c>
      <c r="F1378" s="5"/>
      <c r="G1378" s="5" t="s">
        <v>82</v>
      </c>
      <c r="H1378" s="5" t="s">
        <v>23</v>
      </c>
      <c r="I1378" s="6">
        <v>100000</v>
      </c>
      <c r="J1378" s="6">
        <f>IF(D1378="Thu",I1378,0)</f>
        <v>0</v>
      </c>
      <c r="K1378" s="6">
        <f>IF(D1378="Chi",I1378,0)</f>
        <v>100000</v>
      </c>
      <c r="L1378" s="6" t="e">
        <f>L1377+J1378-K1378</f>
        <v>#VALUE!</v>
      </c>
      <c r="M1378" s="6">
        <f ca="1">IFERROR(__xludf.DUMMYFUNCTION("SUM(FILTER(J:J, H:H=""Tiền mặt"")) - SUM(FILTER(K:K, H:H=""Tiền mặt""))
"),959000)</f>
        <v>959000</v>
      </c>
      <c r="N1378" s="6">
        <f ca="1">IFERROR(__xludf.DUMMYFUNCTION("SUM(FILTER(J:J, H:H=""Chuyển khoản"")) - SUM(FILTER(K:K, H:H=""Chuyển khoản""))
"),4468984)</f>
        <v>4468984</v>
      </c>
      <c r="O1378" s="5"/>
      <c r="P1378" s="5"/>
      <c r="Q1378" s="5"/>
      <c r="R1378" s="5"/>
      <c r="S1378" s="5"/>
    </row>
    <row r="1379" spans="1:19" ht="15.75" customHeight="1" x14ac:dyDescent="0.2">
      <c r="A1379" s="3">
        <v>46030</v>
      </c>
      <c r="B1379" s="4" t="str">
        <f>IF(A1379="","","PC-"&amp;TEXT(A1379,"mm/yyyy")&amp;"-"&amp;TEXT(COUNTIFS($A$2:A1379,"&gt;="&amp;EOMONTH(A1379,-1)+1,$A$2:A1379,"&lt;="&amp;EOMONTH(A1379,0)),"000"))</f>
        <v>PC-01/2026-296</v>
      </c>
      <c r="C1379" s="5" t="s">
        <v>140</v>
      </c>
      <c r="D1379" s="5" t="s">
        <v>29</v>
      </c>
      <c r="E1379" s="5" t="s">
        <v>141</v>
      </c>
      <c r="F1379" s="5"/>
      <c r="G1379" s="5" t="s">
        <v>52</v>
      </c>
      <c r="H1379" s="5" t="s">
        <v>27</v>
      </c>
      <c r="I1379" s="6">
        <v>963000</v>
      </c>
      <c r="J1379" s="6">
        <f>IF(D1379="Thu",I1379,0)</f>
        <v>0</v>
      </c>
      <c r="K1379" s="6">
        <f>IF(D1379="Chi",I1379,0)</f>
        <v>963000</v>
      </c>
      <c r="L1379" s="6" t="e">
        <f>L1378+J1379-K1379</f>
        <v>#VALUE!</v>
      </c>
      <c r="M1379" s="6">
        <f ca="1">IFERROR(__xludf.DUMMYFUNCTION("SUM(FILTER(J:J, H:H=""Tiền mặt"")) - SUM(FILTER(K:K, H:H=""Tiền mặt""))
"),959000)</f>
        <v>959000</v>
      </c>
      <c r="N1379" s="6">
        <f ca="1">IFERROR(__xludf.DUMMYFUNCTION("SUM(FILTER(J:J, H:H=""Chuyển khoản"")) - SUM(FILTER(K:K, H:H=""Chuyển khoản""))
"),4468984)</f>
        <v>4468984</v>
      </c>
      <c r="O1379" s="5"/>
      <c r="P1379" s="5"/>
      <c r="Q1379" s="5"/>
      <c r="R1379" s="5"/>
      <c r="S1379" s="5"/>
    </row>
    <row r="1380" spans="1:19" ht="15.75" customHeight="1" x14ac:dyDescent="0.2">
      <c r="A1380" s="3">
        <v>46030</v>
      </c>
      <c r="B1380" s="4" t="str">
        <f>IF(A1380="","","PC-"&amp;TEXT(A1380,"mm/yyyy")&amp;"-"&amp;TEXT(COUNTIFS($A$2:A1380,"&gt;="&amp;EOMONTH(A1380,-1)+1,$A$2:A1380,"&lt;="&amp;EOMONTH(A1380,0)),"000"))</f>
        <v>PC-01/2026-297</v>
      </c>
      <c r="C1380" s="5" t="s">
        <v>142</v>
      </c>
      <c r="D1380" s="5" t="s">
        <v>29</v>
      </c>
      <c r="E1380" s="5" t="s">
        <v>71</v>
      </c>
      <c r="F1380" s="5"/>
      <c r="G1380" s="5" t="s">
        <v>143</v>
      </c>
      <c r="H1380" s="5" t="s">
        <v>27</v>
      </c>
      <c r="I1380" s="6">
        <v>85000</v>
      </c>
      <c r="J1380" s="6">
        <f>IF(D1380="Thu",I1380,0)</f>
        <v>0</v>
      </c>
      <c r="K1380" s="6">
        <f>IF(D1380="Chi",I1380,0)</f>
        <v>85000</v>
      </c>
      <c r="L1380" s="6" t="e">
        <f>L1379+J1380-K1380</f>
        <v>#VALUE!</v>
      </c>
      <c r="M1380" s="6">
        <f ca="1">IFERROR(__xludf.DUMMYFUNCTION("SUM(FILTER(J:J, H:H=""Tiền mặt"")) - SUM(FILTER(K:K, H:H=""Tiền mặt""))
"),959000)</f>
        <v>959000</v>
      </c>
      <c r="N1380" s="6">
        <f ca="1">IFERROR(__xludf.DUMMYFUNCTION("SUM(FILTER(J:J, H:H=""Chuyển khoản"")) - SUM(FILTER(K:K, H:H=""Chuyển khoản""))
"),4468984)</f>
        <v>4468984</v>
      </c>
      <c r="O1380" s="5"/>
      <c r="P1380" s="5"/>
      <c r="Q1380" s="5"/>
      <c r="R1380" s="5"/>
      <c r="S1380" s="5"/>
    </row>
    <row r="1381" spans="1:19" ht="15.75" customHeight="1" x14ac:dyDescent="0.2">
      <c r="A1381" s="3">
        <v>46029</v>
      </c>
      <c r="B1381" s="4" t="str">
        <f>IF(A1381="","","PC-"&amp;TEXT(A1381,"mm/yyyy")&amp;"-"&amp;TEXT(COUNTIFS($A$2:A1381,"&gt;="&amp;EOMONTH(A1381,-1)+1,$A$2:A1381,"&lt;="&amp;EOMONTH(A1381,0)),"000"))</f>
        <v>PC-01/2026-298</v>
      </c>
      <c r="C1381" s="5" t="s">
        <v>90</v>
      </c>
      <c r="D1381" s="5" t="s">
        <v>29</v>
      </c>
      <c r="E1381" s="5" t="s">
        <v>41</v>
      </c>
      <c r="F1381" s="5"/>
      <c r="G1381" s="5" t="s">
        <v>84</v>
      </c>
      <c r="H1381" s="5" t="s">
        <v>23</v>
      </c>
      <c r="I1381" s="6">
        <v>100000</v>
      </c>
      <c r="J1381" s="6">
        <f>IF(D1381="Thu",I1381,0)</f>
        <v>0</v>
      </c>
      <c r="K1381" s="6">
        <f>IF(D1381="Chi",I1381,0)</f>
        <v>100000</v>
      </c>
      <c r="L1381" s="6" t="e">
        <f>L1380+J1381-K1381</f>
        <v>#VALUE!</v>
      </c>
      <c r="M1381" s="6">
        <f ca="1">IFERROR(__xludf.DUMMYFUNCTION("SUM(FILTER(J:J, H:H=""Tiền mặt"")) - SUM(FILTER(K:K, H:H=""Tiền mặt""))
"),959000)</f>
        <v>959000</v>
      </c>
      <c r="N1381" s="6">
        <f ca="1">IFERROR(__xludf.DUMMYFUNCTION("SUM(FILTER(J:J, H:H=""Chuyển khoản"")) - SUM(FILTER(K:K, H:H=""Chuyển khoản""))
"),4468984)</f>
        <v>4468984</v>
      </c>
      <c r="O1381" s="5"/>
      <c r="P1381" s="5"/>
      <c r="Q1381" s="5"/>
      <c r="R1381" s="5"/>
      <c r="S1381" s="5"/>
    </row>
    <row r="1382" spans="1:19" ht="15.75" customHeight="1" x14ac:dyDescent="0.2">
      <c r="A1382" s="3">
        <v>46029</v>
      </c>
      <c r="B1382" s="4" t="str">
        <f>IF(A1382="","","PC-"&amp;TEXT(A1382,"mm/yyyy")&amp;"-"&amp;TEXT(COUNTIFS($A$2:A1382,"&gt;="&amp;EOMONTH(A1382,-1)+1,$A$2:A1382,"&lt;="&amp;EOMONTH(A1382,0)),"000"))</f>
        <v>PC-01/2026-299</v>
      </c>
      <c r="C1382" s="5" t="s">
        <v>91</v>
      </c>
      <c r="D1382" s="5" t="s">
        <v>29</v>
      </c>
      <c r="E1382" s="5" t="s">
        <v>51</v>
      </c>
      <c r="F1382" s="5"/>
      <c r="G1382" s="5" t="s">
        <v>52</v>
      </c>
      <c r="H1382" s="5" t="s">
        <v>27</v>
      </c>
      <c r="I1382" s="6">
        <v>115691</v>
      </c>
      <c r="J1382" s="6">
        <f>IF(D1382="Thu",I1382,0)</f>
        <v>0</v>
      </c>
      <c r="K1382" s="6">
        <f>IF(D1382="Chi",I1382,0)</f>
        <v>115691</v>
      </c>
      <c r="L1382" s="6" t="e">
        <f>L1381+J1382-K1382</f>
        <v>#VALUE!</v>
      </c>
      <c r="M1382" s="6">
        <f ca="1">IFERROR(__xludf.DUMMYFUNCTION("SUM(FILTER(J:J, H:H=""Tiền mặt"")) - SUM(FILTER(K:K, H:H=""Tiền mặt""))
"),959000)</f>
        <v>959000</v>
      </c>
      <c r="N1382" s="6">
        <f ca="1">IFERROR(__xludf.DUMMYFUNCTION("SUM(FILTER(J:J, H:H=""Chuyển khoản"")) - SUM(FILTER(K:K, H:H=""Chuyển khoản""))
"),4468984)</f>
        <v>4468984</v>
      </c>
      <c r="O1382" s="5"/>
      <c r="P1382" s="5"/>
      <c r="Q1382" s="5"/>
      <c r="R1382" s="5"/>
      <c r="S1382" s="5"/>
    </row>
    <row r="1383" spans="1:19" ht="15.75" customHeight="1" x14ac:dyDescent="0.2">
      <c r="A1383" s="3">
        <v>46029</v>
      </c>
      <c r="B1383" s="4" t="str">
        <f>IF(A1383="","","PC-"&amp;TEXT(A1383,"mm/yyyy")&amp;"-"&amp;TEXT(COUNTIFS($A$2:A1383,"&gt;="&amp;EOMONTH(A1383,-1)+1,$A$2:A1383,"&lt;="&amp;EOMONTH(A1383,0)),"000"))</f>
        <v>PC-01/2026-300</v>
      </c>
      <c r="C1383" s="5" t="s">
        <v>92</v>
      </c>
      <c r="D1383" s="5" t="s">
        <v>29</v>
      </c>
      <c r="E1383" s="5" t="s">
        <v>44</v>
      </c>
      <c r="F1383" s="5"/>
      <c r="G1383" s="5" t="s">
        <v>93</v>
      </c>
      <c r="H1383" s="5" t="s">
        <v>23</v>
      </c>
      <c r="I1383" s="6">
        <v>1500000</v>
      </c>
      <c r="J1383" s="6">
        <f>IF(D1383="Thu",I1383,0)</f>
        <v>0</v>
      </c>
      <c r="K1383" s="6">
        <f>IF(D1383="Chi",I1383,0)</f>
        <v>1500000</v>
      </c>
      <c r="L1383" s="6" t="e">
        <f>L1382+J1383-K1383</f>
        <v>#VALUE!</v>
      </c>
      <c r="M1383" s="6">
        <f ca="1">IFERROR(__xludf.DUMMYFUNCTION("SUM(FILTER(J:J, H:H=""Tiền mặt"")) - SUM(FILTER(K:K, H:H=""Tiền mặt""))
"),959000)</f>
        <v>959000</v>
      </c>
      <c r="N1383" s="6">
        <f ca="1">IFERROR(__xludf.DUMMYFUNCTION("SUM(FILTER(J:J, H:H=""Chuyển khoản"")) - SUM(FILTER(K:K, H:H=""Chuyển khoản""))
"),4468984)</f>
        <v>4468984</v>
      </c>
      <c r="O1383" s="5"/>
      <c r="P1383" s="5"/>
      <c r="Q1383" s="5"/>
      <c r="R1383" s="5"/>
      <c r="S1383" s="5"/>
    </row>
    <row r="1384" spans="1:19" ht="15.75" customHeight="1" x14ac:dyDescent="0.2">
      <c r="A1384" s="3">
        <v>46029</v>
      </c>
      <c r="B1384" s="4" t="str">
        <f>IF(A1384="","","PC-"&amp;TEXT(A1384,"mm/yyyy")&amp;"-"&amp;TEXT(COUNTIFS($A$2:A1384,"&gt;="&amp;EOMONTH(A1384,-1)+1,$A$2:A1384,"&lt;="&amp;EOMONTH(A1384,0)),"000"))</f>
        <v>PC-01/2026-301</v>
      </c>
      <c r="C1384" s="5" t="s">
        <v>94</v>
      </c>
      <c r="D1384" s="5" t="s">
        <v>29</v>
      </c>
      <c r="E1384" s="5" t="s">
        <v>47</v>
      </c>
      <c r="F1384" s="5"/>
      <c r="G1384" s="5" t="s">
        <v>48</v>
      </c>
      <c r="H1384" s="5" t="s">
        <v>23</v>
      </c>
      <c r="I1384" s="6">
        <v>50000</v>
      </c>
      <c r="J1384" s="6">
        <f>IF(D1384="Thu",I1384,0)</f>
        <v>0</v>
      </c>
      <c r="K1384" s="6">
        <f>IF(D1384="Chi",I1384,0)</f>
        <v>50000</v>
      </c>
      <c r="L1384" s="6" t="e">
        <f>L1383+J1384-K1384</f>
        <v>#VALUE!</v>
      </c>
      <c r="M1384" s="6">
        <f ca="1">IFERROR(__xludf.DUMMYFUNCTION("SUM(FILTER(J:J, H:H=""Tiền mặt"")) - SUM(FILTER(K:K, H:H=""Tiền mặt""))
"),959000)</f>
        <v>959000</v>
      </c>
      <c r="N1384" s="6">
        <f ca="1">IFERROR(__xludf.DUMMYFUNCTION("SUM(FILTER(J:J, H:H=""Chuyển khoản"")) - SUM(FILTER(K:K, H:H=""Chuyển khoản""))
"),4468984)</f>
        <v>4468984</v>
      </c>
      <c r="O1384" s="5"/>
      <c r="P1384" s="5"/>
      <c r="Q1384" s="5"/>
      <c r="R1384" s="5"/>
      <c r="S1384" s="5"/>
    </row>
    <row r="1385" spans="1:19" ht="15.75" customHeight="1" x14ac:dyDescent="0.2">
      <c r="A1385" s="3">
        <v>46029</v>
      </c>
      <c r="B1385" s="4" t="str">
        <f>IF(A1385="","","PC-"&amp;TEXT(A1385,"mm/yyyy")&amp;"-"&amp;TEXT(COUNTIFS($A$2:A1385,"&gt;="&amp;EOMONTH(A1385,-1)+1,$A$2:A1385,"&lt;="&amp;EOMONTH(A1385,0)),"000"))</f>
        <v>PC-01/2026-302</v>
      </c>
      <c r="C1385" s="5" t="s">
        <v>95</v>
      </c>
      <c r="D1385" s="5" t="s">
        <v>29</v>
      </c>
      <c r="E1385" s="5" t="s">
        <v>36</v>
      </c>
      <c r="F1385" s="5"/>
      <c r="G1385" s="5" t="s">
        <v>37</v>
      </c>
      <c r="H1385" s="5" t="s">
        <v>27</v>
      </c>
      <c r="I1385" s="6">
        <v>874000</v>
      </c>
      <c r="J1385" s="6">
        <f>IF(D1385="Thu",I1385,0)</f>
        <v>0</v>
      </c>
      <c r="K1385" s="6">
        <f>IF(D1385="Chi",I1385,0)</f>
        <v>874000</v>
      </c>
      <c r="L1385" s="6" t="e">
        <f>L1384+J1385-K1385</f>
        <v>#VALUE!</v>
      </c>
      <c r="M1385" s="6">
        <f ca="1">IFERROR(__xludf.DUMMYFUNCTION("SUM(FILTER(J:J, H:H=""Tiền mặt"")) - SUM(FILTER(K:K, H:H=""Tiền mặt""))
"),959000)</f>
        <v>959000</v>
      </c>
      <c r="N1385" s="6">
        <f ca="1">IFERROR(__xludf.DUMMYFUNCTION("SUM(FILTER(J:J, H:H=""Chuyển khoản"")) - SUM(FILTER(K:K, H:H=""Chuyển khoản""))
"),4468984)</f>
        <v>4468984</v>
      </c>
      <c r="O1385" s="5"/>
      <c r="P1385" s="5"/>
      <c r="Q1385" s="5"/>
      <c r="R1385" s="5"/>
      <c r="S1385" s="5"/>
    </row>
    <row r="1386" spans="1:19" ht="15.75" customHeight="1" x14ac:dyDescent="0.2">
      <c r="A1386" s="3">
        <v>46029</v>
      </c>
      <c r="B1386" s="4" t="str">
        <f>IF(A1386="","","PC-"&amp;TEXT(A1386,"mm/yyyy")&amp;"-"&amp;TEXT(COUNTIFS($A$2:A1386,"&gt;="&amp;EOMONTH(A1386,-1)+1,$A$2:A1386,"&lt;="&amp;EOMONTH(A1386,0)),"000"))</f>
        <v>PC-01/2026-303</v>
      </c>
      <c r="C1386" s="5" t="s">
        <v>96</v>
      </c>
      <c r="D1386" s="5" t="s">
        <v>29</v>
      </c>
      <c r="E1386" s="5" t="s">
        <v>44</v>
      </c>
      <c r="F1386" s="5"/>
      <c r="G1386" s="5" t="s">
        <v>97</v>
      </c>
      <c r="H1386" s="5" t="s">
        <v>23</v>
      </c>
      <c r="I1386" s="6">
        <v>1500000</v>
      </c>
      <c r="J1386" s="6">
        <f>IF(D1386="Thu",I1386,0)</f>
        <v>0</v>
      </c>
      <c r="K1386" s="6">
        <f>IF(D1386="Chi",I1386,0)</f>
        <v>1500000</v>
      </c>
      <c r="L1386" s="6" t="e">
        <f>L1385+J1386-K1386</f>
        <v>#VALUE!</v>
      </c>
      <c r="M1386" s="6">
        <f ca="1">IFERROR(__xludf.DUMMYFUNCTION("SUM(FILTER(J:J, H:H=""Tiền mặt"")) - SUM(FILTER(K:K, H:H=""Tiền mặt""))
"),959000)</f>
        <v>959000</v>
      </c>
      <c r="N1386" s="6">
        <f ca="1">IFERROR(__xludf.DUMMYFUNCTION("SUM(FILTER(J:J, H:H=""Chuyển khoản"")) - SUM(FILTER(K:K, H:H=""Chuyển khoản""))
"),4468984)</f>
        <v>4468984</v>
      </c>
      <c r="O1386" s="5"/>
      <c r="P1386" s="5"/>
      <c r="Q1386" s="5"/>
      <c r="R1386" s="5"/>
      <c r="S1386" s="5"/>
    </row>
    <row r="1387" spans="1:19" ht="15.75" customHeight="1" x14ac:dyDescent="0.2">
      <c r="A1387" s="3">
        <v>46029</v>
      </c>
      <c r="B1387" s="4" t="str">
        <f>IF(A1387="","","PC-"&amp;TEXT(A1387,"mm/yyyy")&amp;"-"&amp;TEXT(COUNTIFS($A$2:A1387,"&gt;="&amp;EOMONTH(A1387,-1)+1,$A$2:A1387,"&lt;="&amp;EOMONTH(A1387,0)),"000"))</f>
        <v>PC-01/2026-304</v>
      </c>
      <c r="C1387" s="5" t="s">
        <v>98</v>
      </c>
      <c r="D1387" s="5" t="s">
        <v>29</v>
      </c>
      <c r="E1387" s="5" t="s">
        <v>44</v>
      </c>
      <c r="F1387" s="5"/>
      <c r="G1387" s="5" t="s">
        <v>99</v>
      </c>
      <c r="H1387" s="5" t="s">
        <v>23</v>
      </c>
      <c r="I1387" s="6">
        <v>1500000</v>
      </c>
      <c r="J1387" s="6">
        <f>IF(D1387="Thu",I1387,0)</f>
        <v>0</v>
      </c>
      <c r="K1387" s="6">
        <f>IF(D1387="Chi",I1387,0)</f>
        <v>1500000</v>
      </c>
      <c r="L1387" s="6" t="e">
        <f>L1386+J1387-K1387</f>
        <v>#VALUE!</v>
      </c>
      <c r="M1387" s="6">
        <f ca="1">IFERROR(__xludf.DUMMYFUNCTION("SUM(FILTER(J:J, H:H=""Tiền mặt"")) - SUM(FILTER(K:K, H:H=""Tiền mặt""))
"),959000)</f>
        <v>959000</v>
      </c>
      <c r="N1387" s="6">
        <f ca="1">IFERROR(__xludf.DUMMYFUNCTION("SUM(FILTER(J:J, H:H=""Chuyển khoản"")) - SUM(FILTER(K:K, H:H=""Chuyển khoản""))
"),4468984)</f>
        <v>4468984</v>
      </c>
      <c r="O1387" s="5"/>
      <c r="P1387" s="5"/>
      <c r="Q1387" s="5"/>
      <c r="R1387" s="5"/>
      <c r="S1387" s="5"/>
    </row>
    <row r="1388" spans="1:19" ht="15.75" customHeight="1" x14ac:dyDescent="0.2">
      <c r="A1388" s="3">
        <v>46029</v>
      </c>
      <c r="B1388" s="4" t="str">
        <f>IF(A1388="","","PC-"&amp;TEXT(A1388,"mm/yyyy")&amp;"-"&amp;TEXT(COUNTIFS($A$2:A1388,"&gt;="&amp;EOMONTH(A1388,-1)+1,$A$2:A1388,"&lt;="&amp;EOMONTH(A1388,0)),"000"))</f>
        <v>PC-01/2026-305</v>
      </c>
      <c r="C1388" s="5" t="s">
        <v>100</v>
      </c>
      <c r="D1388" s="5" t="s">
        <v>29</v>
      </c>
      <c r="E1388" s="5" t="s">
        <v>47</v>
      </c>
      <c r="F1388" s="5"/>
      <c r="G1388" s="5" t="s">
        <v>48</v>
      </c>
      <c r="H1388" s="5" t="s">
        <v>23</v>
      </c>
      <c r="I1388" s="6">
        <v>50000</v>
      </c>
      <c r="J1388" s="6">
        <f>IF(D1388="Thu",I1388,0)</f>
        <v>0</v>
      </c>
      <c r="K1388" s="6">
        <f>IF(D1388="Chi",I1388,0)</f>
        <v>50000</v>
      </c>
      <c r="L1388" s="6" t="e">
        <f>L1387+J1388-K1388</f>
        <v>#VALUE!</v>
      </c>
      <c r="M1388" s="6">
        <f ca="1">IFERROR(__xludf.DUMMYFUNCTION("SUM(FILTER(J:J, H:H=""Tiền mặt"")) - SUM(FILTER(K:K, H:H=""Tiền mặt""))
"),959000)</f>
        <v>959000</v>
      </c>
      <c r="N1388" s="6">
        <f ca="1">IFERROR(__xludf.DUMMYFUNCTION("SUM(FILTER(J:J, H:H=""Chuyển khoản"")) - SUM(FILTER(K:K, H:H=""Chuyển khoản""))
"),4468984)</f>
        <v>4468984</v>
      </c>
      <c r="O1388" s="5"/>
      <c r="P1388" s="5"/>
      <c r="Q1388" s="5"/>
      <c r="R1388" s="5"/>
      <c r="S1388" s="5"/>
    </row>
    <row r="1389" spans="1:19" ht="15.75" customHeight="1" x14ac:dyDescent="0.2">
      <c r="A1389" s="3">
        <v>46029</v>
      </c>
      <c r="B1389" s="4" t="str">
        <f>IF(A1389="","","PC-"&amp;TEXT(A1389,"mm/yyyy")&amp;"-"&amp;TEXT(COUNTIFS($A$2:A1389,"&gt;="&amp;EOMONTH(A1389,-1)+1,$A$2:A1389,"&lt;="&amp;EOMONTH(A1389,0)),"000"))</f>
        <v>PC-01/2026-306</v>
      </c>
      <c r="C1389" s="4" t="s">
        <v>101</v>
      </c>
      <c r="D1389" s="5" t="s">
        <v>20</v>
      </c>
      <c r="E1389" s="5" t="s">
        <v>21</v>
      </c>
      <c r="F1389" s="5"/>
      <c r="G1389" s="5" t="s">
        <v>22</v>
      </c>
      <c r="H1389" s="5" t="s">
        <v>23</v>
      </c>
      <c r="I1389" s="6">
        <v>11500000</v>
      </c>
      <c r="J1389" s="6">
        <f>IF(D1389="Thu",I1389,0)</f>
        <v>11500000</v>
      </c>
      <c r="K1389" s="6">
        <f>IF(D1389="Chi",I1389,0)</f>
        <v>0</v>
      </c>
      <c r="L1389" s="6" t="e">
        <f>L1388+J1389-K1389</f>
        <v>#VALUE!</v>
      </c>
      <c r="M1389" s="6">
        <f ca="1">IFERROR(__xludf.DUMMYFUNCTION("SUM(FILTER(J:J, H:H=""Tiền mặt"")) - SUM(FILTER(K:K, H:H=""Tiền mặt""))
"),959000)</f>
        <v>959000</v>
      </c>
      <c r="N1389" s="6">
        <f ca="1">IFERROR(__xludf.DUMMYFUNCTION("SUM(FILTER(J:J, H:H=""Chuyển khoản"")) - SUM(FILTER(K:K, H:H=""Chuyển khoản""))
"),4468984)</f>
        <v>4468984</v>
      </c>
      <c r="O1389" s="5"/>
      <c r="P1389" s="5"/>
      <c r="Q1389" s="5"/>
      <c r="R1389" s="5"/>
      <c r="S1389" s="5"/>
    </row>
    <row r="1390" spans="1:19" ht="15.75" customHeight="1" x14ac:dyDescent="0.2">
      <c r="A1390" s="3">
        <v>46029</v>
      </c>
      <c r="B1390" s="4" t="str">
        <f>IF(A1390="","","PC-"&amp;TEXT(A1390,"mm/yyyy")&amp;"-"&amp;TEXT(COUNTIFS($A$2:A1390,"&gt;="&amp;EOMONTH(A1390,-1)+1,$A$2:A1390,"&lt;="&amp;EOMONTH(A1390,0)),"000"))</f>
        <v>PC-01/2026-307</v>
      </c>
      <c r="C1390" s="5" t="s">
        <v>102</v>
      </c>
      <c r="D1390" s="5" t="s">
        <v>29</v>
      </c>
      <c r="E1390" s="5" t="s">
        <v>44</v>
      </c>
      <c r="F1390" s="5"/>
      <c r="G1390" s="5" t="s">
        <v>103</v>
      </c>
      <c r="H1390" s="5" t="s">
        <v>23</v>
      </c>
      <c r="I1390" s="6">
        <v>1500000</v>
      </c>
      <c r="J1390" s="6">
        <f>IF(D1390="Thu",I1390,0)</f>
        <v>0</v>
      </c>
      <c r="K1390" s="6">
        <f>IF(D1390="Chi",I1390,0)</f>
        <v>1500000</v>
      </c>
      <c r="L1390" s="6" t="e">
        <f>L1389+J1390-K1390</f>
        <v>#VALUE!</v>
      </c>
      <c r="M1390" s="6">
        <f ca="1">IFERROR(__xludf.DUMMYFUNCTION("SUM(FILTER(J:J, H:H=""Tiền mặt"")) - SUM(FILTER(K:K, H:H=""Tiền mặt""))
"),959000)</f>
        <v>959000</v>
      </c>
      <c r="N1390" s="6">
        <f ca="1">IFERROR(__xludf.DUMMYFUNCTION("SUM(FILTER(J:J, H:H=""Chuyển khoản"")) - SUM(FILTER(K:K, H:H=""Chuyển khoản""))
"),4468984)</f>
        <v>4468984</v>
      </c>
      <c r="O1390" s="5"/>
      <c r="P1390" s="5"/>
      <c r="Q1390" s="5"/>
      <c r="R1390" s="5"/>
      <c r="S1390" s="5"/>
    </row>
    <row r="1391" spans="1:19" ht="15.75" customHeight="1" x14ac:dyDescent="0.2">
      <c r="A1391" s="3">
        <v>46029</v>
      </c>
      <c r="B1391" s="4" t="str">
        <f>IF(A1391="","","PC-"&amp;TEXT(A1391,"mm/yyyy")&amp;"-"&amp;TEXT(COUNTIFS($A$2:A1391,"&gt;="&amp;EOMONTH(A1391,-1)+1,$A$2:A1391,"&lt;="&amp;EOMONTH(A1391,0)),"000"))</f>
        <v>PC-01/2026-308</v>
      </c>
      <c r="C1391" s="5" t="s">
        <v>104</v>
      </c>
      <c r="D1391" s="5" t="s">
        <v>29</v>
      </c>
      <c r="E1391" s="5" t="s">
        <v>47</v>
      </c>
      <c r="F1391" s="5"/>
      <c r="G1391" s="5" t="s">
        <v>48</v>
      </c>
      <c r="H1391" s="5" t="s">
        <v>23</v>
      </c>
      <c r="I1391" s="6">
        <v>50000</v>
      </c>
      <c r="J1391" s="6">
        <f>IF(D1391="Thu",I1391,0)</f>
        <v>0</v>
      </c>
      <c r="K1391" s="6">
        <f>IF(D1391="Chi",I1391,0)</f>
        <v>50000</v>
      </c>
      <c r="L1391" s="6" t="e">
        <f>L1390+J1391-K1391</f>
        <v>#VALUE!</v>
      </c>
      <c r="M1391" s="6">
        <f ca="1">IFERROR(__xludf.DUMMYFUNCTION("SUM(FILTER(J:J, H:H=""Tiền mặt"")) - SUM(FILTER(K:K, H:H=""Tiền mặt""))
"),959000)</f>
        <v>959000</v>
      </c>
      <c r="N1391" s="6">
        <f ca="1">IFERROR(__xludf.DUMMYFUNCTION("SUM(FILTER(J:J, H:H=""Chuyển khoản"")) - SUM(FILTER(K:K, H:H=""Chuyển khoản""))
"),4468984)</f>
        <v>4468984</v>
      </c>
      <c r="O1391" s="5"/>
      <c r="P1391" s="5"/>
      <c r="Q1391" s="5"/>
      <c r="R1391" s="5"/>
      <c r="S1391" s="5"/>
    </row>
    <row r="1392" spans="1:19" ht="15.75" customHeight="1" x14ac:dyDescent="0.2">
      <c r="A1392" s="3">
        <v>46029</v>
      </c>
      <c r="B1392" s="4" t="str">
        <f>IF(A1392="","","PC-"&amp;TEXT(A1392,"mm/yyyy")&amp;"-"&amp;TEXT(COUNTIFS($A$2:A1392,"&gt;="&amp;EOMONTH(A1392,-1)+1,$A$2:A1392,"&lt;="&amp;EOMONTH(A1392,0)),"000"))</f>
        <v>PC-01/2026-309</v>
      </c>
      <c r="C1392" s="5" t="s">
        <v>105</v>
      </c>
      <c r="D1392" s="5" t="s">
        <v>29</v>
      </c>
      <c r="E1392" s="5" t="s">
        <v>41</v>
      </c>
      <c r="F1392" s="5"/>
      <c r="G1392" s="5" t="s">
        <v>84</v>
      </c>
      <c r="H1392" s="5" t="s">
        <v>23</v>
      </c>
      <c r="I1392" s="6">
        <v>100000</v>
      </c>
      <c r="J1392" s="6">
        <f>IF(D1392="Thu",I1392,0)</f>
        <v>0</v>
      </c>
      <c r="K1392" s="6">
        <f>IF(D1392="Chi",I1392,0)</f>
        <v>100000</v>
      </c>
      <c r="L1392" s="6" t="e">
        <f>L1391+J1392-K1392</f>
        <v>#VALUE!</v>
      </c>
      <c r="M1392" s="6">
        <f ca="1">IFERROR(__xludf.DUMMYFUNCTION("SUM(FILTER(J:J, H:H=""Tiền mặt"")) - SUM(FILTER(K:K, H:H=""Tiền mặt""))
"),959000)</f>
        <v>959000</v>
      </c>
      <c r="N1392" s="6">
        <f ca="1">IFERROR(__xludf.DUMMYFUNCTION("SUM(FILTER(J:J, H:H=""Chuyển khoản"")) - SUM(FILTER(K:K, H:H=""Chuyển khoản""))
"),4468984)</f>
        <v>4468984</v>
      </c>
      <c r="O1392" s="5"/>
      <c r="P1392" s="5"/>
      <c r="Q1392" s="5"/>
      <c r="R1392" s="5"/>
      <c r="S1392" s="5"/>
    </row>
    <row r="1393" spans="1:19" ht="15.75" customHeight="1" x14ac:dyDescent="0.2">
      <c r="A1393" s="3">
        <v>46029</v>
      </c>
      <c r="B1393" s="4" t="str">
        <f>IF(A1393="","","PC-"&amp;TEXT(A1393,"mm/yyyy")&amp;"-"&amp;TEXT(COUNTIFS($A$2:A1393,"&gt;="&amp;EOMONTH(A1393,-1)+1,$A$2:A1393,"&lt;="&amp;EOMONTH(A1393,0)),"000"))</f>
        <v>PC-01/2026-310</v>
      </c>
      <c r="C1393" s="5" t="s">
        <v>106</v>
      </c>
      <c r="D1393" s="5" t="s">
        <v>29</v>
      </c>
      <c r="E1393" s="5" t="s">
        <v>41</v>
      </c>
      <c r="F1393" s="5"/>
      <c r="G1393" s="5" t="s">
        <v>82</v>
      </c>
      <c r="H1393" s="5" t="s">
        <v>23</v>
      </c>
      <c r="I1393" s="6">
        <v>100000</v>
      </c>
      <c r="J1393" s="6">
        <f>IF(D1393="Thu",I1393,0)</f>
        <v>0</v>
      </c>
      <c r="K1393" s="6">
        <f>IF(D1393="Chi",I1393,0)</f>
        <v>100000</v>
      </c>
      <c r="L1393" s="6" t="e">
        <f>L1392+J1393-K1393</f>
        <v>#VALUE!</v>
      </c>
      <c r="M1393" s="6">
        <f ca="1">IFERROR(__xludf.DUMMYFUNCTION("SUM(FILTER(J:J, H:H=""Tiền mặt"")) - SUM(FILTER(K:K, H:H=""Tiền mặt""))
"),959000)</f>
        <v>959000</v>
      </c>
      <c r="N1393" s="6">
        <f ca="1">IFERROR(__xludf.DUMMYFUNCTION("SUM(FILTER(J:J, H:H=""Chuyển khoản"")) - SUM(FILTER(K:K, H:H=""Chuyển khoản""))
"),4468984)</f>
        <v>4468984</v>
      </c>
      <c r="O1393" s="5"/>
      <c r="P1393" s="5"/>
      <c r="Q1393" s="5"/>
      <c r="R1393" s="5"/>
      <c r="S1393" s="5"/>
    </row>
    <row r="1394" spans="1:19" ht="15.75" customHeight="1" x14ac:dyDescent="0.2">
      <c r="A1394" s="3">
        <v>46029</v>
      </c>
      <c r="B1394" s="4" t="str">
        <f>IF(A1394="","","PC-"&amp;TEXT(A1394,"mm/yyyy")&amp;"-"&amp;TEXT(COUNTIFS($A$2:A1394,"&gt;="&amp;EOMONTH(A1394,-1)+1,$A$2:A1394,"&lt;="&amp;EOMONTH(A1394,0)),"000"))</f>
        <v>PC-01/2026-311</v>
      </c>
      <c r="C1394" s="5" t="s">
        <v>107</v>
      </c>
      <c r="D1394" s="5" t="s">
        <v>29</v>
      </c>
      <c r="E1394" s="5" t="s">
        <v>44</v>
      </c>
      <c r="F1394" s="5"/>
      <c r="G1394" s="5" t="s">
        <v>108</v>
      </c>
      <c r="H1394" s="5" t="s">
        <v>23</v>
      </c>
      <c r="I1394" s="6">
        <v>1500000</v>
      </c>
      <c r="J1394" s="6">
        <f>IF(D1394="Thu",I1394,0)</f>
        <v>0</v>
      </c>
      <c r="K1394" s="6">
        <f>IF(D1394="Chi",I1394,0)</f>
        <v>1500000</v>
      </c>
      <c r="L1394" s="6" t="e">
        <f>L1393+J1394-K1394</f>
        <v>#VALUE!</v>
      </c>
      <c r="M1394" s="6">
        <f ca="1">IFERROR(__xludf.DUMMYFUNCTION("SUM(FILTER(J:J, H:H=""Tiền mặt"")) - SUM(FILTER(K:K, H:H=""Tiền mặt""))
"),959000)</f>
        <v>959000</v>
      </c>
      <c r="N1394" s="6">
        <f ca="1">IFERROR(__xludf.DUMMYFUNCTION("SUM(FILTER(J:J, H:H=""Chuyển khoản"")) - SUM(FILTER(K:K, H:H=""Chuyển khoản""))
"),4468984)</f>
        <v>4468984</v>
      </c>
      <c r="O1394" s="5"/>
      <c r="P1394" s="5"/>
      <c r="Q1394" s="5"/>
      <c r="R1394" s="5"/>
      <c r="S1394" s="5"/>
    </row>
    <row r="1395" spans="1:19" ht="15.75" customHeight="1" x14ac:dyDescent="0.2">
      <c r="A1395" s="3">
        <v>46029</v>
      </c>
      <c r="B1395" s="4" t="str">
        <f>IF(A1395="","","PC-"&amp;TEXT(A1395,"mm/yyyy")&amp;"-"&amp;TEXT(COUNTIFS($A$2:A1395,"&gt;="&amp;EOMONTH(A1395,-1)+1,$A$2:A1395,"&lt;="&amp;EOMONTH(A1395,0)),"000"))</f>
        <v>PC-01/2026-312</v>
      </c>
      <c r="C1395" s="5" t="s">
        <v>109</v>
      </c>
      <c r="D1395" s="5" t="s">
        <v>29</v>
      </c>
      <c r="E1395" s="5" t="s">
        <v>47</v>
      </c>
      <c r="F1395" s="5"/>
      <c r="G1395" s="5" t="s">
        <v>48</v>
      </c>
      <c r="H1395" s="5" t="s">
        <v>23</v>
      </c>
      <c r="I1395" s="6">
        <v>50000</v>
      </c>
      <c r="J1395" s="6">
        <f>IF(D1395="Thu",I1395,0)</f>
        <v>0</v>
      </c>
      <c r="K1395" s="6">
        <f>IF(D1395="Chi",I1395,0)</f>
        <v>50000</v>
      </c>
      <c r="L1395" s="6" t="e">
        <f>L1394+J1395-K1395</f>
        <v>#VALUE!</v>
      </c>
      <c r="M1395" s="6">
        <f ca="1">IFERROR(__xludf.DUMMYFUNCTION("SUM(FILTER(J:J, H:H=""Tiền mặt"")) - SUM(FILTER(K:K, H:H=""Tiền mặt""))
"),959000)</f>
        <v>959000</v>
      </c>
      <c r="N1395" s="6">
        <f ca="1">IFERROR(__xludf.DUMMYFUNCTION("SUM(FILTER(J:J, H:H=""Chuyển khoản"")) - SUM(FILTER(K:K, H:H=""Chuyển khoản""))
"),4468984)</f>
        <v>4468984</v>
      </c>
      <c r="O1395" s="5"/>
      <c r="P1395" s="5"/>
      <c r="Q1395" s="5"/>
      <c r="R1395" s="5"/>
      <c r="S1395" s="5"/>
    </row>
    <row r="1396" spans="1:19" ht="15.75" customHeight="1" x14ac:dyDescent="0.2">
      <c r="A1396" s="3">
        <v>46029</v>
      </c>
      <c r="B1396" s="4" t="str">
        <f>IF(A1396="","","PC-"&amp;TEXT(A1396,"mm/yyyy")&amp;"-"&amp;TEXT(COUNTIFS($A$2:A1396,"&gt;="&amp;EOMONTH(A1396,-1)+1,$A$2:A1396,"&lt;="&amp;EOMONTH(A1396,0)),"000"))</f>
        <v>PC-01/2026-313</v>
      </c>
      <c r="C1396" s="4" t="s">
        <v>110</v>
      </c>
      <c r="D1396" s="5" t="s">
        <v>20</v>
      </c>
      <c r="E1396" s="5" t="s">
        <v>21</v>
      </c>
      <c r="F1396" s="5"/>
      <c r="G1396" s="5" t="s">
        <v>22</v>
      </c>
      <c r="H1396" s="5" t="s">
        <v>23</v>
      </c>
      <c r="I1396" s="6">
        <v>1500000</v>
      </c>
      <c r="J1396" s="6">
        <f>IF(D1396="Thu",I1396,0)</f>
        <v>1500000</v>
      </c>
      <c r="K1396" s="6">
        <f>IF(D1396="Chi",I1396,0)</f>
        <v>0</v>
      </c>
      <c r="L1396" s="6" t="e">
        <f>L1395+J1396-K1396</f>
        <v>#VALUE!</v>
      </c>
      <c r="M1396" s="6">
        <f ca="1">IFERROR(__xludf.DUMMYFUNCTION("SUM(FILTER(J:J, H:H=""Tiền mặt"")) - SUM(FILTER(K:K, H:H=""Tiền mặt""))
"),959000)</f>
        <v>959000</v>
      </c>
      <c r="N1396" s="6">
        <f ca="1">IFERROR(__xludf.DUMMYFUNCTION("SUM(FILTER(J:J, H:H=""Chuyển khoản"")) - SUM(FILTER(K:K, H:H=""Chuyển khoản""))
"),4468984)</f>
        <v>4468984</v>
      </c>
      <c r="O1396" s="5"/>
      <c r="P1396" s="5"/>
      <c r="Q1396" s="5"/>
      <c r="R1396" s="5"/>
      <c r="S1396" s="5"/>
    </row>
    <row r="1397" spans="1:19" ht="15.75" customHeight="1" x14ac:dyDescent="0.2">
      <c r="A1397" s="3">
        <v>46029</v>
      </c>
      <c r="B1397" s="4" t="str">
        <f>IF(A1397="","","PC-"&amp;TEXT(A1397,"mm/yyyy")&amp;"-"&amp;TEXT(COUNTIFS($A$2:A1397,"&gt;="&amp;EOMONTH(A1397,-1)+1,$A$2:A1397,"&lt;="&amp;EOMONTH(A1397,0)),"000"))</f>
        <v>PC-01/2026-314</v>
      </c>
      <c r="C1397" s="5" t="s">
        <v>111</v>
      </c>
      <c r="D1397" s="5" t="s">
        <v>29</v>
      </c>
      <c r="E1397" s="5" t="s">
        <v>41</v>
      </c>
      <c r="F1397" s="5"/>
      <c r="G1397" s="5" t="s">
        <v>82</v>
      </c>
      <c r="H1397" s="5" t="s">
        <v>23</v>
      </c>
      <c r="I1397" s="6">
        <v>200000</v>
      </c>
      <c r="J1397" s="6">
        <f>IF(D1397="Thu",I1397,0)</f>
        <v>0</v>
      </c>
      <c r="K1397" s="6">
        <f>IF(D1397="Chi",I1397,0)</f>
        <v>200000</v>
      </c>
      <c r="L1397" s="6" t="e">
        <f>L1396+J1397-K1397</f>
        <v>#VALUE!</v>
      </c>
      <c r="M1397" s="6">
        <f ca="1">IFERROR(__xludf.DUMMYFUNCTION("SUM(FILTER(J:J, H:H=""Tiền mặt"")) - SUM(FILTER(K:K, H:H=""Tiền mặt""))
"),959000)</f>
        <v>959000</v>
      </c>
      <c r="N1397" s="6">
        <f ca="1">IFERROR(__xludf.DUMMYFUNCTION("SUM(FILTER(J:J, H:H=""Chuyển khoản"")) - SUM(FILTER(K:K, H:H=""Chuyển khoản""))
"),4468984)</f>
        <v>4468984</v>
      </c>
      <c r="O1397" s="5"/>
      <c r="P1397" s="5"/>
      <c r="Q1397" s="5"/>
      <c r="R1397" s="5"/>
      <c r="S1397" s="5"/>
    </row>
    <row r="1398" spans="1:19" ht="15.75" customHeight="1" x14ac:dyDescent="0.2">
      <c r="A1398" s="3">
        <v>46029</v>
      </c>
      <c r="B1398" s="4" t="str">
        <f>IF(A1398="","","PC-"&amp;TEXT(A1398,"mm/yyyy")&amp;"-"&amp;TEXT(COUNTIFS($A$2:A1398,"&gt;="&amp;EOMONTH(A1398,-1)+1,$A$2:A1398,"&lt;="&amp;EOMONTH(A1398,0)),"000"))</f>
        <v>PC-01/2026-315</v>
      </c>
      <c r="C1398" s="52" t="s">
        <v>112</v>
      </c>
      <c r="D1398" s="5" t="s">
        <v>29</v>
      </c>
      <c r="E1398" s="5" t="s">
        <v>88</v>
      </c>
      <c r="F1398" s="5"/>
      <c r="G1398" s="5" t="s">
        <v>113</v>
      </c>
      <c r="H1398" s="5" t="s">
        <v>23</v>
      </c>
      <c r="I1398" s="6">
        <v>300000</v>
      </c>
      <c r="J1398" s="6">
        <f>IF(D1398="Thu",I1398,0)</f>
        <v>0</v>
      </c>
      <c r="K1398" s="6">
        <f>IF(D1398="Chi",I1398,0)</f>
        <v>300000</v>
      </c>
      <c r="L1398" s="6" t="e">
        <f>L1397+J1398-K1398</f>
        <v>#VALUE!</v>
      </c>
      <c r="M1398" s="6">
        <f ca="1">IFERROR(__xludf.DUMMYFUNCTION("SUM(FILTER(J:J, H:H=""Tiền mặt"")) - SUM(FILTER(K:K, H:H=""Tiền mặt""))
"),959000)</f>
        <v>959000</v>
      </c>
      <c r="N1398" s="6">
        <f ca="1">IFERROR(__xludf.DUMMYFUNCTION("SUM(FILTER(J:J, H:H=""Chuyển khoản"")) - SUM(FILTER(K:K, H:H=""Chuyển khoản""))
"),4468984)</f>
        <v>4468984</v>
      </c>
      <c r="O1398" s="5"/>
      <c r="P1398" s="5"/>
      <c r="Q1398" s="5"/>
      <c r="R1398" s="5"/>
      <c r="S1398" s="5"/>
    </row>
    <row r="1399" spans="1:19" ht="15.75" customHeight="1" x14ac:dyDescent="0.2">
      <c r="A1399" s="3">
        <v>46028</v>
      </c>
      <c r="B1399" s="4" t="str">
        <f>IF(A1399="","","PC-"&amp;TEXT(A1399,"mm/yyyy")&amp;"-"&amp;TEXT(COUNTIFS($A$2:A1399,"&gt;="&amp;EOMONTH(A1399,-1)+1,$A$2:A1399,"&lt;="&amp;EOMONTH(A1399,0)),"000"))</f>
        <v>PC-01/2026-316</v>
      </c>
      <c r="C1399" s="5" t="s">
        <v>68</v>
      </c>
      <c r="D1399" s="5" t="s">
        <v>20</v>
      </c>
      <c r="E1399" s="5" t="s">
        <v>68</v>
      </c>
      <c r="F1399" s="5"/>
      <c r="G1399" s="5" t="s">
        <v>69</v>
      </c>
      <c r="H1399" s="5" t="s">
        <v>23</v>
      </c>
      <c r="I1399" s="6">
        <v>200000</v>
      </c>
      <c r="J1399" s="6">
        <f>IF(D1399="Thu",I1399,0)</f>
        <v>200000</v>
      </c>
      <c r="K1399" s="6">
        <f>IF(D1399="Chi",I1399,0)</f>
        <v>0</v>
      </c>
      <c r="L1399" s="6" t="e">
        <f>L1398+J1399-K1399</f>
        <v>#VALUE!</v>
      </c>
      <c r="M1399" s="6">
        <f ca="1">IFERROR(__xludf.DUMMYFUNCTION("SUM(FILTER(J:J, H:H=""Tiền mặt"")) - SUM(FILTER(K:K, H:H=""Tiền mặt""))
"),959000)</f>
        <v>959000</v>
      </c>
      <c r="N1399" s="6">
        <f ca="1">IFERROR(__xludf.DUMMYFUNCTION("SUM(FILTER(J:J, H:H=""Chuyển khoản"")) - SUM(FILTER(K:K, H:H=""Chuyển khoản""))
"),4468984)</f>
        <v>4468984</v>
      </c>
      <c r="O1399" s="5"/>
      <c r="P1399" s="5"/>
      <c r="Q1399" s="5"/>
      <c r="R1399" s="5"/>
      <c r="S1399" s="5"/>
    </row>
    <row r="1400" spans="1:19" ht="15.75" customHeight="1" x14ac:dyDescent="0.2">
      <c r="A1400" s="3">
        <v>46028</v>
      </c>
      <c r="B1400" s="4" t="str">
        <f>IF(A1400="","","PC-"&amp;TEXT(A1400,"mm/yyyy")&amp;"-"&amp;TEXT(COUNTIFS($A$2:A1400,"&gt;="&amp;EOMONTH(A1400,-1)+1,$A$2:A1400,"&lt;="&amp;EOMONTH(A1400,0)),"000"))</f>
        <v>PC-01/2026-317</v>
      </c>
      <c r="C1400" s="5" t="s">
        <v>70</v>
      </c>
      <c r="D1400" s="5" t="s">
        <v>29</v>
      </c>
      <c r="E1400" s="5" t="s">
        <v>71</v>
      </c>
      <c r="F1400" s="5"/>
      <c r="G1400" s="5" t="s">
        <v>72</v>
      </c>
      <c r="H1400" s="5" t="s">
        <v>27</v>
      </c>
      <c r="I1400" s="6">
        <v>90000</v>
      </c>
      <c r="J1400" s="6">
        <f>IF(D1400="Thu",I1400,0)</f>
        <v>0</v>
      </c>
      <c r="K1400" s="6">
        <f>IF(D1400="Chi",I1400,0)</f>
        <v>90000</v>
      </c>
      <c r="L1400" s="6" t="e">
        <f>L1399+J1400-K1400</f>
        <v>#VALUE!</v>
      </c>
      <c r="M1400" s="6">
        <f ca="1">IFERROR(__xludf.DUMMYFUNCTION("SUM(FILTER(J:J, H:H=""Tiền mặt"")) - SUM(FILTER(K:K, H:H=""Tiền mặt""))
"),959000)</f>
        <v>959000</v>
      </c>
      <c r="N1400" s="6">
        <f ca="1">IFERROR(__xludf.DUMMYFUNCTION("SUM(FILTER(J:J, H:H=""Chuyển khoản"")) - SUM(FILTER(K:K, H:H=""Chuyển khoản""))
"),4468984)</f>
        <v>4468984</v>
      </c>
      <c r="O1400" s="5"/>
      <c r="P1400" s="5"/>
      <c r="Q1400" s="5"/>
      <c r="R1400" s="5"/>
      <c r="S1400" s="5"/>
    </row>
    <row r="1401" spans="1:19" ht="15.75" customHeight="1" x14ac:dyDescent="0.2">
      <c r="A1401" s="3">
        <v>46028</v>
      </c>
      <c r="B1401" s="4" t="str">
        <f>IF(A1401="","","PC-"&amp;TEXT(A1401,"mm/yyyy")&amp;"-"&amp;TEXT(COUNTIFS($A$2:A1401,"&gt;="&amp;EOMONTH(A1401,-1)+1,$A$2:A1401,"&lt;="&amp;EOMONTH(A1401,0)),"000"))</f>
        <v>PC-01/2026-318</v>
      </c>
      <c r="C1401" s="5" t="s">
        <v>73</v>
      </c>
      <c r="D1401" s="5" t="s">
        <v>29</v>
      </c>
      <c r="E1401" s="5" t="s">
        <v>71</v>
      </c>
      <c r="F1401" s="5"/>
      <c r="G1401" s="5" t="s">
        <v>72</v>
      </c>
      <c r="H1401" s="5" t="s">
        <v>27</v>
      </c>
      <c r="I1401" s="6">
        <v>75000</v>
      </c>
      <c r="J1401" s="6">
        <f>IF(D1401="Thu",I1401,0)</f>
        <v>0</v>
      </c>
      <c r="K1401" s="6">
        <f>IF(D1401="Chi",I1401,0)</f>
        <v>75000</v>
      </c>
      <c r="L1401" s="6" t="e">
        <f>L1400+J1401-K1401</f>
        <v>#VALUE!</v>
      </c>
      <c r="M1401" s="6">
        <f ca="1">IFERROR(__xludf.DUMMYFUNCTION("SUM(FILTER(J:J, H:H=""Tiền mặt"")) - SUM(FILTER(K:K, H:H=""Tiền mặt""))
"),959000)</f>
        <v>959000</v>
      </c>
      <c r="N1401" s="6">
        <f ca="1">IFERROR(__xludf.DUMMYFUNCTION("SUM(FILTER(J:J, H:H=""Chuyển khoản"")) - SUM(FILTER(K:K, H:H=""Chuyển khoản""))
"),4468984)</f>
        <v>4468984</v>
      </c>
      <c r="O1401" s="5"/>
      <c r="P1401" s="5"/>
      <c r="Q1401" s="5"/>
      <c r="R1401" s="5"/>
      <c r="S1401" s="5"/>
    </row>
    <row r="1402" spans="1:19" ht="15.75" customHeight="1" x14ac:dyDescent="0.2">
      <c r="A1402" s="3">
        <v>46028</v>
      </c>
      <c r="B1402" s="4" t="str">
        <f>IF(A1402="","","PC-"&amp;TEXT(A1402,"mm/yyyy")&amp;"-"&amp;TEXT(COUNTIFS($A$2:A1402,"&gt;="&amp;EOMONTH(A1402,-1)+1,$A$2:A1402,"&lt;="&amp;EOMONTH(A1402,0)),"000"))</f>
        <v>PC-01/2026-319</v>
      </c>
      <c r="C1402" s="5" t="s">
        <v>74</v>
      </c>
      <c r="D1402" s="5" t="s">
        <v>29</v>
      </c>
      <c r="E1402" s="5" t="s">
        <v>75</v>
      </c>
      <c r="F1402" s="5"/>
      <c r="G1402" s="5" t="s">
        <v>76</v>
      </c>
      <c r="H1402" s="5" t="s">
        <v>27</v>
      </c>
      <c r="I1402" s="6">
        <v>6930000</v>
      </c>
      <c r="J1402" s="6">
        <f>IF(D1402="Thu",I1402,0)</f>
        <v>0</v>
      </c>
      <c r="K1402" s="6">
        <f>IF(D1402="Chi",I1402,0)</f>
        <v>6930000</v>
      </c>
      <c r="L1402" s="6" t="e">
        <f>L1401+J1402-K1402</f>
        <v>#VALUE!</v>
      </c>
      <c r="M1402" s="6">
        <f ca="1">IFERROR(__xludf.DUMMYFUNCTION("SUM(FILTER(J:J, H:H=""Tiền mặt"")) - SUM(FILTER(K:K, H:H=""Tiền mặt""))
"),959000)</f>
        <v>959000</v>
      </c>
      <c r="N1402" s="6">
        <f ca="1">IFERROR(__xludf.DUMMYFUNCTION("SUM(FILTER(J:J, H:H=""Chuyển khoản"")) - SUM(FILTER(K:K, H:H=""Chuyển khoản""))
"),4468984)</f>
        <v>4468984</v>
      </c>
      <c r="O1402" s="5"/>
      <c r="P1402" s="5"/>
      <c r="Q1402" s="5"/>
      <c r="R1402" s="5"/>
      <c r="S1402" s="5"/>
    </row>
    <row r="1403" spans="1:19" ht="15.75" customHeight="1" x14ac:dyDescent="0.2">
      <c r="A1403" s="3">
        <v>46028</v>
      </c>
      <c r="B1403" s="4" t="str">
        <f>IF(A1403="","","PC-"&amp;TEXT(A1403,"mm/yyyy")&amp;"-"&amp;TEXT(COUNTIFS($A$2:A1403,"&gt;="&amp;EOMONTH(A1403,-1)+1,$A$2:A1403,"&lt;="&amp;EOMONTH(A1403,0)),"000"))</f>
        <v>PC-01/2026-320</v>
      </c>
      <c r="C1403" s="5" t="s">
        <v>77</v>
      </c>
      <c r="D1403" s="5" t="s">
        <v>29</v>
      </c>
      <c r="E1403" s="5" t="s">
        <v>78</v>
      </c>
      <c r="F1403" s="5"/>
      <c r="G1403" s="5" t="s">
        <v>72</v>
      </c>
      <c r="H1403" s="5" t="s">
        <v>27</v>
      </c>
      <c r="I1403" s="6">
        <v>414000</v>
      </c>
      <c r="J1403" s="6">
        <f>IF(D1403="Thu",I1403,0)</f>
        <v>0</v>
      </c>
      <c r="K1403" s="6">
        <f>IF(D1403="Chi",I1403,0)</f>
        <v>414000</v>
      </c>
      <c r="L1403" s="6" t="e">
        <f>L1402+J1403-K1403</f>
        <v>#VALUE!</v>
      </c>
      <c r="M1403" s="6">
        <f ca="1">IFERROR(__xludf.DUMMYFUNCTION("SUM(FILTER(J:J, H:H=""Tiền mặt"")) - SUM(FILTER(K:K, H:H=""Tiền mặt""))
"),959000)</f>
        <v>959000</v>
      </c>
      <c r="N1403" s="6">
        <f ca="1">IFERROR(__xludf.DUMMYFUNCTION("SUM(FILTER(J:J, H:H=""Chuyển khoản"")) - SUM(FILTER(K:K, H:H=""Chuyển khoản""))
"),4468984)</f>
        <v>4468984</v>
      </c>
      <c r="O1403" s="5"/>
      <c r="P1403" s="5"/>
      <c r="Q1403" s="5"/>
      <c r="R1403" s="5"/>
      <c r="S1403" s="5"/>
    </row>
    <row r="1404" spans="1:19" ht="15.75" customHeight="1" x14ac:dyDescent="0.2">
      <c r="A1404" s="3">
        <v>46028</v>
      </c>
      <c r="B1404" s="4" t="str">
        <f>IF(A1404="","","PC-"&amp;TEXT(A1404,"mm/yyyy")&amp;"-"&amp;TEXT(COUNTIFS($A$2:A1404,"&gt;="&amp;EOMONTH(A1404,-1)+1,$A$2:A1404,"&lt;="&amp;EOMONTH(A1404,0)),"000"))</f>
        <v>PC-01/2026-321</v>
      </c>
      <c r="C1404" s="4" t="s">
        <v>79</v>
      </c>
      <c r="D1404" s="55" t="s">
        <v>20</v>
      </c>
      <c r="E1404" s="58" t="s">
        <v>21</v>
      </c>
      <c r="F1404" s="59"/>
      <c r="G1404" s="5" t="s">
        <v>22</v>
      </c>
      <c r="H1404" s="61" t="s">
        <v>27</v>
      </c>
      <c r="I1404" s="61">
        <v>10000000</v>
      </c>
      <c r="J1404" s="6">
        <f>IF(D1404="Thu",I1404,0)</f>
        <v>10000000</v>
      </c>
      <c r="K1404" s="6">
        <f>IF(D1404="Chi",I1404,0)</f>
        <v>0</v>
      </c>
      <c r="L1404" s="6" t="e">
        <f>L1403+J1404-K1404</f>
        <v>#VALUE!</v>
      </c>
      <c r="M1404" s="6">
        <f ca="1">IFERROR(__xludf.DUMMYFUNCTION("SUM(FILTER(J:J, H:H=""Tiền mặt"")) - SUM(FILTER(K:K, H:H=""Tiền mặt""))
"),959000)</f>
        <v>959000</v>
      </c>
      <c r="N1404" s="6">
        <f ca="1">IFERROR(__xludf.DUMMYFUNCTION("SUM(FILTER(J:J, H:H=""Chuyển khoản"")) - SUM(FILTER(K:K, H:H=""Chuyển khoản""))
"),4468984)</f>
        <v>4468984</v>
      </c>
      <c r="O1404" s="5"/>
      <c r="P1404" s="5"/>
      <c r="Q1404" s="5"/>
      <c r="R1404" s="5"/>
      <c r="S1404" s="5"/>
    </row>
    <row r="1405" spans="1:19" ht="15.75" customHeight="1" x14ac:dyDescent="0.2">
      <c r="A1405" s="3">
        <v>46028</v>
      </c>
      <c r="B1405" s="4" t="str">
        <f>IF(A1405="","","PC-"&amp;TEXT(A1405,"mm/yyyy")&amp;"-"&amp;TEXT(COUNTIFS($A$2:A1405,"&gt;="&amp;EOMONTH(A1405,-1)+1,$A$2:A1405,"&lt;="&amp;EOMONTH(A1405,0)),"000"))</f>
        <v>PC-01/2026-322</v>
      </c>
      <c r="C1405" s="5" t="s">
        <v>80</v>
      </c>
      <c r="D1405" s="5" t="s">
        <v>29</v>
      </c>
      <c r="E1405" s="5" t="s">
        <v>71</v>
      </c>
      <c r="F1405" s="5"/>
      <c r="G1405" s="5" t="s">
        <v>72</v>
      </c>
      <c r="H1405" s="5" t="s">
        <v>27</v>
      </c>
      <c r="I1405" s="6">
        <v>80000</v>
      </c>
      <c r="J1405" s="6">
        <f>IF(D1405="Thu",I1405,0)</f>
        <v>0</v>
      </c>
      <c r="K1405" s="6">
        <f>IF(D1405="Chi",I1405,0)</f>
        <v>80000</v>
      </c>
      <c r="L1405" s="6" t="e">
        <f>L1404+J1405-K1405</f>
        <v>#VALUE!</v>
      </c>
      <c r="M1405" s="6">
        <f ca="1">IFERROR(__xludf.DUMMYFUNCTION("SUM(FILTER(J:J, H:H=""Tiền mặt"")) - SUM(FILTER(K:K, H:H=""Tiền mặt""))
"),959000)</f>
        <v>959000</v>
      </c>
      <c r="N1405" s="6">
        <f ca="1">IFERROR(__xludf.DUMMYFUNCTION("SUM(FILTER(J:J, H:H=""Chuyển khoản"")) - SUM(FILTER(K:K, H:H=""Chuyển khoản""))
"),4468984)</f>
        <v>4468984</v>
      </c>
      <c r="O1405" s="5"/>
      <c r="P1405" s="5"/>
      <c r="Q1405" s="5"/>
      <c r="R1405" s="5"/>
      <c r="S1405" s="5"/>
    </row>
    <row r="1406" spans="1:19" ht="15.75" customHeight="1" x14ac:dyDescent="0.2">
      <c r="A1406" s="3">
        <v>46028</v>
      </c>
      <c r="B1406" s="4" t="str">
        <f>IF(A1406="","","PC-"&amp;TEXT(A1406,"mm/yyyy")&amp;"-"&amp;TEXT(COUNTIFS($A$2:A1406,"&gt;="&amp;EOMONTH(A1406,-1)+1,$A$2:A1406,"&lt;="&amp;EOMONTH(A1406,0)),"000"))</f>
        <v>PC-01/2026-323</v>
      </c>
      <c r="C1406" s="4" t="s">
        <v>81</v>
      </c>
      <c r="D1406" s="5" t="s">
        <v>29</v>
      </c>
      <c r="E1406" s="5" t="s">
        <v>41</v>
      </c>
      <c r="F1406" s="5"/>
      <c r="G1406" s="5" t="s">
        <v>82</v>
      </c>
      <c r="H1406" s="5" t="s">
        <v>23</v>
      </c>
      <c r="I1406" s="6">
        <v>100000</v>
      </c>
      <c r="J1406" s="6">
        <f>IF(D1406="Thu",I1406,0)</f>
        <v>0</v>
      </c>
      <c r="K1406" s="6">
        <f>IF(D1406="Chi",I1406,0)</f>
        <v>100000</v>
      </c>
      <c r="L1406" s="6" t="e">
        <f>L1405+J1406-K1406</f>
        <v>#VALUE!</v>
      </c>
      <c r="M1406" s="6">
        <f ca="1">IFERROR(__xludf.DUMMYFUNCTION("SUM(FILTER(J:J, H:H=""Tiền mặt"")) - SUM(FILTER(K:K, H:H=""Tiền mặt""))
"),959000)</f>
        <v>959000</v>
      </c>
      <c r="N1406" s="6">
        <f ca="1">IFERROR(__xludf.DUMMYFUNCTION("SUM(FILTER(J:J, H:H=""Chuyển khoản"")) - SUM(FILTER(K:K, H:H=""Chuyển khoản""))
"),4468984)</f>
        <v>4468984</v>
      </c>
      <c r="O1406" s="5"/>
      <c r="P1406" s="5"/>
      <c r="Q1406" s="5"/>
      <c r="R1406" s="5"/>
      <c r="S1406" s="5"/>
    </row>
    <row r="1407" spans="1:19" ht="15.75" customHeight="1" x14ac:dyDescent="0.2">
      <c r="A1407" s="3">
        <v>46028</v>
      </c>
      <c r="B1407" s="4" t="str">
        <f>IF(A1407="","","PC-"&amp;TEXT(A1407,"mm/yyyy")&amp;"-"&amp;TEXT(COUNTIFS($A$2:A1407,"&gt;="&amp;EOMONTH(A1407,-1)+1,$A$2:A1407,"&lt;="&amp;EOMONTH(A1407,0)),"000"))</f>
        <v>PC-01/2026-324</v>
      </c>
      <c r="C1407" s="5" t="s">
        <v>83</v>
      </c>
      <c r="D1407" s="5" t="s">
        <v>29</v>
      </c>
      <c r="E1407" s="5" t="s">
        <v>41</v>
      </c>
      <c r="F1407" s="5"/>
      <c r="G1407" s="5" t="s">
        <v>84</v>
      </c>
      <c r="H1407" s="5" t="s">
        <v>23</v>
      </c>
      <c r="I1407" s="6">
        <v>100000</v>
      </c>
      <c r="J1407" s="6">
        <f>IF(D1407="Thu",I1407,0)</f>
        <v>0</v>
      </c>
      <c r="K1407" s="6">
        <f>IF(D1407="Chi",I1407,0)</f>
        <v>100000</v>
      </c>
      <c r="L1407" s="6" t="e">
        <f>L1406+J1407-K1407</f>
        <v>#VALUE!</v>
      </c>
      <c r="M1407" s="6">
        <f ca="1">IFERROR(__xludf.DUMMYFUNCTION("SUM(FILTER(J:J, H:H=""Tiền mặt"")) - SUM(FILTER(K:K, H:H=""Tiền mặt""))
"),959000)</f>
        <v>959000</v>
      </c>
      <c r="N1407" s="6">
        <f ca="1">IFERROR(__xludf.DUMMYFUNCTION("SUM(FILTER(J:J, H:H=""Chuyển khoản"")) - SUM(FILTER(K:K, H:H=""Chuyển khoản""))
"),4468984)</f>
        <v>4468984</v>
      </c>
      <c r="O1407" s="5"/>
      <c r="P1407" s="5"/>
      <c r="Q1407" s="5"/>
      <c r="R1407" s="5"/>
      <c r="S1407" s="5"/>
    </row>
    <row r="1408" spans="1:19" ht="15.75" customHeight="1" x14ac:dyDescent="0.2">
      <c r="A1408" s="3">
        <v>46028</v>
      </c>
      <c r="B1408" s="4" t="str">
        <f>IF(A1408="","","PC-"&amp;TEXT(A1408,"mm/yyyy")&amp;"-"&amp;TEXT(COUNTIFS($A$2:A1408,"&gt;="&amp;EOMONTH(A1408,-1)+1,$A$2:A1408,"&lt;="&amp;EOMONTH(A1408,0)),"000"))</f>
        <v>PC-01/2026-325</v>
      </c>
      <c r="C1408" s="5" t="s">
        <v>85</v>
      </c>
      <c r="D1408" s="5" t="s">
        <v>29</v>
      </c>
      <c r="E1408" s="5" t="s">
        <v>64</v>
      </c>
      <c r="F1408" s="5"/>
      <c r="G1408" s="5" t="s">
        <v>86</v>
      </c>
      <c r="H1408" s="5" t="s">
        <v>27</v>
      </c>
      <c r="I1408" s="6">
        <v>850000</v>
      </c>
      <c r="J1408" s="6">
        <f>IF(D1408="Thu",I1408,0)</f>
        <v>0</v>
      </c>
      <c r="K1408" s="6">
        <f>IF(D1408="Chi",I1408,0)</f>
        <v>850000</v>
      </c>
      <c r="L1408" s="6" t="e">
        <f>L1407+J1408-K1408</f>
        <v>#VALUE!</v>
      </c>
      <c r="M1408" s="6">
        <f ca="1">IFERROR(__xludf.DUMMYFUNCTION("SUM(FILTER(J:J, H:H=""Tiền mặt"")) - SUM(FILTER(K:K, H:H=""Tiền mặt""))
"),959000)</f>
        <v>959000</v>
      </c>
      <c r="N1408" s="6">
        <f ca="1">IFERROR(__xludf.DUMMYFUNCTION("SUM(FILTER(J:J, H:H=""Chuyển khoản"")) - SUM(FILTER(K:K, H:H=""Chuyển khoản""))
"),4468984)</f>
        <v>4468984</v>
      </c>
      <c r="O1408" s="5"/>
      <c r="P1408" s="5"/>
      <c r="Q1408" s="5"/>
      <c r="R1408" s="5"/>
      <c r="S1408" s="5"/>
    </row>
    <row r="1409" spans="1:19" ht="15.75" customHeight="1" x14ac:dyDescent="0.2">
      <c r="A1409" s="48">
        <v>46028</v>
      </c>
      <c r="B1409" s="4" t="str">
        <f>IF(A1409="","","PC-"&amp;TEXT(A1409,"mm/yyyy")&amp;"-"&amp;TEXT(COUNTIFS($A$2:A1409,"&gt;="&amp;EOMONTH(A1409,-1)+1,$A$2:A1409,"&lt;="&amp;EOMONTH(A1409,0)),"000"))</f>
        <v>PC-01/2026-326</v>
      </c>
      <c r="C1409" s="50" t="s">
        <v>87</v>
      </c>
      <c r="D1409" s="54" t="s">
        <v>29</v>
      </c>
      <c r="E1409" s="56" t="s">
        <v>88</v>
      </c>
      <c r="F1409" s="59"/>
      <c r="G1409" s="5" t="s">
        <v>89</v>
      </c>
      <c r="H1409" s="60" t="s">
        <v>23</v>
      </c>
      <c r="I1409" s="61">
        <v>137000</v>
      </c>
      <c r="J1409" s="6">
        <f>IF(D1409="Thu",I1409,0)</f>
        <v>0</v>
      </c>
      <c r="K1409" s="6">
        <f>IF(D1409="Chi",I1409,0)</f>
        <v>137000</v>
      </c>
      <c r="L1409" s="6" t="e">
        <f>L1408+J1409-K1409</f>
        <v>#VALUE!</v>
      </c>
      <c r="M1409" s="6">
        <f ca="1">IFERROR(__xludf.DUMMYFUNCTION("SUM(FILTER(J:J, H:H=""Tiền mặt"")) - SUM(FILTER(K:K, H:H=""Tiền mặt""))
"),959000)</f>
        <v>959000</v>
      </c>
      <c r="N1409" s="6">
        <f ca="1">IFERROR(__xludf.DUMMYFUNCTION("SUM(FILTER(J:J, H:H=""Chuyển khoản"")) - SUM(FILTER(K:K, H:H=""Chuyển khoản""))
"),4468984)</f>
        <v>4468984</v>
      </c>
      <c r="O1409" s="5"/>
      <c r="P1409" s="5"/>
      <c r="Q1409" s="5"/>
      <c r="R1409" s="5"/>
      <c r="S1409" s="5"/>
    </row>
    <row r="1410" spans="1:19" ht="15.75" customHeight="1" x14ac:dyDescent="0.2">
      <c r="A1410" s="3">
        <v>46027</v>
      </c>
      <c r="B1410" s="4" t="str">
        <f>IF(A1410="","","PC-"&amp;TEXT(A1410,"mm/yyyy")&amp;"-"&amp;TEXT(COUNTIFS($A$2:A1410,"&gt;="&amp;EOMONTH(A1410,-1)+1,$A$2:A1410,"&lt;="&amp;EOMONTH(A1410,0)),"000"))</f>
        <v>PC-01/2026-327</v>
      </c>
      <c r="C1410" s="5" t="s">
        <v>38</v>
      </c>
      <c r="D1410" s="5" t="s">
        <v>29</v>
      </c>
      <c r="E1410" s="5" t="s">
        <v>30</v>
      </c>
      <c r="F1410" s="5"/>
      <c r="G1410" s="5" t="s">
        <v>37</v>
      </c>
      <c r="H1410" s="5" t="s">
        <v>23</v>
      </c>
      <c r="I1410" s="6">
        <v>50000</v>
      </c>
      <c r="J1410" s="6">
        <f>IF(D1410="Thu",I1410,0)</f>
        <v>0</v>
      </c>
      <c r="K1410" s="6">
        <f>IF(D1410="Chi",I1410,0)</f>
        <v>50000</v>
      </c>
      <c r="L1410" s="6" t="e">
        <f>L1409+J1410-K1410</f>
        <v>#VALUE!</v>
      </c>
      <c r="M1410" s="6">
        <f ca="1">IFERROR(__xludf.DUMMYFUNCTION("SUM(FILTER(J:J, H:H=""Tiền mặt"")) - SUM(FILTER(K:K, H:H=""Tiền mặt""))
"),959000)</f>
        <v>959000</v>
      </c>
      <c r="N1410" s="6">
        <f ca="1">IFERROR(__xludf.DUMMYFUNCTION("SUM(FILTER(J:J, H:H=""Chuyển khoản"")) - SUM(FILTER(K:K, H:H=""Chuyển khoản""))
"),4468984)</f>
        <v>4468984</v>
      </c>
      <c r="O1410" s="5"/>
      <c r="P1410" s="5"/>
      <c r="Q1410" s="5"/>
      <c r="R1410" s="5"/>
      <c r="S1410" s="5"/>
    </row>
    <row r="1411" spans="1:19" ht="15.75" customHeight="1" x14ac:dyDescent="0.2">
      <c r="A1411" s="3">
        <v>46027</v>
      </c>
      <c r="B1411" s="4" t="str">
        <f>IF(A1411="","","PC-"&amp;TEXT(A1411,"mm/yyyy")&amp;"-"&amp;TEXT(COUNTIFS($A$2:A1411,"&gt;="&amp;EOMONTH(A1411,-1)+1,$A$2:A1411,"&lt;="&amp;EOMONTH(A1411,0)),"000"))</f>
        <v>PC-01/2026-328</v>
      </c>
      <c r="C1411" s="5" t="s">
        <v>39</v>
      </c>
      <c r="D1411" s="5" t="s">
        <v>29</v>
      </c>
      <c r="E1411" s="5" t="s">
        <v>36</v>
      </c>
      <c r="F1411" s="5"/>
      <c r="G1411" s="5" t="s">
        <v>37</v>
      </c>
      <c r="H1411" s="5" t="s">
        <v>23</v>
      </c>
      <c r="I1411" s="6">
        <v>84000</v>
      </c>
      <c r="J1411" s="6">
        <f>IF(D1411="Thu",I1411,0)</f>
        <v>0</v>
      </c>
      <c r="K1411" s="6">
        <f>IF(D1411="Chi",I1411,0)</f>
        <v>84000</v>
      </c>
      <c r="L1411" s="6" t="e">
        <f>L1410+J1411-K1411</f>
        <v>#VALUE!</v>
      </c>
      <c r="M1411" s="6">
        <f ca="1">IFERROR(__xludf.DUMMYFUNCTION("SUM(FILTER(J:J, H:H=""Tiền mặt"")) - SUM(FILTER(K:K, H:H=""Tiền mặt""))
"),959000)</f>
        <v>959000</v>
      </c>
      <c r="N1411" s="6">
        <f ca="1">IFERROR(__xludf.DUMMYFUNCTION("SUM(FILTER(J:J, H:H=""Chuyển khoản"")) - SUM(FILTER(K:K, H:H=""Chuyển khoản""))
"),4468984)</f>
        <v>4468984</v>
      </c>
      <c r="O1411" s="5"/>
      <c r="P1411" s="5"/>
      <c r="Q1411" s="5"/>
      <c r="R1411" s="5"/>
      <c r="S1411" s="5"/>
    </row>
    <row r="1412" spans="1:19" ht="15.75" customHeight="1" x14ac:dyDescent="0.2">
      <c r="A1412" s="3">
        <v>46027</v>
      </c>
      <c r="B1412" s="4" t="str">
        <f>IF(A1412="","","PC-"&amp;TEXT(A1412,"mm/yyyy")&amp;"-"&amp;TEXT(COUNTIFS($A$2:A1412,"&gt;="&amp;EOMONTH(A1412,-1)+1,$A$2:A1412,"&lt;="&amp;EOMONTH(A1412,0)),"000"))</f>
        <v>PC-01/2026-329</v>
      </c>
      <c r="C1412" s="5" t="s">
        <v>40</v>
      </c>
      <c r="D1412" s="5" t="s">
        <v>29</v>
      </c>
      <c r="E1412" s="5" t="s">
        <v>41</v>
      </c>
      <c r="F1412" s="5"/>
      <c r="G1412" s="5" t="s">
        <v>42</v>
      </c>
      <c r="H1412" s="5" t="s">
        <v>23</v>
      </c>
      <c r="I1412" s="6">
        <v>100000</v>
      </c>
      <c r="J1412" s="6">
        <f>IF(D1412="Thu",I1412,0)</f>
        <v>0</v>
      </c>
      <c r="K1412" s="6">
        <f>IF(D1412="Chi",I1412,0)</f>
        <v>100000</v>
      </c>
      <c r="L1412" s="6" t="e">
        <f>L1411+J1412-K1412</f>
        <v>#VALUE!</v>
      </c>
      <c r="M1412" s="6">
        <f ca="1">IFERROR(__xludf.DUMMYFUNCTION("SUM(FILTER(J:J, H:H=""Tiền mặt"")) - SUM(FILTER(K:K, H:H=""Tiền mặt""))
"),959000)</f>
        <v>959000</v>
      </c>
      <c r="N1412" s="6">
        <f ca="1">IFERROR(__xludf.DUMMYFUNCTION("SUM(FILTER(J:J, H:H=""Chuyển khoản"")) - SUM(FILTER(K:K, H:H=""Chuyển khoản""))
"),4468984)</f>
        <v>4468984</v>
      </c>
      <c r="O1412" s="5"/>
      <c r="P1412" s="5"/>
      <c r="Q1412" s="5"/>
      <c r="R1412" s="5"/>
      <c r="S1412" s="5"/>
    </row>
    <row r="1413" spans="1:19" ht="15.75" customHeight="1" x14ac:dyDescent="0.2">
      <c r="A1413" s="3">
        <v>46027</v>
      </c>
      <c r="B1413" s="4" t="str">
        <f>IF(A1413="","","PC-"&amp;TEXT(A1413,"mm/yyyy")&amp;"-"&amp;TEXT(COUNTIFS($A$2:A1413,"&gt;="&amp;EOMONTH(A1413,-1)+1,$A$2:A1413,"&lt;="&amp;EOMONTH(A1413,0)),"000"))</f>
        <v>PC-01/2026-330</v>
      </c>
      <c r="C1413" s="5" t="s">
        <v>43</v>
      </c>
      <c r="D1413" s="5" t="s">
        <v>29</v>
      </c>
      <c r="E1413" s="5" t="s">
        <v>44</v>
      </c>
      <c r="F1413" s="5"/>
      <c r="G1413" s="5" t="s">
        <v>45</v>
      </c>
      <c r="H1413" s="5" t="s">
        <v>23</v>
      </c>
      <c r="I1413" s="6">
        <v>1000000</v>
      </c>
      <c r="J1413" s="6">
        <f>IF(D1413="Thu",I1413,0)</f>
        <v>0</v>
      </c>
      <c r="K1413" s="6">
        <f>IF(D1413="Chi",I1413,0)</f>
        <v>1000000</v>
      </c>
      <c r="L1413" s="6" t="e">
        <f>L1412+J1413-K1413</f>
        <v>#VALUE!</v>
      </c>
      <c r="M1413" s="6">
        <f ca="1">IFERROR(__xludf.DUMMYFUNCTION("SUM(FILTER(J:J, H:H=""Tiền mặt"")) - SUM(FILTER(K:K, H:H=""Tiền mặt""))
"),959000)</f>
        <v>959000</v>
      </c>
      <c r="N1413" s="6">
        <f ca="1">IFERROR(__xludf.DUMMYFUNCTION("SUM(FILTER(J:J, H:H=""Chuyển khoản"")) - SUM(FILTER(K:K, H:H=""Chuyển khoản""))
"),4468984)</f>
        <v>4468984</v>
      </c>
      <c r="O1413" s="5"/>
      <c r="P1413" s="5"/>
      <c r="Q1413" s="5"/>
      <c r="R1413" s="5"/>
      <c r="S1413" s="5"/>
    </row>
    <row r="1414" spans="1:19" ht="15.75" customHeight="1" x14ac:dyDescent="0.2">
      <c r="A1414" s="3">
        <v>46027</v>
      </c>
      <c r="B1414" s="4" t="str">
        <f>IF(A1414="","","PC-"&amp;TEXT(A1414,"mm/yyyy")&amp;"-"&amp;TEXT(COUNTIFS($A$2:A1414,"&gt;="&amp;EOMONTH(A1414,-1)+1,$A$2:A1414,"&lt;="&amp;EOMONTH(A1414,0)),"000"))</f>
        <v>PC-01/2026-331</v>
      </c>
      <c r="C1414" s="4" t="s">
        <v>46</v>
      </c>
      <c r="D1414" s="5" t="s">
        <v>29</v>
      </c>
      <c r="E1414" s="5" t="s">
        <v>47</v>
      </c>
      <c r="F1414" s="5"/>
      <c r="G1414" s="5" t="s">
        <v>48</v>
      </c>
      <c r="H1414" s="5" t="s">
        <v>23</v>
      </c>
      <c r="I1414" s="6">
        <v>50000</v>
      </c>
      <c r="J1414" s="6">
        <f>IF(D1414="Thu",I1414,0)</f>
        <v>0</v>
      </c>
      <c r="K1414" s="6">
        <f>IF(D1414="Chi",I1414,0)</f>
        <v>50000</v>
      </c>
      <c r="L1414" s="6" t="e">
        <f>L1413+J1414-K1414</f>
        <v>#VALUE!</v>
      </c>
      <c r="M1414" s="6">
        <f ca="1">IFERROR(__xludf.DUMMYFUNCTION("SUM(FILTER(J:J, H:H=""Tiền mặt"")) - SUM(FILTER(K:K, H:H=""Tiền mặt""))
"),959000)</f>
        <v>959000</v>
      </c>
      <c r="N1414" s="6">
        <f ca="1">IFERROR(__xludf.DUMMYFUNCTION("SUM(FILTER(J:J, H:H=""Chuyển khoản"")) - SUM(FILTER(K:K, H:H=""Chuyển khoản""))
"),4468984)</f>
        <v>4468984</v>
      </c>
      <c r="O1414" s="5"/>
      <c r="P1414" s="5"/>
      <c r="Q1414" s="5"/>
      <c r="R1414" s="5"/>
      <c r="S1414" s="5"/>
    </row>
    <row r="1415" spans="1:19" ht="15.75" customHeight="1" x14ac:dyDescent="0.2">
      <c r="A1415" s="3">
        <v>46027</v>
      </c>
      <c r="B1415" s="4" t="str">
        <f>IF(A1415="","","PC-"&amp;TEXT(A1415,"mm/yyyy")&amp;"-"&amp;TEXT(COUNTIFS($A$2:A1415,"&gt;="&amp;EOMONTH(A1415,-1)+1,$A$2:A1415,"&lt;="&amp;EOMONTH(A1415,0)),"000"))</f>
        <v>PC-01/2026-332</v>
      </c>
      <c r="C1415" s="4" t="s">
        <v>49</v>
      </c>
      <c r="D1415" s="5" t="s">
        <v>20</v>
      </c>
      <c r="E1415" s="5" t="s">
        <v>21</v>
      </c>
      <c r="F1415" s="5"/>
      <c r="G1415" s="5" t="s">
        <v>22</v>
      </c>
      <c r="H1415" s="5" t="s">
        <v>27</v>
      </c>
      <c r="I1415" s="6">
        <v>10000000</v>
      </c>
      <c r="J1415" s="6">
        <f>IF(D1415="Thu",I1415,0)</f>
        <v>10000000</v>
      </c>
      <c r="K1415" s="6">
        <f>IF(D1415="Chi",I1415,0)</f>
        <v>0</v>
      </c>
      <c r="L1415" s="6" t="e">
        <f>L1414+J1415-K1415</f>
        <v>#VALUE!</v>
      </c>
      <c r="M1415" s="6">
        <f ca="1">IFERROR(__xludf.DUMMYFUNCTION("SUM(FILTER(J:J, H:H=""Tiền mặt"")) - SUM(FILTER(K:K, H:H=""Tiền mặt""))
"),959000)</f>
        <v>959000</v>
      </c>
      <c r="N1415" s="6">
        <f ca="1">IFERROR(__xludf.DUMMYFUNCTION("SUM(FILTER(J:J, H:H=""Chuyển khoản"")) - SUM(FILTER(K:K, H:H=""Chuyển khoản""))
"),4468984)</f>
        <v>4468984</v>
      </c>
      <c r="O1415" s="5"/>
      <c r="P1415" s="5"/>
      <c r="Q1415" s="5"/>
      <c r="R1415" s="5"/>
      <c r="S1415" s="5"/>
    </row>
    <row r="1416" spans="1:19" ht="15.75" customHeight="1" x14ac:dyDescent="0.2">
      <c r="A1416" s="3">
        <v>46027</v>
      </c>
      <c r="B1416" s="4" t="str">
        <f>IF(A1416="","","PC-"&amp;TEXT(A1416,"mm/yyyy")&amp;"-"&amp;TEXT(COUNTIFS($A$2:A1416,"&gt;="&amp;EOMONTH(A1416,-1)+1,$A$2:A1416,"&lt;="&amp;EOMONTH(A1416,0)),"000"))</f>
        <v>PC-01/2026-333</v>
      </c>
      <c r="C1416" s="5" t="s">
        <v>50</v>
      </c>
      <c r="D1416" s="5" t="s">
        <v>29</v>
      </c>
      <c r="E1416" s="5" t="s">
        <v>51</v>
      </c>
      <c r="F1416" s="5"/>
      <c r="G1416" s="5" t="s">
        <v>52</v>
      </c>
      <c r="H1416" s="5" t="s">
        <v>27</v>
      </c>
      <c r="I1416" s="6">
        <v>138798</v>
      </c>
      <c r="J1416" s="6">
        <f>IF(D1416="Thu",I1416,0)</f>
        <v>0</v>
      </c>
      <c r="K1416" s="6">
        <f>IF(D1416="Chi",I1416,0)</f>
        <v>138798</v>
      </c>
      <c r="L1416" s="6" t="e">
        <f>L1415+J1416-K1416</f>
        <v>#VALUE!</v>
      </c>
      <c r="M1416" s="6">
        <f ca="1">IFERROR(__xludf.DUMMYFUNCTION("SUM(FILTER(J:J, H:H=""Tiền mặt"")) - SUM(FILTER(K:K, H:H=""Tiền mặt""))
"),959000)</f>
        <v>959000</v>
      </c>
      <c r="N1416" s="6">
        <f ca="1">IFERROR(__xludf.DUMMYFUNCTION("SUM(FILTER(J:J, H:H=""Chuyển khoản"")) - SUM(FILTER(K:K, H:H=""Chuyển khoản""))
"),4468984)</f>
        <v>4468984</v>
      </c>
      <c r="O1416" s="5"/>
      <c r="P1416" s="5"/>
      <c r="Q1416" s="5"/>
      <c r="R1416" s="5"/>
      <c r="S1416" s="5"/>
    </row>
    <row r="1417" spans="1:19" ht="15.75" customHeight="1" x14ac:dyDescent="0.2">
      <c r="A1417" s="3">
        <v>46027</v>
      </c>
      <c r="B1417" s="4" t="str">
        <f>IF(A1417="","","PC-"&amp;TEXT(A1417,"mm/yyyy")&amp;"-"&amp;TEXT(COUNTIFS($A$2:A1417,"&gt;="&amp;EOMONTH(A1417,-1)+1,$A$2:A1417,"&lt;="&amp;EOMONTH(A1417,0)),"000"))</f>
        <v>PC-01/2026-334</v>
      </c>
      <c r="C1417" s="5" t="s">
        <v>53</v>
      </c>
      <c r="D1417" s="5" t="s">
        <v>29</v>
      </c>
      <c r="E1417" s="5" t="s">
        <v>51</v>
      </c>
      <c r="F1417" s="5"/>
      <c r="G1417" s="5" t="s">
        <v>54</v>
      </c>
      <c r="H1417" s="5" t="s">
        <v>27</v>
      </c>
      <c r="I1417" s="6">
        <v>86900</v>
      </c>
      <c r="J1417" s="6">
        <f>IF(D1417="Thu",I1417,0)</f>
        <v>0</v>
      </c>
      <c r="K1417" s="6">
        <f>IF(D1417="Chi",I1417,0)</f>
        <v>86900</v>
      </c>
      <c r="L1417" s="6" t="e">
        <f>L1416+J1417-K1417</f>
        <v>#VALUE!</v>
      </c>
      <c r="M1417" s="6">
        <f ca="1">IFERROR(__xludf.DUMMYFUNCTION("SUM(FILTER(J:J, H:H=""Tiền mặt"")) - SUM(FILTER(K:K, H:H=""Tiền mặt""))
"),959000)</f>
        <v>959000</v>
      </c>
      <c r="N1417" s="6">
        <f ca="1">IFERROR(__xludf.DUMMYFUNCTION("SUM(FILTER(J:J, H:H=""Chuyển khoản"")) - SUM(FILTER(K:K, H:H=""Chuyển khoản""))
"),4468984)</f>
        <v>4468984</v>
      </c>
      <c r="O1417" s="5"/>
      <c r="P1417" s="5"/>
      <c r="Q1417" s="5"/>
      <c r="R1417" s="5"/>
      <c r="S1417" s="5"/>
    </row>
    <row r="1418" spans="1:19" ht="15.75" customHeight="1" x14ac:dyDescent="0.2">
      <c r="A1418" s="3">
        <v>46027</v>
      </c>
      <c r="B1418" s="4" t="str">
        <f>IF(A1418="","","PC-"&amp;TEXT(A1418,"mm/yyyy")&amp;"-"&amp;TEXT(COUNTIFS($A$2:A1418,"&gt;="&amp;EOMONTH(A1418,-1)+1,$A$2:A1418,"&lt;="&amp;EOMONTH(A1418,0)),"000"))</f>
        <v>PC-01/2026-335</v>
      </c>
      <c r="C1418" s="5" t="s">
        <v>55</v>
      </c>
      <c r="D1418" s="5" t="s">
        <v>29</v>
      </c>
      <c r="E1418" s="5" t="s">
        <v>51</v>
      </c>
      <c r="F1418" s="5"/>
      <c r="G1418" s="5" t="s">
        <v>54</v>
      </c>
      <c r="H1418" s="5" t="s">
        <v>27</v>
      </c>
      <c r="I1418" s="6">
        <v>116308</v>
      </c>
      <c r="J1418" s="6">
        <f>IF(D1418="Thu",I1418,0)</f>
        <v>0</v>
      </c>
      <c r="K1418" s="6">
        <f>IF(D1418="Chi",I1418,0)</f>
        <v>116308</v>
      </c>
      <c r="L1418" s="6" t="e">
        <f>L1417+J1418-K1418</f>
        <v>#VALUE!</v>
      </c>
      <c r="M1418" s="6">
        <f ca="1">IFERROR(__xludf.DUMMYFUNCTION("SUM(FILTER(J:J, H:H=""Tiền mặt"")) - SUM(FILTER(K:K, H:H=""Tiền mặt""))
"),959000)</f>
        <v>959000</v>
      </c>
      <c r="N1418" s="6">
        <f ca="1">IFERROR(__xludf.DUMMYFUNCTION("SUM(FILTER(J:J, H:H=""Chuyển khoản"")) - SUM(FILTER(K:K, H:H=""Chuyển khoản""))
"),4468984)</f>
        <v>4468984</v>
      </c>
      <c r="O1418" s="5"/>
      <c r="P1418" s="5"/>
      <c r="Q1418" s="5"/>
      <c r="R1418" s="5"/>
      <c r="S1418" s="5"/>
    </row>
    <row r="1419" spans="1:19" ht="15.75" customHeight="1" x14ac:dyDescent="0.2">
      <c r="A1419" s="3">
        <v>46027</v>
      </c>
      <c r="B1419" s="4" t="str">
        <f>IF(A1419="","","PC-"&amp;TEXT(A1419,"mm/yyyy")&amp;"-"&amp;TEXT(COUNTIFS($A$2:A1419,"&gt;="&amp;EOMONTH(A1419,-1)+1,$A$2:A1419,"&lt;="&amp;EOMONTH(A1419,0)),"000"))</f>
        <v>PC-01/2026-336</v>
      </c>
      <c r="C1419" s="7" t="s">
        <v>56</v>
      </c>
      <c r="D1419" s="5" t="s">
        <v>20</v>
      </c>
      <c r="E1419" s="5" t="s">
        <v>21</v>
      </c>
      <c r="F1419" s="5"/>
      <c r="G1419" s="5" t="s">
        <v>37</v>
      </c>
      <c r="H1419" s="5" t="s">
        <v>23</v>
      </c>
      <c r="I1419" s="6">
        <v>256000</v>
      </c>
      <c r="J1419" s="6">
        <f>IF(D1419="Thu",I1419,0)</f>
        <v>256000</v>
      </c>
      <c r="K1419" s="6">
        <f>IF(D1419="Chi",I1419,0)</f>
        <v>0</v>
      </c>
      <c r="L1419" s="6" t="e">
        <f>L1418+J1419-K1419</f>
        <v>#VALUE!</v>
      </c>
      <c r="M1419" s="6">
        <f ca="1">IFERROR(__xludf.DUMMYFUNCTION("SUM(FILTER(J:J, H:H=""Tiền mặt"")) - SUM(FILTER(K:K, H:H=""Tiền mặt""))
"),959000)</f>
        <v>959000</v>
      </c>
      <c r="N1419" s="6">
        <f ca="1">IFERROR(__xludf.DUMMYFUNCTION("SUM(FILTER(J:J, H:H=""Chuyển khoản"")) - SUM(FILTER(K:K, H:H=""Chuyển khoản""))
"),4468984)</f>
        <v>4468984</v>
      </c>
      <c r="O1419" s="5"/>
      <c r="P1419" s="5"/>
      <c r="Q1419" s="5"/>
      <c r="R1419" s="5"/>
      <c r="S1419" s="5"/>
    </row>
    <row r="1420" spans="1:19" ht="15.75" customHeight="1" x14ac:dyDescent="0.2">
      <c r="A1420" s="3">
        <v>46027</v>
      </c>
      <c r="B1420" s="4" t="str">
        <f>IF(A1420="","","PC-"&amp;TEXT(A1420,"mm/yyyy")&amp;"-"&amp;TEXT(COUNTIFS($A$2:A1420,"&gt;="&amp;EOMONTH(A1420,-1)+1,$A$2:A1420,"&lt;="&amp;EOMONTH(A1420,0)),"000"))</f>
        <v>PC-01/2026-337</v>
      </c>
      <c r="C1420" s="5" t="s">
        <v>57</v>
      </c>
      <c r="D1420" s="5" t="s">
        <v>29</v>
      </c>
      <c r="E1420" s="5" t="s">
        <v>44</v>
      </c>
      <c r="F1420" s="5"/>
      <c r="G1420" s="5" t="s">
        <v>45</v>
      </c>
      <c r="H1420" s="5" t="s">
        <v>23</v>
      </c>
      <c r="I1420" s="6">
        <v>1500000</v>
      </c>
      <c r="J1420" s="6">
        <f>IF(D1420="Thu",I1420,0)</f>
        <v>0</v>
      </c>
      <c r="K1420" s="6">
        <f>IF(D1420="Chi",I1420,0)</f>
        <v>1500000</v>
      </c>
      <c r="L1420" s="6" t="e">
        <f>L1419+J1420-K1420</f>
        <v>#VALUE!</v>
      </c>
      <c r="M1420" s="6">
        <f ca="1">IFERROR(__xludf.DUMMYFUNCTION("SUM(FILTER(J:J, H:H=""Tiền mặt"")) - SUM(FILTER(K:K, H:H=""Tiền mặt""))
"),959000)</f>
        <v>959000</v>
      </c>
      <c r="N1420" s="6">
        <f ca="1">IFERROR(__xludf.DUMMYFUNCTION("SUM(FILTER(J:J, H:H=""Chuyển khoản"")) - SUM(FILTER(K:K, H:H=""Chuyển khoản""))
"),4468984)</f>
        <v>4468984</v>
      </c>
      <c r="O1420" s="5"/>
      <c r="P1420" s="5"/>
      <c r="Q1420" s="5"/>
      <c r="R1420" s="5"/>
      <c r="S1420" s="5"/>
    </row>
    <row r="1421" spans="1:19" ht="15.75" customHeight="1" x14ac:dyDescent="0.2">
      <c r="A1421" s="3">
        <v>46027</v>
      </c>
      <c r="B1421" s="4" t="str">
        <f>IF(A1421="","","PC-"&amp;TEXT(A1421,"mm/yyyy")&amp;"-"&amp;TEXT(COUNTIFS($A$2:A1421,"&gt;="&amp;EOMONTH(A1421,-1)+1,$A$2:A1421,"&lt;="&amp;EOMONTH(A1421,0)),"000"))</f>
        <v>PC-01/2026-338</v>
      </c>
      <c r="C1421" s="5" t="s">
        <v>58</v>
      </c>
      <c r="D1421" s="5" t="s">
        <v>29</v>
      </c>
      <c r="E1421" s="5" t="s">
        <v>47</v>
      </c>
      <c r="F1421" s="5"/>
      <c r="G1421" s="5" t="s">
        <v>48</v>
      </c>
      <c r="H1421" s="5" t="s">
        <v>23</v>
      </c>
      <c r="I1421" s="6">
        <v>50000</v>
      </c>
      <c r="J1421" s="6">
        <f>IF(D1421="Thu",I1421,0)</f>
        <v>0</v>
      </c>
      <c r="K1421" s="6">
        <f>IF(D1421="Chi",I1421,0)</f>
        <v>50000</v>
      </c>
      <c r="L1421" s="6" t="e">
        <f>L1420+J1421-K1421</f>
        <v>#VALUE!</v>
      </c>
      <c r="M1421" s="6">
        <f ca="1">IFERROR(__xludf.DUMMYFUNCTION("SUM(FILTER(J:J, H:H=""Tiền mặt"")) - SUM(FILTER(K:K, H:H=""Tiền mặt""))
"),959000)</f>
        <v>959000</v>
      </c>
      <c r="N1421" s="6">
        <f ca="1">IFERROR(__xludf.DUMMYFUNCTION("SUM(FILTER(J:J, H:H=""Chuyển khoản"")) - SUM(FILTER(K:K, H:H=""Chuyển khoản""))
"),4468984)</f>
        <v>4468984</v>
      </c>
      <c r="O1421" s="5"/>
      <c r="P1421" s="5"/>
      <c r="Q1421" s="5"/>
      <c r="R1421" s="5"/>
      <c r="S1421" s="5"/>
    </row>
    <row r="1422" spans="1:19" ht="15.75" customHeight="1" x14ac:dyDescent="0.2">
      <c r="A1422" s="3">
        <v>46027</v>
      </c>
      <c r="B1422" s="4" t="str">
        <f>IF(A1422="","","PC-"&amp;TEXT(A1422,"mm/yyyy")&amp;"-"&amp;TEXT(COUNTIFS($A$2:A1422,"&gt;="&amp;EOMONTH(A1422,-1)+1,$A$2:A1422,"&lt;="&amp;EOMONTH(A1422,0)),"000"))</f>
        <v>PC-01/2026-339</v>
      </c>
      <c r="C1422" s="5" t="s">
        <v>59</v>
      </c>
      <c r="D1422" s="5" t="s">
        <v>29</v>
      </c>
      <c r="E1422" s="5" t="s">
        <v>51</v>
      </c>
      <c r="F1422" s="5"/>
      <c r="G1422" s="5" t="s">
        <v>52</v>
      </c>
      <c r="H1422" s="5" t="s">
        <v>27</v>
      </c>
      <c r="I1422" s="6">
        <v>60500</v>
      </c>
      <c r="J1422" s="6">
        <f>IF(D1422="Thu",I1422,0)</f>
        <v>0</v>
      </c>
      <c r="K1422" s="6">
        <f>IF(D1422="Chi",I1422,0)</f>
        <v>60500</v>
      </c>
      <c r="L1422" s="6" t="e">
        <f>L1421+J1422-K1422</f>
        <v>#VALUE!</v>
      </c>
      <c r="M1422" s="6">
        <f ca="1">IFERROR(__xludf.DUMMYFUNCTION("SUM(FILTER(J:J, H:H=""Tiền mặt"")) - SUM(FILTER(K:K, H:H=""Tiền mặt""))
"),959000)</f>
        <v>959000</v>
      </c>
      <c r="N1422" s="6">
        <f ca="1">IFERROR(__xludf.DUMMYFUNCTION("SUM(FILTER(J:J, H:H=""Chuyển khoản"")) - SUM(FILTER(K:K, H:H=""Chuyển khoản""))
"),4468984)</f>
        <v>4468984</v>
      </c>
      <c r="O1422" s="5"/>
      <c r="P1422" s="5"/>
      <c r="Q1422" s="5"/>
      <c r="R1422" s="5"/>
      <c r="S1422" s="5"/>
    </row>
    <row r="1423" spans="1:19" ht="15.75" customHeight="1" x14ac:dyDescent="0.2">
      <c r="A1423" s="3">
        <v>46027</v>
      </c>
      <c r="B1423" s="4" t="str">
        <f>IF(A1423="","","PC-"&amp;TEXT(A1423,"mm/yyyy")&amp;"-"&amp;TEXT(COUNTIFS($A$2:A1423,"&gt;="&amp;EOMONTH(A1423,-1)+1,$A$2:A1423,"&lt;="&amp;EOMONTH(A1423,0)),"000"))</f>
        <v>PC-01/2026-340</v>
      </c>
      <c r="C1423" s="5" t="s">
        <v>60</v>
      </c>
      <c r="D1423" s="5" t="s">
        <v>29</v>
      </c>
      <c r="E1423" s="5" t="s">
        <v>61</v>
      </c>
      <c r="F1423" s="5"/>
      <c r="G1423" s="5" t="s">
        <v>52</v>
      </c>
      <c r="H1423" s="5" t="s">
        <v>27</v>
      </c>
      <c r="I1423" s="6">
        <v>200000</v>
      </c>
      <c r="J1423" s="6">
        <f>IF(D1423="Thu",I1423,0)</f>
        <v>0</v>
      </c>
      <c r="K1423" s="6">
        <f>IF(D1423="Chi",I1423,0)</f>
        <v>200000</v>
      </c>
      <c r="L1423" s="6" t="e">
        <f>L1422+J1423-K1423</f>
        <v>#VALUE!</v>
      </c>
      <c r="M1423" s="6">
        <f ca="1">IFERROR(__xludf.DUMMYFUNCTION("SUM(FILTER(J:J, H:H=""Tiền mặt"")) - SUM(FILTER(K:K, H:H=""Tiền mặt""))
"),959000)</f>
        <v>959000</v>
      </c>
      <c r="N1423" s="6">
        <f ca="1">IFERROR(__xludf.DUMMYFUNCTION("SUM(FILTER(J:J, H:H=""Chuyển khoản"")) - SUM(FILTER(K:K, H:H=""Chuyển khoản""))
"),4468984)</f>
        <v>4468984</v>
      </c>
      <c r="O1423" s="5"/>
      <c r="P1423" s="5"/>
      <c r="Q1423" s="5"/>
      <c r="R1423" s="5"/>
      <c r="S1423" s="5"/>
    </row>
    <row r="1424" spans="1:19" ht="15.75" customHeight="1" x14ac:dyDescent="0.2">
      <c r="A1424" s="3">
        <v>46027</v>
      </c>
      <c r="B1424" s="4" t="str">
        <f>IF(A1424="","","PC-"&amp;TEXT(A1424,"mm/yyyy")&amp;"-"&amp;TEXT(COUNTIFS($A$2:A1424,"&gt;="&amp;EOMONTH(A1424,-1)+1,$A$2:A1424,"&lt;="&amp;EOMONTH(A1424,0)),"000"))</f>
        <v>PC-01/2026-341</v>
      </c>
      <c r="C1424" s="5" t="s">
        <v>62</v>
      </c>
      <c r="D1424" s="5" t="s">
        <v>29</v>
      </c>
      <c r="E1424" s="5" t="s">
        <v>41</v>
      </c>
      <c r="F1424" s="5"/>
      <c r="G1424" s="5" t="s">
        <v>42</v>
      </c>
      <c r="H1424" s="5" t="s">
        <v>23</v>
      </c>
      <c r="I1424" s="6">
        <v>100000</v>
      </c>
      <c r="J1424" s="6">
        <f>IF(D1424="Thu",I1424,0)</f>
        <v>0</v>
      </c>
      <c r="K1424" s="6">
        <f>IF(D1424="Chi",I1424,0)</f>
        <v>100000</v>
      </c>
      <c r="L1424" s="6" t="e">
        <f>L1423+J1424-K1424</f>
        <v>#VALUE!</v>
      </c>
      <c r="M1424" s="6">
        <f ca="1">IFERROR(__xludf.DUMMYFUNCTION("SUM(FILTER(J:J, H:H=""Tiền mặt"")) - SUM(FILTER(K:K, H:H=""Tiền mặt""))
"),959000)</f>
        <v>959000</v>
      </c>
      <c r="N1424" s="6">
        <f ca="1">IFERROR(__xludf.DUMMYFUNCTION("SUM(FILTER(J:J, H:H=""Chuyển khoản"")) - SUM(FILTER(K:K, H:H=""Chuyển khoản""))
"),4468984)</f>
        <v>4468984</v>
      </c>
      <c r="O1424" s="5"/>
      <c r="P1424" s="5"/>
      <c r="Q1424" s="5"/>
      <c r="R1424" s="5"/>
      <c r="S1424" s="5"/>
    </row>
    <row r="1425" spans="1:19" ht="15.75" customHeight="1" x14ac:dyDescent="0.2">
      <c r="A1425" s="3">
        <v>46027</v>
      </c>
      <c r="B1425" s="4" t="str">
        <f>IF(A1425="","","PC-"&amp;TEXT(A1425,"mm/yyyy")&amp;"-"&amp;TEXT(COUNTIFS($A$2:A1425,"&gt;="&amp;EOMONTH(A1425,-1)+1,$A$2:A1425,"&lt;="&amp;EOMONTH(A1425,0)),"000"))</f>
        <v>PC-01/2026-342</v>
      </c>
      <c r="C1425" s="5" t="s">
        <v>63</v>
      </c>
      <c r="D1425" s="5" t="s">
        <v>29</v>
      </c>
      <c r="E1425" s="5" t="s">
        <v>64</v>
      </c>
      <c r="F1425" s="5"/>
      <c r="G1425" s="5" t="s">
        <v>65</v>
      </c>
      <c r="H1425" s="5" t="s">
        <v>23</v>
      </c>
      <c r="I1425" s="6">
        <v>200000</v>
      </c>
      <c r="J1425" s="6">
        <f>IF(D1425="Thu",I1425,0)</f>
        <v>0</v>
      </c>
      <c r="K1425" s="6">
        <f>IF(D1425="Chi",I1425,0)</f>
        <v>200000</v>
      </c>
      <c r="L1425" s="6" t="e">
        <f>L1424+J1425-K1425</f>
        <v>#VALUE!</v>
      </c>
      <c r="M1425" s="6">
        <f ca="1">IFERROR(__xludf.DUMMYFUNCTION("SUM(FILTER(J:J, H:H=""Tiền mặt"")) - SUM(FILTER(K:K, H:H=""Tiền mặt""))
"),959000)</f>
        <v>959000</v>
      </c>
      <c r="N1425" s="6">
        <f ca="1">IFERROR(__xludf.DUMMYFUNCTION("SUM(FILTER(J:J, H:H=""Chuyển khoản"")) - SUM(FILTER(K:K, H:H=""Chuyển khoản""))
"),4468984)</f>
        <v>4468984</v>
      </c>
      <c r="O1425" s="5"/>
      <c r="P1425" s="5"/>
      <c r="Q1425" s="5"/>
      <c r="R1425" s="5"/>
      <c r="S1425" s="5"/>
    </row>
    <row r="1426" spans="1:19" ht="15.75" customHeight="1" x14ac:dyDescent="0.2">
      <c r="A1426" s="3">
        <v>46027</v>
      </c>
      <c r="B1426" s="4" t="str">
        <f>IF(A1426="","","PC-"&amp;TEXT(A1426,"mm/yyyy")&amp;"-"&amp;TEXT(COUNTIFS($A$2:A1426,"&gt;="&amp;EOMONTH(A1426,-1)+1,$A$2:A1426,"&lt;="&amp;EOMONTH(A1426,0)),"000"))</f>
        <v>PC-01/2026-343</v>
      </c>
      <c r="C1426" s="5" t="s">
        <v>66</v>
      </c>
      <c r="D1426" s="5" t="s">
        <v>29</v>
      </c>
      <c r="E1426" s="5" t="s">
        <v>30</v>
      </c>
      <c r="F1426" s="5"/>
      <c r="G1426" s="7" t="s">
        <v>67</v>
      </c>
      <c r="H1426" s="5" t="s">
        <v>27</v>
      </c>
      <c r="I1426" s="6">
        <v>1095000</v>
      </c>
      <c r="J1426" s="6">
        <f>IF(D1426="Thu",I1426,0)</f>
        <v>0</v>
      </c>
      <c r="K1426" s="6">
        <f>IF(D1426="Chi",I1426,0)</f>
        <v>1095000</v>
      </c>
      <c r="L1426" s="6" t="e">
        <f>L1425+J1426-K1426</f>
        <v>#VALUE!</v>
      </c>
      <c r="M1426" s="6">
        <f ca="1">IFERROR(__xludf.DUMMYFUNCTION("SUM(FILTER(J:J, H:H=""Tiền mặt"")) - SUM(FILTER(K:K, H:H=""Tiền mặt""))
"),959000)</f>
        <v>959000</v>
      </c>
      <c r="N1426" s="6">
        <f ca="1">IFERROR(__xludf.DUMMYFUNCTION("SUM(FILTER(J:J, H:H=""Chuyển khoản"")) - SUM(FILTER(K:K, H:H=""Chuyển khoản""))
"),4468984)</f>
        <v>4468984</v>
      </c>
      <c r="O1426" s="5"/>
      <c r="P1426" s="5"/>
      <c r="Q1426" s="5"/>
      <c r="R1426" s="5"/>
      <c r="S1426" s="5"/>
    </row>
    <row r="1427" spans="1:19" ht="15.75" customHeight="1" x14ac:dyDescent="0.2">
      <c r="A1427" s="3">
        <v>46024</v>
      </c>
      <c r="B1427" s="4" t="str">
        <f>IF(A1427="","","PC-"&amp;TEXT(A1427,"mm/yyyy")&amp;"-"&amp;TEXT(COUNTIFS($A$2:A1427,"&gt;="&amp;EOMONTH(A1427,-1)+1,$A$2:A1427,"&lt;="&amp;EOMONTH(A1427,0)),"000"))</f>
        <v>PC-01/2026-344</v>
      </c>
      <c r="C1427" s="4" t="s">
        <v>28</v>
      </c>
      <c r="D1427" s="5" t="s">
        <v>29</v>
      </c>
      <c r="E1427" s="5" t="s">
        <v>30</v>
      </c>
      <c r="F1427" s="5"/>
      <c r="G1427" s="5" t="s">
        <v>31</v>
      </c>
      <c r="H1427" s="5" t="s">
        <v>27</v>
      </c>
      <c r="I1427" s="6">
        <v>460000</v>
      </c>
      <c r="J1427" s="6">
        <f>IF(D1427="Thu",I1427,0)</f>
        <v>0</v>
      </c>
      <c r="K1427" s="6">
        <f>IF(D1427="Chi",I1427,0)</f>
        <v>460000</v>
      </c>
      <c r="L1427" s="6" t="e">
        <f>L1426+J1427-K1427</f>
        <v>#VALUE!</v>
      </c>
      <c r="M1427" s="6">
        <f ca="1">IFERROR(__xludf.DUMMYFUNCTION("SUM(FILTER(J:J, H:H=""Tiền mặt"")) - SUM(FILTER(K:K, H:H=""Tiền mặt""))
"),959000)</f>
        <v>959000</v>
      </c>
      <c r="N1427" s="6">
        <f ca="1">IFERROR(__xludf.DUMMYFUNCTION("SUM(FILTER(J:J, H:H=""Chuyển khoản"")) - SUM(FILTER(K:K, H:H=""Chuyển khoản""))
"),4468984)</f>
        <v>4468984</v>
      </c>
      <c r="O1427" s="5"/>
      <c r="P1427" s="5"/>
      <c r="Q1427" s="5"/>
      <c r="R1427" s="5"/>
      <c r="S1427" s="5"/>
    </row>
    <row r="1428" spans="1:19" ht="15.75" customHeight="1" x14ac:dyDescent="0.2">
      <c r="A1428" s="3">
        <v>46024</v>
      </c>
      <c r="B1428" s="4" t="str">
        <f>IF(A1428="","","PC-"&amp;TEXT(A1428,"mm/yyyy")&amp;"-"&amp;TEXT(COUNTIFS($A$2:A1428,"&gt;="&amp;EOMONTH(A1428,-1)+1,$A$2:A1428,"&lt;="&amp;EOMONTH(A1428,0)),"000"))</f>
        <v>PC-01/2026-345</v>
      </c>
      <c r="C1428" s="5" t="s">
        <v>32</v>
      </c>
      <c r="D1428" s="5" t="s">
        <v>29</v>
      </c>
      <c r="E1428" s="5" t="s">
        <v>33</v>
      </c>
      <c r="F1428" s="5"/>
      <c r="G1428" s="5" t="s">
        <v>34</v>
      </c>
      <c r="H1428" s="5" t="s">
        <v>27</v>
      </c>
      <c r="I1428" s="6">
        <v>1440000</v>
      </c>
      <c r="J1428" s="6">
        <f>IF(D1428="Thu",I1428,0)</f>
        <v>0</v>
      </c>
      <c r="K1428" s="6">
        <f>IF(D1428="Chi",I1428,0)</f>
        <v>1440000</v>
      </c>
      <c r="L1428" s="6" t="e">
        <f>L1427+J1428-K1428</f>
        <v>#VALUE!</v>
      </c>
      <c r="M1428" s="6">
        <f ca="1">IFERROR(__xludf.DUMMYFUNCTION("SUM(FILTER(J:J, H:H=""Tiền mặt"")) - SUM(FILTER(K:K, H:H=""Tiền mặt""))
"),959000)</f>
        <v>959000</v>
      </c>
      <c r="N1428" s="6">
        <f ca="1">IFERROR(__xludf.DUMMYFUNCTION("SUM(FILTER(J:J, H:H=""Chuyển khoản"")) - SUM(FILTER(K:K, H:H=""Chuyển khoản""))
"),4468984)</f>
        <v>4468984</v>
      </c>
      <c r="O1428" s="5"/>
      <c r="P1428" s="5"/>
      <c r="Q1428" s="5"/>
      <c r="R1428" s="5"/>
      <c r="S1428" s="5"/>
    </row>
    <row r="1429" spans="1:19" ht="15.75" customHeight="1" x14ac:dyDescent="0.2">
      <c r="A1429" s="3">
        <v>46024</v>
      </c>
      <c r="B1429" s="4" t="str">
        <f>IF(A1429="","","PC-"&amp;TEXT(A1429,"mm/yyyy")&amp;"-"&amp;TEXT(COUNTIFS($A$2:A1429,"&gt;="&amp;EOMONTH(A1429,-1)+1,$A$2:A1429,"&lt;="&amp;EOMONTH(A1429,0)),"000"))</f>
        <v>PC-01/2026-346</v>
      </c>
      <c r="C1429" s="5" t="s">
        <v>35</v>
      </c>
      <c r="D1429" s="5" t="s">
        <v>29</v>
      </c>
      <c r="E1429" s="5" t="s">
        <v>36</v>
      </c>
      <c r="F1429" s="5"/>
      <c r="G1429" s="5" t="s">
        <v>37</v>
      </c>
      <c r="H1429" s="5" t="s">
        <v>27</v>
      </c>
      <c r="I1429" s="6">
        <v>300000</v>
      </c>
      <c r="J1429" s="6">
        <f>IF(D1429="Thu",I1429,0)</f>
        <v>0</v>
      </c>
      <c r="K1429" s="6">
        <f>IF(D1429="Chi",I1429,0)</f>
        <v>300000</v>
      </c>
      <c r="L1429" s="6" t="e">
        <f>L1428+J1429-K1429</f>
        <v>#VALUE!</v>
      </c>
      <c r="M1429" s="6">
        <f ca="1">IFERROR(__xludf.DUMMYFUNCTION("SUM(FILTER(J:J, H:H=""Tiền mặt"")) - SUM(FILTER(K:K, H:H=""Tiền mặt""))
"),959000)</f>
        <v>959000</v>
      </c>
      <c r="N1429" s="6">
        <f ca="1">IFERROR(__xludf.DUMMYFUNCTION("SUM(FILTER(J:J, H:H=""Chuyển khoản"")) - SUM(FILTER(K:K, H:H=""Chuyển khoản""))
"),4468984)</f>
        <v>4468984</v>
      </c>
      <c r="O1429" s="5"/>
      <c r="P1429" s="5"/>
      <c r="Q1429" s="5"/>
      <c r="R1429" s="5"/>
      <c r="S1429" s="5"/>
    </row>
    <row r="1430" spans="1:19" ht="15.75" customHeight="1" x14ac:dyDescent="0.2">
      <c r="A1430" s="3">
        <v>46023</v>
      </c>
      <c r="B1430" s="4" t="str">
        <f>IF(A1430="","","PC-"&amp;TEXT(A1430,"mm/yyyy")&amp;"-"&amp;TEXT(COUNTIFS($A$2:A1430,"&gt;="&amp;EOMONTH(A1430,-1)+1,$A$2:A1430,"&lt;="&amp;EOMONTH(A1430,0)),"000"))</f>
        <v>PC-01/2026-347</v>
      </c>
      <c r="C1430" s="4" t="s">
        <v>19</v>
      </c>
      <c r="D1430" s="5" t="s">
        <v>20</v>
      </c>
      <c r="E1430" s="5" t="s">
        <v>21</v>
      </c>
      <c r="F1430" s="5"/>
      <c r="G1430" s="5" t="s">
        <v>22</v>
      </c>
      <c r="H1430" s="5" t="s">
        <v>23</v>
      </c>
      <c r="I1430" s="6">
        <v>5802000</v>
      </c>
      <c r="J1430" s="6">
        <f>IF(D1430="Thu",I1430,0)</f>
        <v>5802000</v>
      </c>
      <c r="K1430" s="6">
        <f>IF(D1430="Chi",I1430,0)</f>
        <v>0</v>
      </c>
      <c r="L1430" s="6">
        <f>DanhMuc!B3+J1430-K1430</f>
        <v>5802000</v>
      </c>
      <c r="M1430" s="6">
        <f ca="1">IFERROR(__xludf.DUMMYFUNCTION("SUM(FILTER(J:J, H:H=""Tiền mặt"")) - SUM(FILTER(K:K, H:H=""Tiền mặt""))
"),959000)</f>
        <v>959000</v>
      </c>
      <c r="N1430" s="6">
        <f ca="1">IFERROR(__xludf.DUMMYFUNCTION("SUM(FILTER(J:J, H:H=""Chuyển khoản"")) - SUM(FILTER(K:K, H:H=""Chuyển khoản""))
"),4468984)</f>
        <v>4468984</v>
      </c>
      <c r="O1430" s="5"/>
      <c r="P1430" s="5"/>
      <c r="Q1430" s="5"/>
      <c r="R1430" s="5" t="s">
        <v>24</v>
      </c>
      <c r="S1430" s="5" t="s">
        <v>25</v>
      </c>
    </row>
    <row r="1431" spans="1:19" ht="15.75" customHeight="1" x14ac:dyDescent="0.2">
      <c r="A1431" s="3">
        <v>46023</v>
      </c>
      <c r="B1431" s="4" t="str">
        <f>IF(A1431="","","PC-"&amp;TEXT(A1431,"mm/yyyy")&amp;"-"&amp;TEXT(COUNTIFS($A$2:A1431,"&gt;="&amp;EOMONTH(A1431,-1)+1,$A$2:A1431,"&lt;="&amp;EOMONTH(A1431,0)),"000"))</f>
        <v>PC-01/2026-348</v>
      </c>
      <c r="C1431" s="4" t="s">
        <v>26</v>
      </c>
      <c r="D1431" s="5" t="s">
        <v>20</v>
      </c>
      <c r="E1431" s="5" t="s">
        <v>21</v>
      </c>
      <c r="F1431" s="5"/>
      <c r="G1431" s="5" t="s">
        <v>22</v>
      </c>
      <c r="H1431" s="5" t="s">
        <v>27</v>
      </c>
      <c r="I1431" s="6">
        <v>2248119</v>
      </c>
      <c r="J1431" s="6">
        <f>IF(D1431="Thu",I1431,0)</f>
        <v>2248119</v>
      </c>
      <c r="K1431" s="6">
        <v>1</v>
      </c>
      <c r="L1431" s="6">
        <f>L1430+J1431-K1431</f>
        <v>8050118</v>
      </c>
      <c r="M1431" s="6">
        <f ca="1">IFERROR(__xludf.DUMMYFUNCTION("SUM(FILTER(J:J, H:H=""Tiền mặt"")) - SUM(FILTER(K:K, H:H=""Tiền mặt""))
"),959000)</f>
        <v>959000</v>
      </c>
      <c r="N1431" s="6">
        <f ca="1">IFERROR(__xludf.DUMMYFUNCTION("SUM(FILTER(J:J, H:H=""Chuyển khoản"")) - SUM(FILTER(K:K, H:H=""Chuyển khoản""))
"),4468984)</f>
        <v>4468984</v>
      </c>
      <c r="O1431" s="5"/>
      <c r="P1431" s="5"/>
      <c r="Q1431" s="5"/>
      <c r="R1431" s="5"/>
      <c r="S1431" s="5"/>
    </row>
    <row r="1432" spans="1:19" ht="15.75" customHeight="1" x14ac:dyDescent="0.2">
      <c r="A1432" s="3"/>
      <c r="B1432" s="4" t="str">
        <f>IF(A1432="","","PC-"&amp;TEXT(A1432,"mm/yyyy")&amp;"-"&amp;TEXT(COUNTIFS($A$2:A1432,"&gt;="&amp;EOMONTH(A1432,-1)+1,$A$2:A1432,"&lt;="&amp;EOMONTH(A1432,0)),"000"))</f>
        <v/>
      </c>
      <c r="C1432" s="5"/>
      <c r="D1432" s="5"/>
      <c r="E1432" s="5"/>
      <c r="F1432" s="5"/>
      <c r="G1432" s="5"/>
      <c r="H1432" s="5"/>
      <c r="I1432" s="6"/>
      <c r="J1432" s="6">
        <f>IF(D1432="Thu",I1432,0)</f>
        <v>0</v>
      </c>
      <c r="K1432" s="6">
        <f>IF(D1432="Chi",I1432,0)</f>
        <v>0</v>
      </c>
      <c r="L1432" s="6">
        <f>L1431+J1432-K1432</f>
        <v>8050118</v>
      </c>
      <c r="M1432" s="6">
        <f ca="1">IFERROR(__xludf.DUMMYFUNCTION("SUM(FILTER(J:J, H:H=""Tiền mặt"")) - SUM(FILTER(K:K, H:H=""Tiền mặt""))
"),959000)</f>
        <v>959000</v>
      </c>
      <c r="N1432" s="6">
        <f ca="1">IFERROR(__xludf.DUMMYFUNCTION("SUM(FILTER(J:J, H:H=""Chuyển khoản"")) - SUM(FILTER(K:K, H:H=""Chuyển khoản""))
"),4468984)</f>
        <v>4468984</v>
      </c>
      <c r="O1432" s="5"/>
      <c r="P1432" s="5"/>
      <c r="Q1432" s="5"/>
      <c r="R1432" s="5"/>
      <c r="S1432" s="5"/>
    </row>
    <row r="1433" spans="1:19" ht="15.75" customHeight="1" x14ac:dyDescent="0.2">
      <c r="A1433" s="3"/>
      <c r="B1433" s="4" t="str">
        <f>IF(A1433="","","PC-"&amp;TEXT(A1433,"mm/yyyy")&amp;"-"&amp;TEXT(COUNTIFS($A$2:A1433,"&gt;="&amp;EOMONTH(A1433,-1)+1,$A$2:A1433,"&lt;="&amp;EOMONTH(A1433,0)),"000"))</f>
        <v/>
      </c>
      <c r="C1433" s="5"/>
      <c r="D1433" s="5"/>
      <c r="E1433" s="5"/>
      <c r="F1433" s="5"/>
      <c r="G1433" s="5"/>
      <c r="H1433" s="5"/>
      <c r="I1433" s="6"/>
      <c r="J1433" s="6">
        <f>IF(D1433="Thu",I1433,0)</f>
        <v>0</v>
      </c>
      <c r="K1433" s="6">
        <f>IF(D1433="Chi",I1433,0)</f>
        <v>0</v>
      </c>
      <c r="L1433" s="6">
        <f>L1432+J1433-K1433</f>
        <v>8050118</v>
      </c>
      <c r="M1433" s="6">
        <f ca="1">IFERROR(__xludf.DUMMYFUNCTION("SUM(FILTER(J:J, H:H=""Tiền mặt"")) - SUM(FILTER(K:K, H:H=""Tiền mặt""))
"),959000)</f>
        <v>959000</v>
      </c>
      <c r="N1433" s="6">
        <f ca="1">IFERROR(__xludf.DUMMYFUNCTION("SUM(FILTER(J:J, H:H=""Chuyển khoản"")) - SUM(FILTER(K:K, H:H=""Chuyển khoản""))
"),4468984)</f>
        <v>4468984</v>
      </c>
      <c r="O1433" s="5"/>
      <c r="P1433" s="5"/>
      <c r="Q1433" s="5"/>
      <c r="R1433" s="5"/>
      <c r="S1433" s="5"/>
    </row>
    <row r="1434" spans="1:19" ht="15.75" customHeight="1" x14ac:dyDescent="0.2">
      <c r="A1434" s="3"/>
      <c r="B1434" s="4" t="str">
        <f>IF(A1434="","","PC-"&amp;TEXT(A1434,"mm/yyyy")&amp;"-"&amp;TEXT(COUNTIFS($A$2:A1434,"&gt;="&amp;EOMONTH(A1434,-1)+1,$A$2:A1434,"&lt;="&amp;EOMONTH(A1434,0)),"000"))</f>
        <v/>
      </c>
      <c r="C1434" s="5"/>
      <c r="D1434" s="5"/>
      <c r="E1434" s="5"/>
      <c r="F1434" s="5"/>
      <c r="G1434" s="5"/>
      <c r="H1434" s="5"/>
      <c r="I1434" s="6"/>
      <c r="J1434" s="6">
        <f>IF(D1434="Thu",I1434,0)</f>
        <v>0</v>
      </c>
      <c r="K1434" s="6">
        <f>IF(D1434="Chi",I1434,0)</f>
        <v>0</v>
      </c>
      <c r="L1434" s="6">
        <f>L1433+J1434-K1434</f>
        <v>8050118</v>
      </c>
      <c r="M1434" s="6">
        <f ca="1">IFERROR(__xludf.DUMMYFUNCTION("SUM(FILTER(J:J, H:H=""Tiền mặt"")) - SUM(FILTER(K:K, H:H=""Tiền mặt""))
"),959000)</f>
        <v>959000</v>
      </c>
      <c r="N1434" s="6">
        <f ca="1">IFERROR(__xludf.DUMMYFUNCTION("SUM(FILTER(J:J, H:H=""Chuyển khoản"")) - SUM(FILTER(K:K, H:H=""Chuyển khoản""))
"),4468984)</f>
        <v>4468984</v>
      </c>
      <c r="O1434" s="5"/>
      <c r="P1434" s="5"/>
      <c r="Q1434" s="5"/>
      <c r="R1434" s="5"/>
      <c r="S1434" s="5"/>
    </row>
    <row r="1435" spans="1:19" ht="15.75" customHeight="1" x14ac:dyDescent="0.2">
      <c r="A1435" s="3"/>
      <c r="B1435" s="4" t="str">
        <f>IF(A1435="","","PC-"&amp;TEXT(A1435,"mm/yyyy")&amp;"-"&amp;TEXT(COUNTIFS($A$2:A1435,"&gt;="&amp;EOMONTH(A1435,-1)+1,$A$2:A1435,"&lt;="&amp;EOMONTH(A1435,0)),"000"))</f>
        <v/>
      </c>
      <c r="C1435" s="5"/>
      <c r="D1435" s="5"/>
      <c r="E1435" s="5"/>
      <c r="F1435" s="5"/>
      <c r="G1435" s="5"/>
      <c r="H1435" s="5"/>
      <c r="I1435" s="6"/>
      <c r="J1435" s="6">
        <f>IF(D1435="Thu",I1435,0)</f>
        <v>0</v>
      </c>
      <c r="K1435" s="6">
        <f>IF(D1435="Chi",I1435,0)</f>
        <v>0</v>
      </c>
      <c r="L1435" s="6">
        <f>L1434+J1435-K1435</f>
        <v>8050118</v>
      </c>
      <c r="M1435" s="6">
        <f ca="1">IFERROR(__xludf.DUMMYFUNCTION("SUM(FILTER(J:J, H:H=""Tiền mặt"")) - SUM(FILTER(K:K, H:H=""Tiền mặt""))
"),959000)</f>
        <v>959000</v>
      </c>
      <c r="N1435" s="6">
        <f ca="1">IFERROR(__xludf.DUMMYFUNCTION("SUM(FILTER(J:J, H:H=""Chuyển khoản"")) - SUM(FILTER(K:K, H:H=""Chuyển khoản""))
"),4468984)</f>
        <v>4468984</v>
      </c>
      <c r="O1435" s="5"/>
      <c r="P1435" s="5"/>
      <c r="Q1435" s="5"/>
      <c r="R1435" s="5"/>
      <c r="S1435" s="5"/>
    </row>
    <row r="1436" spans="1:19" ht="15.75" customHeight="1" x14ac:dyDescent="0.2">
      <c r="A1436" s="3"/>
      <c r="B1436" s="4" t="str">
        <f>IF(A1436="","","PC-"&amp;TEXT(A1436,"mm/yyyy")&amp;"-"&amp;TEXT(COUNTIFS($A$2:A1436,"&gt;="&amp;EOMONTH(A1436,-1)+1,$A$2:A1436,"&lt;="&amp;EOMONTH(A1436,0)),"000"))</f>
        <v/>
      </c>
      <c r="C1436" s="5"/>
      <c r="D1436" s="5"/>
      <c r="E1436" s="5"/>
      <c r="F1436" s="5"/>
      <c r="G1436" s="5"/>
      <c r="H1436" s="5"/>
      <c r="I1436" s="6"/>
      <c r="J1436" s="6">
        <f>IF(D1436="Thu",I1436,0)</f>
        <v>0</v>
      </c>
      <c r="K1436" s="6">
        <f>IF(D1436="Chi",I1436,0)</f>
        <v>0</v>
      </c>
      <c r="L1436" s="6">
        <f>L1435+J1436-K1436</f>
        <v>8050118</v>
      </c>
      <c r="M1436" s="6">
        <f ca="1">IFERROR(__xludf.DUMMYFUNCTION("SUM(FILTER(J:J, H:H=""Tiền mặt"")) - SUM(FILTER(K:K, H:H=""Tiền mặt""))
"),959000)</f>
        <v>959000</v>
      </c>
      <c r="N1436" s="6">
        <f ca="1">IFERROR(__xludf.DUMMYFUNCTION("SUM(FILTER(J:J, H:H=""Chuyển khoản"")) - SUM(FILTER(K:K, H:H=""Chuyển khoản""))
"),4468984)</f>
        <v>4468984</v>
      </c>
      <c r="O1436" s="5"/>
      <c r="P1436" s="5"/>
      <c r="Q1436" s="5"/>
      <c r="R1436" s="5"/>
      <c r="S1436" s="5"/>
    </row>
    <row r="1437" spans="1:19" ht="15.75" customHeight="1" x14ac:dyDescent="0.2">
      <c r="A1437" s="3"/>
      <c r="B1437" s="4" t="str">
        <f>IF(A1437="","","PC-"&amp;TEXT(A1437,"mm/yyyy")&amp;"-"&amp;TEXT(COUNTIFS($A$2:A1437,"&gt;="&amp;EOMONTH(A1437,-1)+1,$A$2:A1437,"&lt;="&amp;EOMONTH(A1437,0)),"000"))</f>
        <v/>
      </c>
      <c r="C1437" s="5"/>
      <c r="D1437" s="5"/>
      <c r="E1437" s="5"/>
      <c r="F1437" s="5"/>
      <c r="G1437" s="5"/>
      <c r="H1437" s="5"/>
      <c r="I1437" s="6"/>
      <c r="J1437" s="6">
        <f>IF(D1437="Thu",I1437,0)</f>
        <v>0</v>
      </c>
      <c r="K1437" s="6">
        <f>IF(D1437="Chi",I1437,0)</f>
        <v>0</v>
      </c>
      <c r="L1437" s="6">
        <f>L1436+J1437-K1437</f>
        <v>8050118</v>
      </c>
      <c r="M1437" s="6">
        <f ca="1">IFERROR(__xludf.DUMMYFUNCTION("SUM(FILTER(J:J, H:H=""Tiền mặt"")) - SUM(FILTER(K:K, H:H=""Tiền mặt""))
"),959000)</f>
        <v>959000</v>
      </c>
      <c r="N1437" s="6">
        <f ca="1">IFERROR(__xludf.DUMMYFUNCTION("SUM(FILTER(J:J, H:H=""Chuyển khoản"")) - SUM(FILTER(K:K, H:H=""Chuyển khoản""))
"),4468984)</f>
        <v>4468984</v>
      </c>
      <c r="O1437" s="5"/>
      <c r="P1437" s="5"/>
      <c r="Q1437" s="5"/>
      <c r="R1437" s="5"/>
      <c r="S1437" s="5"/>
    </row>
    <row r="1438" spans="1:19" ht="15.75" customHeight="1" x14ac:dyDescent="0.2">
      <c r="A1438" s="3"/>
      <c r="B1438" s="4" t="str">
        <f>IF(A1438="","","PC-"&amp;TEXT(A1438,"mm/yyyy")&amp;"-"&amp;TEXT(COUNTIFS($A$2:A1438,"&gt;="&amp;EOMONTH(A1438,-1)+1,$A$2:A1438,"&lt;="&amp;EOMONTH(A1438,0)),"000"))</f>
        <v/>
      </c>
      <c r="C1438" s="5"/>
      <c r="D1438" s="5"/>
      <c r="E1438" s="5"/>
      <c r="F1438" s="5"/>
      <c r="G1438" s="5"/>
      <c r="H1438" s="5"/>
      <c r="I1438" s="6"/>
      <c r="J1438" s="6">
        <f>IF(D1438="Thu",I1438,0)</f>
        <v>0</v>
      </c>
      <c r="K1438" s="6">
        <f>IF(D1438="Chi",I1438,0)</f>
        <v>0</v>
      </c>
      <c r="L1438" s="6">
        <f>L1437+J1438-K1438</f>
        <v>8050118</v>
      </c>
      <c r="M1438" s="6">
        <f ca="1">IFERROR(__xludf.DUMMYFUNCTION("SUM(FILTER(J:J, H:H=""Tiền mặt"")) - SUM(FILTER(K:K, H:H=""Tiền mặt""))
"),959000)</f>
        <v>959000</v>
      </c>
      <c r="N1438" s="6">
        <f ca="1">IFERROR(__xludf.DUMMYFUNCTION("SUM(FILTER(J:J, H:H=""Chuyển khoản"")) - SUM(FILTER(K:K, H:H=""Chuyển khoản""))
"),4468984)</f>
        <v>4468984</v>
      </c>
      <c r="O1438" s="5"/>
      <c r="P1438" s="5"/>
      <c r="Q1438" s="5"/>
      <c r="R1438" s="5"/>
      <c r="S1438" s="5"/>
    </row>
    <row r="1439" spans="1:19" ht="15.75" customHeight="1" x14ac:dyDescent="0.2">
      <c r="A1439" s="3"/>
      <c r="B1439" s="4" t="str">
        <f>IF(A1439="","","PC-"&amp;TEXT(A1439,"mm/yyyy")&amp;"-"&amp;TEXT(COUNTIFS($A$2:A1439,"&gt;="&amp;EOMONTH(A1439,-1)+1,$A$2:A1439,"&lt;="&amp;EOMONTH(A1439,0)),"000"))</f>
        <v/>
      </c>
      <c r="C1439" s="5"/>
      <c r="D1439" s="5"/>
      <c r="E1439" s="5"/>
      <c r="F1439" s="5"/>
      <c r="G1439" s="5"/>
      <c r="H1439" s="5"/>
      <c r="I1439" s="6"/>
      <c r="J1439" s="6">
        <f>IF(D1439="Thu",I1439,0)</f>
        <v>0</v>
      </c>
      <c r="K1439" s="6">
        <f>IF(D1439="Chi",I1439,0)</f>
        <v>0</v>
      </c>
      <c r="L1439" s="6">
        <f>L1438+J1439-K1439</f>
        <v>8050118</v>
      </c>
      <c r="M1439" s="6">
        <f ca="1">IFERROR(__xludf.DUMMYFUNCTION("SUM(FILTER(J:J, H:H=""Tiền mặt"")) - SUM(FILTER(K:K, H:H=""Tiền mặt""))
"),959000)</f>
        <v>959000</v>
      </c>
      <c r="N1439" s="6">
        <f ca="1">IFERROR(__xludf.DUMMYFUNCTION("SUM(FILTER(J:J, H:H=""Chuyển khoản"")) - SUM(FILTER(K:K, H:H=""Chuyển khoản""))
"),4468984)</f>
        <v>4468984</v>
      </c>
      <c r="O1439" s="5"/>
      <c r="P1439" s="5"/>
      <c r="Q1439" s="5"/>
      <c r="R1439" s="5"/>
      <c r="S1439" s="5"/>
    </row>
    <row r="1440" spans="1:19" ht="15.75" customHeight="1" x14ac:dyDescent="0.2">
      <c r="A1440" s="3"/>
      <c r="B1440" s="4" t="str">
        <f>IF(A1440="","","PC-"&amp;TEXT(A1440,"mm/yyyy")&amp;"-"&amp;TEXT(COUNTIFS($A$2:A1440,"&gt;="&amp;EOMONTH(A1440,-1)+1,$A$2:A1440,"&lt;="&amp;EOMONTH(A1440,0)),"000"))</f>
        <v/>
      </c>
      <c r="C1440" s="5"/>
      <c r="D1440" s="5"/>
      <c r="E1440" s="5"/>
      <c r="F1440" s="5"/>
      <c r="G1440" s="5"/>
      <c r="H1440" s="5"/>
      <c r="I1440" s="6"/>
      <c r="J1440" s="6">
        <f>IF(D1440="Thu",I1440,0)</f>
        <v>0</v>
      </c>
      <c r="K1440" s="6">
        <f>IF(D1440="Chi",I1440,0)</f>
        <v>0</v>
      </c>
      <c r="L1440" s="6">
        <f>L1439+J1440-K1440</f>
        <v>8050118</v>
      </c>
      <c r="M1440" s="6">
        <f ca="1">IFERROR(__xludf.DUMMYFUNCTION("SUM(FILTER(J:J, H:H=""Tiền mặt"")) - SUM(FILTER(K:K, H:H=""Tiền mặt""))
"),959000)</f>
        <v>959000</v>
      </c>
      <c r="N1440" s="6">
        <f ca="1">IFERROR(__xludf.DUMMYFUNCTION("SUM(FILTER(J:J, H:H=""Chuyển khoản"")) - SUM(FILTER(K:K, H:H=""Chuyển khoản""))
"),4468984)</f>
        <v>4468984</v>
      </c>
      <c r="O1440" s="5"/>
      <c r="P1440" s="5"/>
      <c r="Q1440" s="5"/>
      <c r="R1440" s="5"/>
      <c r="S1440" s="5"/>
    </row>
    <row r="1441" spans="1:19" ht="15.75" customHeight="1" x14ac:dyDescent="0.2">
      <c r="A1441" s="3"/>
      <c r="B1441" s="4" t="str">
        <f>IF(A1441="","","PC-"&amp;TEXT(A1441,"mm/yyyy")&amp;"-"&amp;TEXT(COUNTIFS($A$2:A1441,"&gt;="&amp;EOMONTH(A1441,-1)+1,$A$2:A1441,"&lt;="&amp;EOMONTH(A1441,0)),"000"))</f>
        <v/>
      </c>
      <c r="C1441" s="5"/>
      <c r="D1441" s="5"/>
      <c r="E1441" s="5"/>
      <c r="F1441" s="5"/>
      <c r="G1441" s="5"/>
      <c r="H1441" s="5"/>
      <c r="I1441" s="6"/>
      <c r="J1441" s="6">
        <f>IF(D1441="Thu",I1441,0)</f>
        <v>0</v>
      </c>
      <c r="K1441" s="6">
        <f>IF(D1441="Chi",I1441,0)</f>
        <v>0</v>
      </c>
      <c r="L1441" s="6">
        <f>L1440+J1441-K1441</f>
        <v>8050118</v>
      </c>
      <c r="M1441" s="6">
        <f ca="1">IFERROR(__xludf.DUMMYFUNCTION("SUM(FILTER(J:J, H:H=""Tiền mặt"")) - SUM(FILTER(K:K, H:H=""Tiền mặt""))
"),959000)</f>
        <v>959000</v>
      </c>
      <c r="N1441" s="6">
        <f ca="1">IFERROR(__xludf.DUMMYFUNCTION("SUM(FILTER(J:J, H:H=""Chuyển khoản"")) - SUM(FILTER(K:K, H:H=""Chuyển khoản""))
"),4468984)</f>
        <v>4468984</v>
      </c>
      <c r="O1441" s="5"/>
      <c r="P1441" s="5"/>
      <c r="Q1441" s="5"/>
      <c r="R1441" s="5"/>
      <c r="S1441" s="5"/>
    </row>
    <row r="1442" spans="1:19" ht="15.75" customHeight="1" x14ac:dyDescent="0.2">
      <c r="A1442" s="3"/>
      <c r="B1442" s="4" t="str">
        <f>IF(A1442="","","PC-"&amp;TEXT(A1442,"mm/yyyy")&amp;"-"&amp;TEXT(COUNTIFS($A$2:A1442,"&gt;="&amp;EOMONTH(A1442,-1)+1,$A$2:A1442,"&lt;="&amp;EOMONTH(A1442,0)),"000"))</f>
        <v/>
      </c>
      <c r="C1442" s="5"/>
      <c r="D1442" s="5"/>
      <c r="E1442" s="5"/>
      <c r="F1442" s="5"/>
      <c r="G1442" s="5"/>
      <c r="H1442" s="5"/>
      <c r="I1442" s="6"/>
      <c r="J1442" s="6">
        <f>IF(D1442="Thu",I1442,0)</f>
        <v>0</v>
      </c>
      <c r="K1442" s="6">
        <f>IF(D1442="Chi",I1442,0)</f>
        <v>0</v>
      </c>
      <c r="L1442" s="6">
        <f>L1441+J1442-K1442</f>
        <v>8050118</v>
      </c>
      <c r="M1442" s="6">
        <f ca="1">IFERROR(__xludf.DUMMYFUNCTION("SUM(FILTER(J:J, H:H=""Tiền mặt"")) - SUM(FILTER(K:K, H:H=""Tiền mặt""))
"),959000)</f>
        <v>959000</v>
      </c>
      <c r="N1442" s="6">
        <f ca="1">IFERROR(__xludf.DUMMYFUNCTION("SUM(FILTER(J:J, H:H=""Chuyển khoản"")) - SUM(FILTER(K:K, H:H=""Chuyển khoản""))
"),4468984)</f>
        <v>4468984</v>
      </c>
      <c r="O1442" s="5"/>
      <c r="P1442" s="5"/>
      <c r="Q1442" s="5"/>
      <c r="R1442" s="5"/>
      <c r="S1442" s="5"/>
    </row>
    <row r="1443" spans="1:19" ht="15.75" customHeight="1" x14ac:dyDescent="0.2">
      <c r="A1443" s="3"/>
      <c r="B1443" s="4" t="str">
        <f>IF(A1443="","","PC-"&amp;TEXT(A1443,"mm/yyyy")&amp;"-"&amp;TEXT(COUNTIFS($A$2:A1443,"&gt;="&amp;EOMONTH(A1443,-1)+1,$A$2:A1443,"&lt;="&amp;EOMONTH(A1443,0)),"000"))</f>
        <v/>
      </c>
      <c r="C1443" s="5"/>
      <c r="D1443" s="5"/>
      <c r="E1443" s="5"/>
      <c r="F1443" s="5"/>
      <c r="G1443" s="5"/>
      <c r="H1443" s="5"/>
      <c r="I1443" s="6"/>
      <c r="J1443" s="6">
        <f>IF(D1443="Thu",I1443,0)</f>
        <v>0</v>
      </c>
      <c r="K1443" s="6">
        <f>IF(D1443="Chi",I1443,0)</f>
        <v>0</v>
      </c>
      <c r="L1443" s="6">
        <f>L1442+J1443-K1443</f>
        <v>8050118</v>
      </c>
      <c r="M1443" s="6">
        <f ca="1">IFERROR(__xludf.DUMMYFUNCTION("SUM(FILTER(J:J, H:H=""Tiền mặt"")) - SUM(FILTER(K:K, H:H=""Tiền mặt""))
"),959000)</f>
        <v>959000</v>
      </c>
      <c r="N1443" s="6">
        <f ca="1">IFERROR(__xludf.DUMMYFUNCTION("SUM(FILTER(J:J, H:H=""Chuyển khoản"")) - SUM(FILTER(K:K, H:H=""Chuyển khoản""))
"),4468984)</f>
        <v>4468984</v>
      </c>
      <c r="O1443" s="5"/>
      <c r="P1443" s="5"/>
      <c r="Q1443" s="5"/>
      <c r="R1443" s="5"/>
      <c r="S1443" s="5"/>
    </row>
    <row r="1444" spans="1:19" ht="15.75" customHeight="1" x14ac:dyDescent="0.2">
      <c r="A1444" s="3"/>
      <c r="B1444" s="4" t="str">
        <f>IF(A1444="","","PC-"&amp;TEXT(A1444,"mm/yyyy")&amp;"-"&amp;TEXT(COUNTIFS($A$2:A1444,"&gt;="&amp;EOMONTH(A1444,-1)+1,$A$2:A1444,"&lt;="&amp;EOMONTH(A1444,0)),"000"))</f>
        <v/>
      </c>
      <c r="C1444" s="5"/>
      <c r="D1444" s="5"/>
      <c r="E1444" s="5"/>
      <c r="F1444" s="5"/>
      <c r="G1444" s="5"/>
      <c r="H1444" s="5"/>
      <c r="I1444" s="6"/>
      <c r="J1444" s="6">
        <f>IF(D1444="Thu",I1444,0)</f>
        <v>0</v>
      </c>
      <c r="K1444" s="6">
        <f>IF(D1444="Chi",I1444,0)</f>
        <v>0</v>
      </c>
      <c r="L1444" s="6">
        <f>L1443+J1444-K1444</f>
        <v>8050118</v>
      </c>
      <c r="M1444" s="6">
        <f ca="1">IFERROR(__xludf.DUMMYFUNCTION("SUM(FILTER(J:J, H:H=""Tiền mặt"")) - SUM(FILTER(K:K, H:H=""Tiền mặt""))
"),959000)</f>
        <v>959000</v>
      </c>
      <c r="N1444" s="6">
        <f ca="1">IFERROR(__xludf.DUMMYFUNCTION("SUM(FILTER(J:J, H:H=""Chuyển khoản"")) - SUM(FILTER(K:K, H:H=""Chuyển khoản""))
"),4468984)</f>
        <v>4468984</v>
      </c>
      <c r="O1444" s="5"/>
      <c r="P1444" s="5"/>
      <c r="Q1444" s="5"/>
      <c r="R1444" s="5"/>
      <c r="S1444" s="5"/>
    </row>
    <row r="1445" spans="1:19" ht="15.75" customHeight="1" x14ac:dyDescent="0.2">
      <c r="A1445" s="3"/>
      <c r="B1445" s="4" t="str">
        <f>IF(A1445="","","PC-"&amp;TEXT(A1445,"mm/yyyy")&amp;"-"&amp;TEXT(COUNTIFS($A$2:A1445,"&gt;="&amp;EOMONTH(A1445,-1)+1,$A$2:A1445,"&lt;="&amp;EOMONTH(A1445,0)),"000"))</f>
        <v/>
      </c>
      <c r="C1445" s="5"/>
      <c r="D1445" s="5"/>
      <c r="E1445" s="5"/>
      <c r="F1445" s="5"/>
      <c r="G1445" s="5"/>
      <c r="H1445" s="5"/>
      <c r="I1445" s="6"/>
      <c r="J1445" s="6">
        <f>IF(D1445="Thu",I1445,0)</f>
        <v>0</v>
      </c>
      <c r="K1445" s="6">
        <f>IF(D1445="Chi",I1445,0)</f>
        <v>0</v>
      </c>
      <c r="L1445" s="6">
        <f>L1444+J1445-K1445</f>
        <v>8050118</v>
      </c>
      <c r="M1445" s="6">
        <f ca="1">IFERROR(__xludf.DUMMYFUNCTION("SUM(FILTER(J:J, H:H=""Tiền mặt"")) - SUM(FILTER(K:K, H:H=""Tiền mặt""))
"),959000)</f>
        <v>959000</v>
      </c>
      <c r="N1445" s="6">
        <f ca="1">IFERROR(__xludf.DUMMYFUNCTION("SUM(FILTER(J:J, H:H=""Chuyển khoản"")) - SUM(FILTER(K:K, H:H=""Chuyển khoản""))
"),4468984)</f>
        <v>4468984</v>
      </c>
      <c r="O1445" s="5"/>
      <c r="P1445" s="5"/>
      <c r="Q1445" s="5"/>
      <c r="R1445" s="5"/>
      <c r="S1445" s="5"/>
    </row>
    <row r="1446" spans="1:19" ht="15.75" customHeight="1" x14ac:dyDescent="0.2">
      <c r="A1446" s="3"/>
      <c r="B1446" s="4" t="str">
        <f>IF(A1446="","","PC-"&amp;TEXT(A1446,"mm/yyyy")&amp;"-"&amp;TEXT(COUNTIFS($A$2:A1446,"&gt;="&amp;EOMONTH(A1446,-1)+1,$A$2:A1446,"&lt;="&amp;EOMONTH(A1446,0)),"000"))</f>
        <v/>
      </c>
      <c r="C1446" s="5"/>
      <c r="D1446" s="5"/>
      <c r="E1446" s="5"/>
      <c r="F1446" s="5"/>
      <c r="G1446" s="5"/>
      <c r="H1446" s="5"/>
      <c r="I1446" s="6"/>
      <c r="J1446" s="6">
        <f>IF(D1446="Thu",I1446,0)</f>
        <v>0</v>
      </c>
      <c r="K1446" s="6">
        <f>IF(D1446="Chi",I1446,0)</f>
        <v>0</v>
      </c>
      <c r="L1446" s="6">
        <f>L1445+J1446-K1446</f>
        <v>8050118</v>
      </c>
      <c r="M1446" s="6">
        <f ca="1">IFERROR(__xludf.DUMMYFUNCTION("SUM(FILTER(J:J, H:H=""Tiền mặt"")) - SUM(FILTER(K:K, H:H=""Tiền mặt""))
"),959000)</f>
        <v>959000</v>
      </c>
      <c r="N1446" s="6">
        <f ca="1">IFERROR(__xludf.DUMMYFUNCTION("SUM(FILTER(J:J, H:H=""Chuyển khoản"")) - SUM(FILTER(K:K, H:H=""Chuyển khoản""))
"),4468984)</f>
        <v>4468984</v>
      </c>
      <c r="O1446" s="5"/>
      <c r="P1446" s="5"/>
      <c r="Q1446" s="5"/>
      <c r="R1446" s="5"/>
      <c r="S1446" s="5"/>
    </row>
    <row r="1447" spans="1:19" ht="15.75" customHeight="1" x14ac:dyDescent="0.2">
      <c r="A1447" s="3"/>
      <c r="B1447" s="4" t="str">
        <f>IF(A1447="","","PC-"&amp;TEXT(A1447,"mm/yyyy")&amp;"-"&amp;TEXT(COUNTIFS($A$2:A1447,"&gt;="&amp;EOMONTH(A1447,-1)+1,$A$2:A1447,"&lt;="&amp;EOMONTH(A1447,0)),"000"))</f>
        <v/>
      </c>
      <c r="C1447" s="5"/>
      <c r="D1447" s="5"/>
      <c r="E1447" s="5"/>
      <c r="F1447" s="5"/>
      <c r="G1447" s="5"/>
      <c r="H1447" s="5"/>
      <c r="I1447" s="6"/>
      <c r="J1447" s="6">
        <f>IF(D1447="Thu",I1447,0)</f>
        <v>0</v>
      </c>
      <c r="K1447" s="6">
        <f>IF(D1447="Chi",I1447,0)</f>
        <v>0</v>
      </c>
      <c r="L1447" s="6">
        <f>L1446+J1447-K1447</f>
        <v>8050118</v>
      </c>
      <c r="M1447" s="6">
        <f ca="1">IFERROR(__xludf.DUMMYFUNCTION("SUM(FILTER(J:J, H:H=""Tiền mặt"")) - SUM(FILTER(K:K, H:H=""Tiền mặt""))
"),959000)</f>
        <v>959000</v>
      </c>
      <c r="N1447" s="6">
        <f ca="1">IFERROR(__xludf.DUMMYFUNCTION("SUM(FILTER(J:J, H:H=""Chuyển khoản"")) - SUM(FILTER(K:K, H:H=""Chuyển khoản""))
"),4468984)</f>
        <v>4468984</v>
      </c>
      <c r="O1447" s="5"/>
      <c r="P1447" s="5"/>
      <c r="Q1447" s="5"/>
      <c r="R1447" s="5"/>
      <c r="S1447" s="5"/>
    </row>
    <row r="1448" spans="1:19" ht="15.75" customHeight="1" x14ac:dyDescent="0.2">
      <c r="A1448" s="3"/>
      <c r="B1448" s="4" t="str">
        <f>IF(A1448="","","PC-"&amp;TEXT(A1448,"mm/yyyy")&amp;"-"&amp;TEXT(COUNTIFS($A$2:A1448,"&gt;="&amp;EOMONTH(A1448,-1)+1,$A$2:A1448,"&lt;="&amp;EOMONTH(A1448,0)),"000"))</f>
        <v/>
      </c>
      <c r="C1448" s="5"/>
      <c r="D1448" s="5"/>
      <c r="E1448" s="5"/>
      <c r="F1448" s="5"/>
      <c r="G1448" s="5"/>
      <c r="H1448" s="5"/>
      <c r="I1448" s="6"/>
      <c r="J1448" s="6">
        <f>IF(D1448="Thu",I1448,0)</f>
        <v>0</v>
      </c>
      <c r="K1448" s="6">
        <f>IF(D1448="Chi",I1448,0)</f>
        <v>0</v>
      </c>
      <c r="L1448" s="6">
        <f>L1447+J1448-K1448</f>
        <v>8050118</v>
      </c>
      <c r="M1448" s="6">
        <f ca="1">IFERROR(__xludf.DUMMYFUNCTION("SUM(FILTER(J:J, H:H=""Tiền mặt"")) - SUM(FILTER(K:K, H:H=""Tiền mặt""))
"),959000)</f>
        <v>959000</v>
      </c>
      <c r="N1448" s="6">
        <f ca="1">IFERROR(__xludf.DUMMYFUNCTION("SUM(FILTER(J:J, H:H=""Chuyển khoản"")) - SUM(FILTER(K:K, H:H=""Chuyển khoản""))
"),4468984)</f>
        <v>4468984</v>
      </c>
      <c r="O1448" s="5"/>
      <c r="P1448" s="5"/>
      <c r="Q1448" s="5"/>
      <c r="R1448" s="5"/>
      <c r="S1448" s="5"/>
    </row>
    <row r="1449" spans="1:19" ht="15.75" customHeight="1" x14ac:dyDescent="0.2">
      <c r="A1449" s="3"/>
      <c r="B1449" s="4" t="str">
        <f>IF(A1449="","","PC-"&amp;TEXT(A1449,"mm/yyyy")&amp;"-"&amp;TEXT(COUNTIFS($A$2:A1449,"&gt;="&amp;EOMONTH(A1449,-1)+1,$A$2:A1449,"&lt;="&amp;EOMONTH(A1449,0)),"000"))</f>
        <v/>
      </c>
      <c r="C1449" s="5"/>
      <c r="D1449" s="5"/>
      <c r="E1449" s="5"/>
      <c r="F1449" s="5"/>
      <c r="G1449" s="5"/>
      <c r="H1449" s="5"/>
      <c r="I1449" s="6"/>
      <c r="J1449" s="6">
        <f>IF(D1449="Thu",I1449,0)</f>
        <v>0</v>
      </c>
      <c r="K1449" s="6">
        <f>IF(D1449="Chi",I1449,0)</f>
        <v>0</v>
      </c>
      <c r="L1449" s="6">
        <f>L1448+J1449-K1449</f>
        <v>8050118</v>
      </c>
      <c r="M1449" s="6">
        <f ca="1">IFERROR(__xludf.DUMMYFUNCTION("SUM(FILTER(J:J, H:H=""Tiền mặt"")) - SUM(FILTER(K:K, H:H=""Tiền mặt""))
"),959000)</f>
        <v>959000</v>
      </c>
      <c r="N1449" s="6">
        <f ca="1">IFERROR(__xludf.DUMMYFUNCTION("SUM(FILTER(J:J, H:H=""Chuyển khoản"")) - SUM(FILTER(K:K, H:H=""Chuyển khoản""))
"),4468984)</f>
        <v>4468984</v>
      </c>
      <c r="O1449" s="5"/>
      <c r="P1449" s="5"/>
      <c r="Q1449" s="5"/>
      <c r="R1449" s="5"/>
      <c r="S1449" s="5"/>
    </row>
    <row r="1450" spans="1:19" ht="15.75" customHeight="1" x14ac:dyDescent="0.2">
      <c r="A1450" s="3"/>
      <c r="B1450" s="4" t="str">
        <f>IF(A1450="","","PC-"&amp;TEXT(A1450,"mm/yyyy")&amp;"-"&amp;TEXT(COUNTIFS($A$2:A1450,"&gt;="&amp;EOMONTH(A1450,-1)+1,$A$2:A1450,"&lt;="&amp;EOMONTH(A1450,0)),"000"))</f>
        <v/>
      </c>
      <c r="C1450" s="5"/>
      <c r="D1450" s="5"/>
      <c r="E1450" s="5"/>
      <c r="F1450" s="5"/>
      <c r="G1450" s="5"/>
      <c r="H1450" s="5"/>
      <c r="I1450" s="6"/>
      <c r="J1450" s="6">
        <f>IF(D1450="Thu",I1450,0)</f>
        <v>0</v>
      </c>
      <c r="K1450" s="6">
        <f>IF(D1450="Chi",I1450,0)</f>
        <v>0</v>
      </c>
      <c r="L1450" s="6">
        <f>L1449+J1450-K1450</f>
        <v>8050118</v>
      </c>
      <c r="M1450" s="6">
        <f ca="1">IFERROR(__xludf.DUMMYFUNCTION("SUM(FILTER(J:J, H:H=""Tiền mặt"")) - SUM(FILTER(K:K, H:H=""Tiền mặt""))
"),959000)</f>
        <v>959000</v>
      </c>
      <c r="N1450" s="6">
        <f ca="1">IFERROR(__xludf.DUMMYFUNCTION("SUM(FILTER(J:J, H:H=""Chuyển khoản"")) - SUM(FILTER(K:K, H:H=""Chuyển khoản""))
"),4468984)</f>
        <v>4468984</v>
      </c>
      <c r="O1450" s="5"/>
      <c r="P1450" s="5"/>
      <c r="Q1450" s="5"/>
      <c r="R1450" s="5"/>
      <c r="S1450" s="5"/>
    </row>
    <row r="1451" spans="1:19" ht="15.75" customHeight="1" x14ac:dyDescent="0.2">
      <c r="A1451" s="3"/>
      <c r="B1451" s="4" t="str">
        <f>IF(A1451="","","PC-"&amp;TEXT(A1451,"mm/yyyy")&amp;"-"&amp;TEXT(COUNTIFS($A$2:A1451,"&gt;="&amp;EOMONTH(A1451,-1)+1,$A$2:A1451,"&lt;="&amp;EOMONTH(A1451,0)),"000"))</f>
        <v/>
      </c>
      <c r="C1451" s="5"/>
      <c r="D1451" s="5"/>
      <c r="E1451" s="5"/>
      <c r="F1451" s="5"/>
      <c r="G1451" s="5"/>
      <c r="H1451" s="5"/>
      <c r="I1451" s="6"/>
      <c r="J1451" s="6">
        <f>IF(D1451="Thu",I1451,0)</f>
        <v>0</v>
      </c>
      <c r="K1451" s="6">
        <f>IF(D1451="Chi",I1451,0)</f>
        <v>0</v>
      </c>
      <c r="L1451" s="6">
        <f>L1450+J1451-K1451</f>
        <v>8050118</v>
      </c>
      <c r="M1451" s="6">
        <f ca="1">IFERROR(__xludf.DUMMYFUNCTION("SUM(FILTER(J:J, H:H=""Tiền mặt"")) - SUM(FILTER(K:K, H:H=""Tiền mặt""))
"),959000)</f>
        <v>959000</v>
      </c>
      <c r="N1451" s="6">
        <f ca="1">IFERROR(__xludf.DUMMYFUNCTION("SUM(FILTER(J:J, H:H=""Chuyển khoản"")) - SUM(FILTER(K:K, H:H=""Chuyển khoản""))
"),4468984)</f>
        <v>4468984</v>
      </c>
      <c r="O1451" s="5"/>
      <c r="P1451" s="5"/>
      <c r="Q1451" s="5"/>
      <c r="R1451" s="5"/>
      <c r="S1451" s="5"/>
    </row>
    <row r="1452" spans="1:19" ht="15.75" customHeight="1" x14ac:dyDescent="0.2">
      <c r="A1452" s="3"/>
      <c r="B1452" s="4" t="str">
        <f>IF(A1452="","","PC-"&amp;TEXT(A1452,"mm/yyyy")&amp;"-"&amp;TEXT(COUNTIFS($A$2:A1452,"&gt;="&amp;EOMONTH(A1452,-1)+1,$A$2:A1452,"&lt;="&amp;EOMONTH(A1452,0)),"000"))</f>
        <v/>
      </c>
      <c r="C1452" s="5"/>
      <c r="D1452" s="5"/>
      <c r="E1452" s="5"/>
      <c r="F1452" s="5"/>
      <c r="G1452" s="5"/>
      <c r="H1452" s="5"/>
      <c r="I1452" s="6"/>
      <c r="J1452" s="6">
        <f>IF(D1452="Thu",I1452,0)</f>
        <v>0</v>
      </c>
      <c r="K1452" s="6">
        <f>IF(D1452="Chi",I1452,0)</f>
        <v>0</v>
      </c>
      <c r="L1452" s="6">
        <f>L1451+J1452-K1452</f>
        <v>8050118</v>
      </c>
      <c r="M1452" s="6">
        <f ca="1">IFERROR(__xludf.DUMMYFUNCTION("SUM(FILTER(J:J, H:H=""Tiền mặt"")) - SUM(FILTER(K:K, H:H=""Tiền mặt""))
"),959000)</f>
        <v>959000</v>
      </c>
      <c r="N1452" s="6">
        <f ca="1">IFERROR(__xludf.DUMMYFUNCTION("SUM(FILTER(J:J, H:H=""Chuyển khoản"")) - SUM(FILTER(K:K, H:H=""Chuyển khoản""))
"),4468984)</f>
        <v>4468984</v>
      </c>
      <c r="O1452" s="5"/>
      <c r="P1452" s="5"/>
      <c r="Q1452" s="5"/>
      <c r="R1452" s="5"/>
      <c r="S1452" s="5"/>
    </row>
    <row r="1453" spans="1:19" ht="15.75" customHeight="1" x14ac:dyDescent="0.2">
      <c r="A1453" s="3"/>
      <c r="B1453" s="4" t="str">
        <f>IF(A1453="","","PC-"&amp;TEXT(A1453,"mm/yyyy")&amp;"-"&amp;TEXT(COUNTIFS($A$2:A1453,"&gt;="&amp;EOMONTH(A1453,-1)+1,$A$2:A1453,"&lt;="&amp;EOMONTH(A1453,0)),"000"))</f>
        <v/>
      </c>
      <c r="C1453" s="5"/>
      <c r="D1453" s="5"/>
      <c r="E1453" s="5"/>
      <c r="F1453" s="5"/>
      <c r="G1453" s="5"/>
      <c r="H1453" s="5"/>
      <c r="I1453" s="6"/>
      <c r="J1453" s="6">
        <f>IF(D1453="Thu",I1453,0)</f>
        <v>0</v>
      </c>
      <c r="K1453" s="6">
        <f>IF(D1453="Chi",I1453,0)</f>
        <v>0</v>
      </c>
      <c r="L1453" s="6">
        <f>L1452+J1453-K1453</f>
        <v>8050118</v>
      </c>
      <c r="M1453" s="6">
        <f ca="1">IFERROR(__xludf.DUMMYFUNCTION("SUM(FILTER(J:J, H:H=""Tiền mặt"")) - SUM(FILTER(K:K, H:H=""Tiền mặt""))
"),959000)</f>
        <v>959000</v>
      </c>
      <c r="N1453" s="6">
        <f ca="1">IFERROR(__xludf.DUMMYFUNCTION("SUM(FILTER(J:J, H:H=""Chuyển khoản"")) - SUM(FILTER(K:K, H:H=""Chuyển khoản""))
"),4468984)</f>
        <v>4468984</v>
      </c>
      <c r="O1453" s="5"/>
      <c r="P1453" s="5"/>
      <c r="Q1453" s="5"/>
      <c r="R1453" s="5"/>
      <c r="S1453" s="5"/>
    </row>
    <row r="1454" spans="1:19" ht="15.75" customHeight="1" x14ac:dyDescent="0.2">
      <c r="A1454" s="3"/>
      <c r="B1454" s="4" t="str">
        <f>IF(A1454="","","PC-"&amp;TEXT(A1454,"mm/yyyy")&amp;"-"&amp;TEXT(COUNTIFS($A$2:A1454,"&gt;="&amp;EOMONTH(A1454,-1)+1,$A$2:A1454,"&lt;="&amp;EOMONTH(A1454,0)),"000"))</f>
        <v/>
      </c>
      <c r="C1454" s="5"/>
      <c r="D1454" s="5"/>
      <c r="E1454" s="5"/>
      <c r="F1454" s="5"/>
      <c r="G1454" s="5"/>
      <c r="H1454" s="5"/>
      <c r="I1454" s="6"/>
      <c r="J1454" s="6">
        <f>IF(D1454="Thu",I1454,0)</f>
        <v>0</v>
      </c>
      <c r="K1454" s="6">
        <f>IF(D1454="Chi",I1454,0)</f>
        <v>0</v>
      </c>
      <c r="L1454" s="6">
        <f>L1453+J1454-K1454</f>
        <v>8050118</v>
      </c>
      <c r="M1454" s="6">
        <f ca="1">IFERROR(__xludf.DUMMYFUNCTION("SUM(FILTER(J:J, H:H=""Tiền mặt"")) - SUM(FILTER(K:K, H:H=""Tiền mặt""))
"),959000)</f>
        <v>959000</v>
      </c>
      <c r="N1454" s="6">
        <f ca="1">IFERROR(__xludf.DUMMYFUNCTION("SUM(FILTER(J:J, H:H=""Chuyển khoản"")) - SUM(FILTER(K:K, H:H=""Chuyển khoản""))
"),4468984)</f>
        <v>4468984</v>
      </c>
      <c r="O1454" s="5"/>
      <c r="P1454" s="5"/>
      <c r="Q1454" s="5"/>
      <c r="R1454" s="5"/>
      <c r="S1454" s="5"/>
    </row>
    <row r="1455" spans="1:19" ht="15.75" customHeight="1" x14ac:dyDescent="0.2">
      <c r="A1455" s="3"/>
      <c r="B1455" s="4" t="str">
        <f>IF(A1455="","","PC-"&amp;TEXT(A1455,"mm/yyyy")&amp;"-"&amp;TEXT(COUNTIFS($A$2:A1455,"&gt;="&amp;EOMONTH(A1455,-1)+1,$A$2:A1455,"&lt;="&amp;EOMONTH(A1455,0)),"000"))</f>
        <v/>
      </c>
      <c r="C1455" s="5"/>
      <c r="D1455" s="5"/>
      <c r="E1455" s="5"/>
      <c r="F1455" s="5"/>
      <c r="G1455" s="5"/>
      <c r="H1455" s="5"/>
      <c r="I1455" s="6"/>
      <c r="J1455" s="6">
        <f>IF(D1455="Thu",I1455,0)</f>
        <v>0</v>
      </c>
      <c r="K1455" s="6">
        <f>IF(D1455="Chi",I1455,0)</f>
        <v>0</v>
      </c>
      <c r="L1455" s="6">
        <f>L1454+J1455-K1455</f>
        <v>8050118</v>
      </c>
      <c r="M1455" s="6">
        <f ca="1">IFERROR(__xludf.DUMMYFUNCTION("SUM(FILTER(J:J, H:H=""Tiền mặt"")) - SUM(FILTER(K:K, H:H=""Tiền mặt""))
"),959000)</f>
        <v>959000</v>
      </c>
      <c r="N1455" s="6">
        <f ca="1">IFERROR(__xludf.DUMMYFUNCTION("SUM(FILTER(J:J, H:H=""Chuyển khoản"")) - SUM(FILTER(K:K, H:H=""Chuyển khoản""))
"),4468984)</f>
        <v>4468984</v>
      </c>
      <c r="O1455" s="5"/>
      <c r="P1455" s="5"/>
      <c r="Q1455" s="5"/>
      <c r="R1455" s="5"/>
      <c r="S1455" s="5"/>
    </row>
    <row r="1456" spans="1:19" ht="15.75" customHeight="1" x14ac:dyDescent="0.2">
      <c r="A1456" s="3"/>
      <c r="B1456" s="4" t="str">
        <f>IF(A1456="","","PC-"&amp;TEXT(A1456,"mm/yyyy")&amp;"-"&amp;TEXT(COUNTIFS($A$2:A1456,"&gt;="&amp;EOMONTH(A1456,-1)+1,$A$2:A1456,"&lt;="&amp;EOMONTH(A1456,0)),"000"))</f>
        <v/>
      </c>
      <c r="C1456" s="5"/>
      <c r="D1456" s="5"/>
      <c r="E1456" s="5"/>
      <c r="F1456" s="5"/>
      <c r="G1456" s="5"/>
      <c r="H1456" s="5"/>
      <c r="I1456" s="6"/>
      <c r="J1456" s="6">
        <f>IF(D1456="Thu",I1456,0)</f>
        <v>0</v>
      </c>
      <c r="K1456" s="6">
        <f>IF(D1456="Chi",I1456,0)</f>
        <v>0</v>
      </c>
      <c r="L1456" s="6">
        <f>L1455+J1456-K1456</f>
        <v>8050118</v>
      </c>
      <c r="M1456" s="6">
        <f ca="1">IFERROR(__xludf.DUMMYFUNCTION("SUM(FILTER(J:J, H:H=""Tiền mặt"")) - SUM(FILTER(K:K, H:H=""Tiền mặt""))
"),959000)</f>
        <v>959000</v>
      </c>
      <c r="N1456" s="6">
        <f ca="1">IFERROR(__xludf.DUMMYFUNCTION("SUM(FILTER(J:J, H:H=""Chuyển khoản"")) - SUM(FILTER(K:K, H:H=""Chuyển khoản""))
"),4468984)</f>
        <v>4468984</v>
      </c>
      <c r="O1456" s="5"/>
      <c r="P1456" s="5"/>
      <c r="Q1456" s="5"/>
      <c r="R1456" s="5"/>
      <c r="S1456" s="5"/>
    </row>
    <row r="1457" spans="1:19" ht="15.75" customHeight="1" x14ac:dyDescent="0.2">
      <c r="A1457" s="3"/>
      <c r="B1457" s="4" t="str">
        <f>IF(A1457="","","PC-"&amp;TEXT(A1457,"mm/yyyy")&amp;"-"&amp;TEXT(COUNTIFS($A$2:A1457,"&gt;="&amp;EOMONTH(A1457,-1)+1,$A$2:A1457,"&lt;="&amp;EOMONTH(A1457,0)),"000"))</f>
        <v/>
      </c>
      <c r="C1457" s="5"/>
      <c r="D1457" s="5"/>
      <c r="E1457" s="5"/>
      <c r="F1457" s="5"/>
      <c r="G1457" s="5"/>
      <c r="H1457" s="5"/>
      <c r="I1457" s="6"/>
      <c r="J1457" s="6">
        <f>IF(D1457="Thu",I1457,0)</f>
        <v>0</v>
      </c>
      <c r="K1457" s="6">
        <f>IF(D1457="Chi",I1457,0)</f>
        <v>0</v>
      </c>
      <c r="L1457" s="6">
        <f>L1456+J1457-K1457</f>
        <v>8050118</v>
      </c>
      <c r="M1457" s="6">
        <f ca="1">IFERROR(__xludf.DUMMYFUNCTION("SUM(FILTER(J:J, H:H=""Tiền mặt"")) - SUM(FILTER(K:K, H:H=""Tiền mặt""))
"),959000)</f>
        <v>959000</v>
      </c>
      <c r="N1457" s="6">
        <f ca="1">IFERROR(__xludf.DUMMYFUNCTION("SUM(FILTER(J:J, H:H=""Chuyển khoản"")) - SUM(FILTER(K:K, H:H=""Chuyển khoản""))
"),4468984)</f>
        <v>4468984</v>
      </c>
      <c r="O1457" s="5"/>
      <c r="P1457" s="5"/>
      <c r="Q1457" s="5"/>
      <c r="R1457" s="5"/>
      <c r="S1457" s="5"/>
    </row>
    <row r="1458" spans="1:19" ht="15.75" customHeight="1" x14ac:dyDescent="0.2">
      <c r="A1458" s="3"/>
      <c r="B1458" s="4" t="str">
        <f>IF(A1458="","","PC-"&amp;TEXT(A1458,"mm/yyyy")&amp;"-"&amp;TEXT(COUNTIFS($A$2:A1458,"&gt;="&amp;EOMONTH(A1458,-1)+1,$A$2:A1458,"&lt;="&amp;EOMONTH(A1458,0)),"000"))</f>
        <v/>
      </c>
      <c r="C1458" s="5"/>
      <c r="D1458" s="5"/>
      <c r="E1458" s="5"/>
      <c r="F1458" s="5"/>
      <c r="G1458" s="5"/>
      <c r="H1458" s="5"/>
      <c r="I1458" s="6"/>
      <c r="J1458" s="6">
        <f>IF(D1458="Thu",I1458,0)</f>
        <v>0</v>
      </c>
      <c r="K1458" s="6">
        <f>IF(D1458="Chi",I1458,0)</f>
        <v>0</v>
      </c>
      <c r="L1458" s="6">
        <f>L1457+J1458-K1458</f>
        <v>8050118</v>
      </c>
      <c r="M1458" s="6">
        <f ca="1">IFERROR(__xludf.DUMMYFUNCTION("SUM(FILTER(J:J, H:H=""Tiền mặt"")) - SUM(FILTER(K:K, H:H=""Tiền mặt""))
"),959000)</f>
        <v>959000</v>
      </c>
      <c r="N1458" s="6">
        <f ca="1">IFERROR(__xludf.DUMMYFUNCTION("SUM(FILTER(J:J, H:H=""Chuyển khoản"")) - SUM(FILTER(K:K, H:H=""Chuyển khoản""))
"),4468984)</f>
        <v>4468984</v>
      </c>
      <c r="O1458" s="5"/>
      <c r="P1458" s="5"/>
      <c r="Q1458" s="5"/>
      <c r="R1458" s="5"/>
      <c r="S1458" s="5"/>
    </row>
    <row r="1459" spans="1:19" ht="15.75" customHeight="1" x14ac:dyDescent="0.2">
      <c r="A1459" s="3"/>
      <c r="B1459" s="4" t="str">
        <f>IF(A1459="","","PC-"&amp;TEXT(A1459,"mm/yyyy")&amp;"-"&amp;TEXT(COUNTIFS($A$2:A1459,"&gt;="&amp;EOMONTH(A1459,-1)+1,$A$2:A1459,"&lt;="&amp;EOMONTH(A1459,0)),"000"))</f>
        <v/>
      </c>
      <c r="C1459" s="5"/>
      <c r="D1459" s="5"/>
      <c r="E1459" s="5"/>
      <c r="F1459" s="5"/>
      <c r="G1459" s="5"/>
      <c r="H1459" s="5"/>
      <c r="I1459" s="6"/>
      <c r="J1459" s="6">
        <f>IF(D1459="Thu",I1459,0)</f>
        <v>0</v>
      </c>
      <c r="K1459" s="6">
        <f>IF(D1459="Chi",I1459,0)</f>
        <v>0</v>
      </c>
      <c r="L1459" s="6">
        <f>L1458+J1459-K1459</f>
        <v>8050118</v>
      </c>
      <c r="M1459" s="6">
        <f ca="1">IFERROR(__xludf.DUMMYFUNCTION("SUM(FILTER(J:J, H:H=""Tiền mặt"")) - SUM(FILTER(K:K, H:H=""Tiền mặt""))
"),959000)</f>
        <v>959000</v>
      </c>
      <c r="N1459" s="6">
        <f ca="1">IFERROR(__xludf.DUMMYFUNCTION("SUM(FILTER(J:J, H:H=""Chuyển khoản"")) - SUM(FILTER(K:K, H:H=""Chuyển khoản""))
"),4468984)</f>
        <v>4468984</v>
      </c>
      <c r="O1459" s="5"/>
      <c r="P1459" s="5"/>
      <c r="Q1459" s="5"/>
      <c r="R1459" s="5"/>
      <c r="S1459" s="5"/>
    </row>
    <row r="1460" spans="1:19" ht="15.75" customHeight="1" x14ac:dyDescent="0.2">
      <c r="A1460" s="3"/>
      <c r="B1460" s="4" t="str">
        <f>IF(A1460="","","PC-"&amp;TEXT(A1460,"mm/yyyy")&amp;"-"&amp;TEXT(COUNTIFS($A$2:A1460,"&gt;="&amp;EOMONTH(A1460,-1)+1,$A$2:A1460,"&lt;="&amp;EOMONTH(A1460,0)),"000"))</f>
        <v/>
      </c>
      <c r="C1460" s="5"/>
      <c r="D1460" s="5"/>
      <c r="E1460" s="5"/>
      <c r="F1460" s="5"/>
      <c r="G1460" s="5"/>
      <c r="H1460" s="5"/>
      <c r="I1460" s="6"/>
      <c r="J1460" s="6">
        <f>IF(D1460="Thu",I1460,0)</f>
        <v>0</v>
      </c>
      <c r="K1460" s="6">
        <f>IF(D1460="Chi",I1460,0)</f>
        <v>0</v>
      </c>
      <c r="L1460" s="6">
        <f>L1459+J1460-K1460</f>
        <v>8050118</v>
      </c>
      <c r="M1460" s="6">
        <f ca="1">IFERROR(__xludf.DUMMYFUNCTION("SUM(FILTER(J:J, H:H=""Tiền mặt"")) - SUM(FILTER(K:K, H:H=""Tiền mặt""))
"),959000)</f>
        <v>959000</v>
      </c>
      <c r="N1460" s="6">
        <f ca="1">IFERROR(__xludf.DUMMYFUNCTION("SUM(FILTER(J:J, H:H=""Chuyển khoản"")) - SUM(FILTER(K:K, H:H=""Chuyển khoản""))
"),4468984)</f>
        <v>4468984</v>
      </c>
      <c r="O1460" s="5"/>
      <c r="P1460" s="5"/>
      <c r="Q1460" s="5"/>
      <c r="R1460" s="5"/>
      <c r="S1460" s="5"/>
    </row>
    <row r="1461" spans="1:19" ht="15.75" customHeight="1" x14ac:dyDescent="0.2">
      <c r="A1461" s="3"/>
      <c r="B1461" s="4" t="str">
        <f>IF(A1461="","","PC-"&amp;TEXT(A1461,"mm/yyyy")&amp;"-"&amp;TEXT(COUNTIFS($A$2:A1461,"&gt;="&amp;EOMONTH(A1461,-1)+1,$A$2:A1461,"&lt;="&amp;EOMONTH(A1461,0)),"000"))</f>
        <v/>
      </c>
      <c r="C1461" s="5"/>
      <c r="D1461" s="5"/>
      <c r="E1461" s="5"/>
      <c r="F1461" s="5"/>
      <c r="G1461" s="5"/>
      <c r="H1461" s="5"/>
      <c r="I1461" s="6"/>
      <c r="J1461" s="6">
        <f>IF(D1461="Thu",I1461,0)</f>
        <v>0</v>
      </c>
      <c r="K1461" s="6">
        <f>IF(D1461="Chi",I1461,0)</f>
        <v>0</v>
      </c>
      <c r="L1461" s="6">
        <f>L1460+J1461-K1461</f>
        <v>8050118</v>
      </c>
      <c r="M1461" s="6">
        <f ca="1">IFERROR(__xludf.DUMMYFUNCTION("SUM(FILTER(J:J, H:H=""Tiền mặt"")) - SUM(FILTER(K:K, H:H=""Tiền mặt""))
"),959000)</f>
        <v>959000</v>
      </c>
      <c r="N1461" s="6">
        <f ca="1">IFERROR(__xludf.DUMMYFUNCTION("SUM(FILTER(J:J, H:H=""Chuyển khoản"")) - SUM(FILTER(K:K, H:H=""Chuyển khoản""))
"),4468984)</f>
        <v>4468984</v>
      </c>
      <c r="O1461" s="5"/>
      <c r="P1461" s="5"/>
      <c r="Q1461" s="5"/>
      <c r="R1461" s="5"/>
      <c r="S1461" s="5"/>
    </row>
    <row r="1462" spans="1:19" ht="15.75" customHeight="1" x14ac:dyDescent="0.2">
      <c r="A1462" s="3"/>
      <c r="B1462" s="4" t="str">
        <f>IF(A1462="","","PC-"&amp;TEXT(A1462,"mm/yyyy")&amp;"-"&amp;TEXT(COUNTIFS($A$2:A1462,"&gt;="&amp;EOMONTH(A1462,-1)+1,$A$2:A1462,"&lt;="&amp;EOMONTH(A1462,0)),"000"))</f>
        <v/>
      </c>
      <c r="C1462" s="5"/>
      <c r="D1462" s="5"/>
      <c r="E1462" s="5"/>
      <c r="F1462" s="5"/>
      <c r="G1462" s="5"/>
      <c r="H1462" s="5"/>
      <c r="I1462" s="6"/>
      <c r="J1462" s="6">
        <f>IF(D1462="Thu",I1462,0)</f>
        <v>0</v>
      </c>
      <c r="K1462" s="6">
        <f>IF(D1462="Chi",I1462,0)</f>
        <v>0</v>
      </c>
      <c r="L1462" s="6">
        <f>L1461+J1462-K1462</f>
        <v>8050118</v>
      </c>
      <c r="M1462" s="6">
        <f ca="1">IFERROR(__xludf.DUMMYFUNCTION("SUM(FILTER(J:J, H:H=""Tiền mặt"")) - SUM(FILTER(K:K, H:H=""Tiền mặt""))
"),959000)</f>
        <v>959000</v>
      </c>
      <c r="N1462" s="6">
        <f ca="1">IFERROR(__xludf.DUMMYFUNCTION("SUM(FILTER(J:J, H:H=""Chuyển khoản"")) - SUM(FILTER(K:K, H:H=""Chuyển khoản""))
"),4468984)</f>
        <v>4468984</v>
      </c>
      <c r="O1462" s="5"/>
      <c r="P1462" s="5"/>
      <c r="Q1462" s="5"/>
      <c r="R1462" s="5"/>
      <c r="S1462" s="5"/>
    </row>
    <row r="1463" spans="1:19" ht="15.75" customHeight="1" x14ac:dyDescent="0.2">
      <c r="A1463" s="3"/>
      <c r="B1463" s="4" t="str">
        <f>IF(A1463="","","PC-"&amp;TEXT(A1463,"mm/yyyy")&amp;"-"&amp;TEXT(COUNTIFS($A$2:A1463,"&gt;="&amp;EOMONTH(A1463,-1)+1,$A$2:A1463,"&lt;="&amp;EOMONTH(A1463,0)),"000"))</f>
        <v/>
      </c>
      <c r="C1463" s="5"/>
      <c r="D1463" s="5"/>
      <c r="E1463" s="5"/>
      <c r="F1463" s="5"/>
      <c r="G1463" s="5"/>
      <c r="H1463" s="5"/>
      <c r="I1463" s="6"/>
      <c r="J1463" s="6">
        <f>IF(D1463="Thu",I1463,0)</f>
        <v>0</v>
      </c>
      <c r="K1463" s="6">
        <f>IF(D1463="Chi",I1463,0)</f>
        <v>0</v>
      </c>
      <c r="L1463" s="6">
        <f>L1462+J1463-K1463</f>
        <v>8050118</v>
      </c>
      <c r="M1463" s="6">
        <f ca="1">IFERROR(__xludf.DUMMYFUNCTION("SUM(FILTER(J:J, H:H=""Tiền mặt"")) - SUM(FILTER(K:K, H:H=""Tiền mặt""))
"),959000)</f>
        <v>959000</v>
      </c>
      <c r="N1463" s="6">
        <f ca="1">IFERROR(__xludf.DUMMYFUNCTION("SUM(FILTER(J:J, H:H=""Chuyển khoản"")) - SUM(FILTER(K:K, H:H=""Chuyển khoản""))
"),4468984)</f>
        <v>4468984</v>
      </c>
      <c r="O1463" s="5"/>
      <c r="P1463" s="5"/>
      <c r="Q1463" s="5"/>
      <c r="R1463" s="5"/>
      <c r="S1463" s="5"/>
    </row>
    <row r="1464" spans="1:19" ht="15.75" customHeight="1" x14ac:dyDescent="0.2">
      <c r="A1464" s="3"/>
      <c r="B1464" s="4" t="str">
        <f>IF(A1464="","","PC-"&amp;TEXT(A1464,"mm/yyyy")&amp;"-"&amp;TEXT(COUNTIFS($A$2:A1464,"&gt;="&amp;EOMONTH(A1464,-1)+1,$A$2:A1464,"&lt;="&amp;EOMONTH(A1464,0)),"000"))</f>
        <v/>
      </c>
      <c r="C1464" s="5"/>
      <c r="D1464" s="5"/>
      <c r="E1464" s="5"/>
      <c r="F1464" s="5"/>
      <c r="G1464" s="5"/>
      <c r="H1464" s="5"/>
      <c r="I1464" s="6"/>
      <c r="J1464" s="6">
        <f>IF(D1464="Thu",I1464,0)</f>
        <v>0</v>
      </c>
      <c r="K1464" s="6">
        <f>IF(D1464="Chi",I1464,0)</f>
        <v>0</v>
      </c>
      <c r="L1464" s="6">
        <f>L1463+J1464-K1464</f>
        <v>8050118</v>
      </c>
      <c r="M1464" s="6">
        <f ca="1">IFERROR(__xludf.DUMMYFUNCTION("SUM(FILTER(J:J, H:H=""Tiền mặt"")) - SUM(FILTER(K:K, H:H=""Tiền mặt""))
"),959000)</f>
        <v>959000</v>
      </c>
      <c r="N1464" s="6">
        <f ca="1">IFERROR(__xludf.DUMMYFUNCTION("SUM(FILTER(J:J, H:H=""Chuyển khoản"")) - SUM(FILTER(K:K, H:H=""Chuyển khoản""))
"),4468984)</f>
        <v>4468984</v>
      </c>
      <c r="O1464" s="5"/>
      <c r="P1464" s="5"/>
      <c r="Q1464" s="5"/>
      <c r="R1464" s="5"/>
      <c r="S1464" s="5"/>
    </row>
    <row r="1465" spans="1:19" ht="15.75" customHeight="1" x14ac:dyDescent="0.2">
      <c r="A1465" s="3"/>
      <c r="B1465" s="4" t="str">
        <f>IF(A1465="","","PC-"&amp;TEXT(A1465,"mm/yyyy")&amp;"-"&amp;TEXT(COUNTIFS($A$2:A1465,"&gt;="&amp;EOMONTH(A1465,-1)+1,$A$2:A1465,"&lt;="&amp;EOMONTH(A1465,0)),"000"))</f>
        <v/>
      </c>
      <c r="C1465" s="5"/>
      <c r="D1465" s="5"/>
      <c r="E1465" s="5"/>
      <c r="F1465" s="5"/>
      <c r="G1465" s="5"/>
      <c r="H1465" s="5"/>
      <c r="I1465" s="6"/>
      <c r="J1465" s="6">
        <f>IF(D1465="Thu",I1465,0)</f>
        <v>0</v>
      </c>
      <c r="K1465" s="6">
        <f>IF(D1465="Chi",I1465,0)</f>
        <v>0</v>
      </c>
      <c r="L1465" s="6">
        <f>L1464+J1465-K1465</f>
        <v>8050118</v>
      </c>
      <c r="M1465" s="6">
        <f ca="1">IFERROR(__xludf.DUMMYFUNCTION("SUM(FILTER(J:J, H:H=""Tiền mặt"")) - SUM(FILTER(K:K, H:H=""Tiền mặt""))
"),959000)</f>
        <v>959000</v>
      </c>
      <c r="N1465" s="6">
        <f ca="1">IFERROR(__xludf.DUMMYFUNCTION("SUM(FILTER(J:J, H:H=""Chuyển khoản"")) - SUM(FILTER(K:K, H:H=""Chuyển khoản""))
"),4468984)</f>
        <v>4468984</v>
      </c>
      <c r="O1465" s="5"/>
      <c r="P1465" s="5"/>
      <c r="Q1465" s="5"/>
      <c r="R1465" s="5"/>
      <c r="S1465" s="5"/>
    </row>
    <row r="1466" spans="1:19" ht="15.75" customHeight="1" x14ac:dyDescent="0.2">
      <c r="A1466" s="3"/>
      <c r="B1466" s="4" t="str">
        <f>IF(A1466="","","PC-"&amp;TEXT(A1466,"mm/yyyy")&amp;"-"&amp;TEXT(COUNTIFS($A$2:A1466,"&gt;="&amp;EOMONTH(A1466,-1)+1,$A$2:A1466,"&lt;="&amp;EOMONTH(A1466,0)),"000"))</f>
        <v/>
      </c>
      <c r="C1466" s="5"/>
      <c r="D1466" s="5"/>
      <c r="E1466" s="5"/>
      <c r="F1466" s="5"/>
      <c r="G1466" s="5"/>
      <c r="H1466" s="5"/>
      <c r="I1466" s="6"/>
      <c r="J1466" s="6">
        <f>IF(D1466="Thu",I1466,0)</f>
        <v>0</v>
      </c>
      <c r="K1466" s="6">
        <f>IF(D1466="Chi",I1466,0)</f>
        <v>0</v>
      </c>
      <c r="L1466" s="6">
        <f>L1465+J1466-K1466</f>
        <v>8050118</v>
      </c>
      <c r="M1466" s="6">
        <f ca="1">IFERROR(__xludf.DUMMYFUNCTION("SUM(FILTER(J:J, H:H=""Tiền mặt"")) - SUM(FILTER(K:K, H:H=""Tiền mặt""))
"),959000)</f>
        <v>959000</v>
      </c>
      <c r="N1466" s="6">
        <f ca="1">IFERROR(__xludf.DUMMYFUNCTION("SUM(FILTER(J:J, H:H=""Chuyển khoản"")) - SUM(FILTER(K:K, H:H=""Chuyển khoản""))
"),4468984)</f>
        <v>4468984</v>
      </c>
      <c r="O1466" s="5"/>
      <c r="P1466" s="5"/>
      <c r="Q1466" s="5"/>
      <c r="R1466" s="5"/>
      <c r="S1466" s="5"/>
    </row>
    <row r="1467" spans="1:19" ht="15.75" customHeight="1" x14ac:dyDescent="0.2">
      <c r="A1467" s="3"/>
      <c r="B1467" s="4" t="str">
        <f>IF(A1467="","","PC-"&amp;TEXT(A1467,"mm/yyyy")&amp;"-"&amp;TEXT(COUNTIFS($A$2:A1467,"&gt;="&amp;EOMONTH(A1467,-1)+1,$A$2:A1467,"&lt;="&amp;EOMONTH(A1467,0)),"000"))</f>
        <v/>
      </c>
      <c r="C1467" s="5"/>
      <c r="D1467" s="5"/>
      <c r="E1467" s="5"/>
      <c r="F1467" s="5"/>
      <c r="G1467" s="5"/>
      <c r="H1467" s="5"/>
      <c r="I1467" s="6"/>
      <c r="J1467" s="6">
        <f>IF(D1467="Thu",I1467,0)</f>
        <v>0</v>
      </c>
      <c r="K1467" s="6">
        <f>IF(D1467="Chi",I1467,0)</f>
        <v>0</v>
      </c>
      <c r="L1467" s="6">
        <f>L1466+J1467-K1467</f>
        <v>8050118</v>
      </c>
      <c r="M1467" s="6">
        <f ca="1">IFERROR(__xludf.DUMMYFUNCTION("SUM(FILTER(J:J, H:H=""Tiền mặt"")) - SUM(FILTER(K:K, H:H=""Tiền mặt""))
"),959000)</f>
        <v>959000</v>
      </c>
      <c r="N1467" s="6">
        <f ca="1">IFERROR(__xludf.DUMMYFUNCTION("SUM(FILTER(J:J, H:H=""Chuyển khoản"")) - SUM(FILTER(K:K, H:H=""Chuyển khoản""))
"),4468984)</f>
        <v>4468984</v>
      </c>
      <c r="O1467" s="5"/>
      <c r="P1467" s="5"/>
      <c r="Q1467" s="5"/>
      <c r="R1467" s="5"/>
      <c r="S1467" s="5"/>
    </row>
    <row r="1468" spans="1:19" ht="15.75" customHeight="1" x14ac:dyDescent="0.2">
      <c r="A1468" s="3"/>
      <c r="B1468" s="4" t="str">
        <f>IF(A1468="","","PC-"&amp;TEXT(A1468,"mm/yyyy")&amp;"-"&amp;TEXT(COUNTIFS($A$2:A1468,"&gt;="&amp;EOMONTH(A1468,-1)+1,$A$2:A1468,"&lt;="&amp;EOMONTH(A1468,0)),"000"))</f>
        <v/>
      </c>
      <c r="C1468" s="5"/>
      <c r="D1468" s="5"/>
      <c r="E1468" s="5"/>
      <c r="F1468" s="5"/>
      <c r="G1468" s="5"/>
      <c r="H1468" s="5"/>
      <c r="I1468" s="6"/>
      <c r="J1468" s="6">
        <f>IF(D1468="Thu",I1468,0)</f>
        <v>0</v>
      </c>
      <c r="K1468" s="6">
        <f>IF(D1468="Chi",I1468,0)</f>
        <v>0</v>
      </c>
      <c r="L1468" s="6">
        <f>L1467+J1468-K1468</f>
        <v>8050118</v>
      </c>
      <c r="M1468" s="6">
        <f ca="1">IFERROR(__xludf.DUMMYFUNCTION("SUM(FILTER(J:J, H:H=""Tiền mặt"")) - SUM(FILTER(K:K, H:H=""Tiền mặt""))
"),959000)</f>
        <v>959000</v>
      </c>
      <c r="N1468" s="6">
        <f ca="1">IFERROR(__xludf.DUMMYFUNCTION("SUM(FILTER(J:J, H:H=""Chuyển khoản"")) - SUM(FILTER(K:K, H:H=""Chuyển khoản""))
"),4468984)</f>
        <v>4468984</v>
      </c>
      <c r="O1468" s="5"/>
      <c r="P1468" s="5"/>
      <c r="Q1468" s="5"/>
      <c r="R1468" s="5"/>
      <c r="S1468" s="5"/>
    </row>
    <row r="1469" spans="1:19" ht="15.75" customHeight="1" x14ac:dyDescent="0.2">
      <c r="A1469" s="3"/>
      <c r="B1469" s="4" t="str">
        <f>IF(A1469="","","PC-"&amp;TEXT(A1469,"mm/yyyy")&amp;"-"&amp;TEXT(COUNTIFS($A$2:A1469,"&gt;="&amp;EOMONTH(A1469,-1)+1,$A$2:A1469,"&lt;="&amp;EOMONTH(A1469,0)),"000"))</f>
        <v/>
      </c>
      <c r="C1469" s="5"/>
      <c r="D1469" s="5"/>
      <c r="E1469" s="5"/>
      <c r="F1469" s="5"/>
      <c r="G1469" s="5"/>
      <c r="H1469" s="5"/>
      <c r="I1469" s="6"/>
      <c r="J1469" s="6">
        <f>IF(D1469="Thu",I1469,0)</f>
        <v>0</v>
      </c>
      <c r="K1469" s="6">
        <f>IF(D1469="Chi",I1469,0)</f>
        <v>0</v>
      </c>
      <c r="L1469" s="6">
        <f>L1468+J1469-K1469</f>
        <v>8050118</v>
      </c>
      <c r="M1469" s="6">
        <f ca="1">IFERROR(__xludf.DUMMYFUNCTION("SUM(FILTER(J:J, H:H=""Tiền mặt"")) - SUM(FILTER(K:K, H:H=""Tiền mặt""))
"),959000)</f>
        <v>959000</v>
      </c>
      <c r="N1469" s="6">
        <f ca="1">IFERROR(__xludf.DUMMYFUNCTION("SUM(FILTER(J:J, H:H=""Chuyển khoản"")) - SUM(FILTER(K:K, H:H=""Chuyển khoản""))
"),4468984)</f>
        <v>4468984</v>
      </c>
      <c r="O1469" s="5"/>
      <c r="P1469" s="5"/>
      <c r="Q1469" s="5"/>
      <c r="R1469" s="5"/>
      <c r="S1469" s="5"/>
    </row>
    <row r="1470" spans="1:19" ht="15.75" customHeight="1" x14ac:dyDescent="0.2">
      <c r="A1470" s="3"/>
      <c r="B1470" s="4" t="str">
        <f>IF(A1470="","","PC-"&amp;TEXT(A1470,"mm/yyyy")&amp;"-"&amp;TEXT(COUNTIFS($A$2:A1470,"&gt;="&amp;EOMONTH(A1470,-1)+1,$A$2:A1470,"&lt;="&amp;EOMONTH(A1470,0)),"000"))</f>
        <v/>
      </c>
      <c r="C1470" s="5"/>
      <c r="D1470" s="5"/>
      <c r="E1470" s="5"/>
      <c r="F1470" s="5"/>
      <c r="G1470" s="5"/>
      <c r="H1470" s="5"/>
      <c r="I1470" s="6"/>
      <c r="J1470" s="6">
        <f>IF(D1470="Thu",I1470,0)</f>
        <v>0</v>
      </c>
      <c r="K1470" s="6">
        <f>IF(D1470="Chi",I1470,0)</f>
        <v>0</v>
      </c>
      <c r="L1470" s="6">
        <f>L1469+J1470-K1470</f>
        <v>8050118</v>
      </c>
      <c r="M1470" s="6">
        <f ca="1">IFERROR(__xludf.DUMMYFUNCTION("SUM(FILTER(J:J, H:H=""Tiền mặt"")) - SUM(FILTER(K:K, H:H=""Tiền mặt""))
"),959000)</f>
        <v>959000</v>
      </c>
      <c r="N1470" s="6">
        <f ca="1">IFERROR(__xludf.DUMMYFUNCTION("SUM(FILTER(J:J, H:H=""Chuyển khoản"")) - SUM(FILTER(K:K, H:H=""Chuyển khoản""))
"),4468984)</f>
        <v>4468984</v>
      </c>
      <c r="O1470" s="5"/>
      <c r="P1470" s="5"/>
      <c r="Q1470" s="5"/>
      <c r="R1470" s="5"/>
      <c r="S1470" s="5"/>
    </row>
    <row r="1471" spans="1:19" ht="15.75" customHeight="1" x14ac:dyDescent="0.2">
      <c r="A1471" s="3"/>
      <c r="B1471" s="4" t="str">
        <f>IF(A1471="","","PC-"&amp;TEXT(A1471,"mm/yyyy")&amp;"-"&amp;TEXT(COUNTIFS($A$2:A1471,"&gt;="&amp;EOMONTH(A1471,-1)+1,$A$2:A1471,"&lt;="&amp;EOMONTH(A1471,0)),"000"))</f>
        <v/>
      </c>
      <c r="C1471" s="5"/>
      <c r="D1471" s="5"/>
      <c r="E1471" s="5"/>
      <c r="F1471" s="5"/>
      <c r="G1471" s="5"/>
      <c r="H1471" s="5"/>
      <c r="I1471" s="6"/>
      <c r="J1471" s="6">
        <f>IF(D1471="Thu",I1471,0)</f>
        <v>0</v>
      </c>
      <c r="K1471" s="6">
        <f>IF(D1471="Chi",I1471,0)</f>
        <v>0</v>
      </c>
      <c r="L1471" s="6">
        <f>L1470+J1471-K1471</f>
        <v>8050118</v>
      </c>
      <c r="M1471" s="6">
        <f ca="1">IFERROR(__xludf.DUMMYFUNCTION("SUM(FILTER(J:J, H:H=""Tiền mặt"")) - SUM(FILTER(K:K, H:H=""Tiền mặt""))
"),959000)</f>
        <v>959000</v>
      </c>
      <c r="N1471" s="6">
        <f ca="1">IFERROR(__xludf.DUMMYFUNCTION("SUM(FILTER(J:J, H:H=""Chuyển khoản"")) - SUM(FILTER(K:K, H:H=""Chuyển khoản""))
"),4468984)</f>
        <v>4468984</v>
      </c>
      <c r="O1471" s="5"/>
      <c r="P1471" s="5"/>
      <c r="Q1471" s="5"/>
      <c r="R1471" s="5"/>
      <c r="S1471" s="5"/>
    </row>
    <row r="1472" spans="1:19" ht="15.75" customHeight="1" x14ac:dyDescent="0.2">
      <c r="A1472" s="3"/>
      <c r="B1472" s="4" t="str">
        <f>IF(A1472="","","PC-"&amp;TEXT(A1472,"mm/yyyy")&amp;"-"&amp;TEXT(COUNTIFS($A$2:A1472,"&gt;="&amp;EOMONTH(A1472,-1)+1,$A$2:A1472,"&lt;="&amp;EOMONTH(A1472,0)),"000"))</f>
        <v/>
      </c>
      <c r="C1472" s="5"/>
      <c r="D1472" s="5"/>
      <c r="E1472" s="5"/>
      <c r="F1472" s="5"/>
      <c r="G1472" s="5"/>
      <c r="H1472" s="5"/>
      <c r="I1472" s="6"/>
      <c r="J1472" s="6">
        <f>IF(D1472="Thu",I1472,0)</f>
        <v>0</v>
      </c>
      <c r="K1472" s="6">
        <f>IF(D1472="Chi",I1472,0)</f>
        <v>0</v>
      </c>
      <c r="L1472" s="6">
        <f>L1471+J1472-K1472</f>
        <v>8050118</v>
      </c>
      <c r="M1472" s="6">
        <f ca="1">IFERROR(__xludf.DUMMYFUNCTION("SUM(FILTER(J:J, H:H=""Tiền mặt"")) - SUM(FILTER(K:K, H:H=""Tiền mặt""))
"),959000)</f>
        <v>959000</v>
      </c>
      <c r="N1472" s="6">
        <f ca="1">IFERROR(__xludf.DUMMYFUNCTION("SUM(FILTER(J:J, H:H=""Chuyển khoản"")) - SUM(FILTER(K:K, H:H=""Chuyển khoản""))
"),4468984)</f>
        <v>4468984</v>
      </c>
      <c r="O1472" s="5"/>
      <c r="P1472" s="5"/>
      <c r="Q1472" s="5"/>
      <c r="R1472" s="5"/>
      <c r="S1472" s="5"/>
    </row>
    <row r="1473" spans="1:19" ht="15.75" customHeight="1" x14ac:dyDescent="0.2">
      <c r="A1473" s="3"/>
      <c r="B1473" s="4" t="str">
        <f>IF(A1473="","","PC-"&amp;TEXT(A1473,"mm/yyyy")&amp;"-"&amp;TEXT(COUNTIFS($A$2:A1473,"&gt;="&amp;EOMONTH(A1473,-1)+1,$A$2:A1473,"&lt;="&amp;EOMONTH(A1473,0)),"000"))</f>
        <v/>
      </c>
      <c r="C1473" s="5"/>
      <c r="D1473" s="5"/>
      <c r="E1473" s="5"/>
      <c r="F1473" s="5"/>
      <c r="G1473" s="5"/>
      <c r="H1473" s="5"/>
      <c r="I1473" s="6"/>
      <c r="J1473" s="6">
        <f>IF(D1473="Thu",I1473,0)</f>
        <v>0</v>
      </c>
      <c r="K1473" s="6">
        <f>IF(D1473="Chi",I1473,0)</f>
        <v>0</v>
      </c>
      <c r="L1473" s="6">
        <f>L1472+J1473-K1473</f>
        <v>8050118</v>
      </c>
      <c r="M1473" s="6">
        <f ca="1">IFERROR(__xludf.DUMMYFUNCTION("SUM(FILTER(J:J, H:H=""Tiền mặt"")) - SUM(FILTER(K:K, H:H=""Tiền mặt""))
"),959000)</f>
        <v>959000</v>
      </c>
      <c r="N1473" s="6">
        <f ca="1">IFERROR(__xludf.DUMMYFUNCTION("SUM(FILTER(J:J, H:H=""Chuyển khoản"")) - SUM(FILTER(K:K, H:H=""Chuyển khoản""))
"),4468984)</f>
        <v>4468984</v>
      </c>
      <c r="O1473" s="5"/>
      <c r="P1473" s="5"/>
      <c r="Q1473" s="5"/>
      <c r="R1473" s="5"/>
      <c r="S1473" s="5"/>
    </row>
    <row r="1474" spans="1:19" ht="15.75" customHeight="1" x14ac:dyDescent="0.2">
      <c r="A1474" s="3"/>
      <c r="B1474" s="4" t="str">
        <f>IF(A1474="","","PC-"&amp;TEXT(A1474,"mm/yyyy")&amp;"-"&amp;TEXT(COUNTIFS($A$2:A1474,"&gt;="&amp;EOMONTH(A1474,-1)+1,$A$2:A1474,"&lt;="&amp;EOMONTH(A1474,0)),"000"))</f>
        <v/>
      </c>
      <c r="C1474" s="5"/>
      <c r="D1474" s="5"/>
      <c r="E1474" s="5"/>
      <c r="F1474" s="5"/>
      <c r="G1474" s="5"/>
      <c r="H1474" s="5"/>
      <c r="I1474" s="6"/>
      <c r="J1474" s="6">
        <f>IF(D1474="Thu",I1474,0)</f>
        <v>0</v>
      </c>
      <c r="K1474" s="6">
        <f>IF(D1474="Chi",I1474,0)</f>
        <v>0</v>
      </c>
      <c r="L1474" s="6">
        <f>L1473+J1474-K1474</f>
        <v>8050118</v>
      </c>
      <c r="M1474" s="6">
        <f ca="1">IFERROR(__xludf.DUMMYFUNCTION("SUM(FILTER(J:J, H:H=""Tiền mặt"")) - SUM(FILTER(K:K, H:H=""Tiền mặt""))
"),959000)</f>
        <v>959000</v>
      </c>
      <c r="N1474" s="6">
        <f ca="1">IFERROR(__xludf.DUMMYFUNCTION("SUM(FILTER(J:J, H:H=""Chuyển khoản"")) - SUM(FILTER(K:K, H:H=""Chuyển khoản""))
"),4468984)</f>
        <v>4468984</v>
      </c>
      <c r="O1474" s="5"/>
      <c r="P1474" s="5"/>
      <c r="Q1474" s="5"/>
      <c r="R1474" s="5"/>
      <c r="S1474" s="5"/>
    </row>
    <row r="1475" spans="1:19" ht="15.75" customHeight="1" x14ac:dyDescent="0.2">
      <c r="A1475" s="3"/>
      <c r="B1475" s="4" t="str">
        <f>IF(A1475="","","PC-"&amp;TEXT(A1475,"mm/yyyy")&amp;"-"&amp;TEXT(COUNTIFS($A$2:A1475,"&gt;="&amp;EOMONTH(A1475,-1)+1,$A$2:A1475,"&lt;="&amp;EOMONTH(A1475,0)),"000"))</f>
        <v/>
      </c>
      <c r="C1475" s="5"/>
      <c r="D1475" s="5"/>
      <c r="E1475" s="5"/>
      <c r="F1475" s="5"/>
      <c r="G1475" s="5"/>
      <c r="H1475" s="5"/>
      <c r="I1475" s="6"/>
      <c r="J1475" s="6">
        <f>IF(D1475="Thu",I1475,0)</f>
        <v>0</v>
      </c>
      <c r="K1475" s="6">
        <f>IF(D1475="Chi",I1475,0)</f>
        <v>0</v>
      </c>
      <c r="L1475" s="6">
        <f>L1474+J1475-K1475</f>
        <v>8050118</v>
      </c>
      <c r="M1475" s="6">
        <f ca="1">IFERROR(__xludf.DUMMYFUNCTION("SUM(FILTER(J:J, H:H=""Tiền mặt"")) - SUM(FILTER(K:K, H:H=""Tiền mặt""))
"),959000)</f>
        <v>959000</v>
      </c>
      <c r="N1475" s="6">
        <f ca="1">IFERROR(__xludf.DUMMYFUNCTION("SUM(FILTER(J:J, H:H=""Chuyển khoản"")) - SUM(FILTER(K:K, H:H=""Chuyển khoản""))
"),4468984)</f>
        <v>4468984</v>
      </c>
      <c r="O1475" s="5"/>
      <c r="P1475" s="5"/>
      <c r="Q1475" s="5"/>
      <c r="R1475" s="5"/>
      <c r="S1475" s="5"/>
    </row>
    <row r="1476" spans="1:19" ht="15.75" customHeight="1" x14ac:dyDescent="0.2">
      <c r="A1476" s="3"/>
      <c r="B1476" s="4" t="str">
        <f>IF(A1476="","","PC-"&amp;TEXT(A1476,"mm/yyyy")&amp;"-"&amp;TEXT(COUNTIFS($A$2:A1476,"&gt;="&amp;EOMONTH(A1476,-1)+1,$A$2:A1476,"&lt;="&amp;EOMONTH(A1476,0)),"000"))</f>
        <v/>
      </c>
      <c r="C1476" s="5"/>
      <c r="D1476" s="5"/>
      <c r="E1476" s="5"/>
      <c r="F1476" s="5"/>
      <c r="G1476" s="5"/>
      <c r="H1476" s="5"/>
      <c r="I1476" s="6"/>
      <c r="J1476" s="6">
        <f>IF(D1476="Thu",I1476,0)</f>
        <v>0</v>
      </c>
      <c r="K1476" s="6">
        <f>IF(D1476="Chi",I1476,0)</f>
        <v>0</v>
      </c>
      <c r="L1476" s="6">
        <f>L1475+J1476-K1476</f>
        <v>8050118</v>
      </c>
      <c r="M1476" s="6">
        <f ca="1">IFERROR(__xludf.DUMMYFUNCTION("SUM(FILTER(J:J, H:H=""Tiền mặt"")) - SUM(FILTER(K:K, H:H=""Tiền mặt""))
"),959000)</f>
        <v>959000</v>
      </c>
      <c r="N1476" s="6">
        <f ca="1">IFERROR(__xludf.DUMMYFUNCTION("SUM(FILTER(J:J, H:H=""Chuyển khoản"")) - SUM(FILTER(K:K, H:H=""Chuyển khoản""))
"),4468984)</f>
        <v>4468984</v>
      </c>
      <c r="O1476" s="5"/>
      <c r="P1476" s="5"/>
      <c r="Q1476" s="5"/>
      <c r="R1476" s="5"/>
      <c r="S1476" s="5"/>
    </row>
    <row r="1477" spans="1:19" ht="15.75" customHeight="1" x14ac:dyDescent="0.2">
      <c r="A1477" s="3"/>
      <c r="B1477" s="4" t="str">
        <f>IF(A1477="","","PC-"&amp;TEXT(A1477,"mm/yyyy")&amp;"-"&amp;TEXT(COUNTIFS($A$2:A1477,"&gt;="&amp;EOMONTH(A1477,-1)+1,$A$2:A1477,"&lt;="&amp;EOMONTH(A1477,0)),"000"))</f>
        <v/>
      </c>
      <c r="C1477" s="5"/>
      <c r="D1477" s="5"/>
      <c r="E1477" s="5"/>
      <c r="F1477" s="5"/>
      <c r="G1477" s="5"/>
      <c r="H1477" s="5"/>
      <c r="I1477" s="6"/>
      <c r="J1477" s="6">
        <f>IF(D1477="Thu",I1477,0)</f>
        <v>0</v>
      </c>
      <c r="K1477" s="6">
        <f>IF(D1477="Chi",I1477,0)</f>
        <v>0</v>
      </c>
      <c r="L1477" s="6">
        <f>L1476+J1477-K1477</f>
        <v>8050118</v>
      </c>
      <c r="M1477" s="6">
        <f ca="1">IFERROR(__xludf.DUMMYFUNCTION("SUM(FILTER(J:J, H:H=""Tiền mặt"")) - SUM(FILTER(K:K, H:H=""Tiền mặt""))
"),959000)</f>
        <v>959000</v>
      </c>
      <c r="N1477" s="6">
        <f ca="1">IFERROR(__xludf.DUMMYFUNCTION("SUM(FILTER(J:J, H:H=""Chuyển khoản"")) - SUM(FILTER(K:K, H:H=""Chuyển khoản""))
"),4468984)</f>
        <v>4468984</v>
      </c>
      <c r="O1477" s="5"/>
      <c r="P1477" s="5"/>
      <c r="Q1477" s="5"/>
      <c r="R1477" s="5"/>
      <c r="S1477" s="5"/>
    </row>
    <row r="1478" spans="1:19" ht="15.75" customHeight="1" x14ac:dyDescent="0.2">
      <c r="A1478" s="3"/>
      <c r="B1478" s="4" t="str">
        <f>IF(A1478="","","PC-"&amp;TEXT(A1478,"mm/yyyy")&amp;"-"&amp;TEXT(COUNTIFS($A$2:A1478,"&gt;="&amp;EOMONTH(A1478,-1)+1,$A$2:A1478,"&lt;="&amp;EOMONTH(A1478,0)),"000"))</f>
        <v/>
      </c>
      <c r="C1478" s="5"/>
      <c r="D1478" s="5"/>
      <c r="E1478" s="5"/>
      <c r="F1478" s="5"/>
      <c r="G1478" s="5"/>
      <c r="H1478" s="5"/>
      <c r="I1478" s="6"/>
      <c r="J1478" s="6">
        <f>IF(D1478="Thu",I1478,0)</f>
        <v>0</v>
      </c>
      <c r="K1478" s="6">
        <f>IF(D1478="Chi",I1478,0)</f>
        <v>0</v>
      </c>
      <c r="L1478" s="6">
        <f>L1477+J1478-K1478</f>
        <v>8050118</v>
      </c>
      <c r="M1478" s="6">
        <f ca="1">IFERROR(__xludf.DUMMYFUNCTION("SUM(FILTER(J:J, H:H=""Tiền mặt"")) - SUM(FILTER(K:K, H:H=""Tiền mặt""))
"),959000)</f>
        <v>959000</v>
      </c>
      <c r="N1478" s="6">
        <f ca="1">IFERROR(__xludf.DUMMYFUNCTION("SUM(FILTER(J:J, H:H=""Chuyển khoản"")) - SUM(FILTER(K:K, H:H=""Chuyển khoản""))
"),4468984)</f>
        <v>4468984</v>
      </c>
      <c r="O1478" s="5"/>
      <c r="P1478" s="5"/>
      <c r="Q1478" s="5"/>
      <c r="R1478" s="5"/>
      <c r="S1478" s="5"/>
    </row>
    <row r="1479" spans="1:19" ht="15.75" customHeight="1" x14ac:dyDescent="0.2">
      <c r="A1479" s="3"/>
      <c r="B1479" s="4" t="str">
        <f>IF(A1479="","","PC-"&amp;TEXT(A1479,"mm/yyyy")&amp;"-"&amp;TEXT(COUNTIFS($A$2:A1479,"&gt;="&amp;EOMONTH(A1479,-1)+1,$A$2:A1479,"&lt;="&amp;EOMONTH(A1479,0)),"000"))</f>
        <v/>
      </c>
      <c r="C1479" s="5"/>
      <c r="D1479" s="5"/>
      <c r="E1479" s="5"/>
      <c r="F1479" s="5"/>
      <c r="G1479" s="5"/>
      <c r="H1479" s="5"/>
      <c r="I1479" s="6"/>
      <c r="J1479" s="6">
        <f>IF(D1479="Thu",I1479,0)</f>
        <v>0</v>
      </c>
      <c r="K1479" s="6">
        <f>IF(D1479="Chi",I1479,0)</f>
        <v>0</v>
      </c>
      <c r="L1479" s="6">
        <f>L1478+J1479-K1479</f>
        <v>8050118</v>
      </c>
      <c r="M1479" s="6">
        <f ca="1">IFERROR(__xludf.DUMMYFUNCTION("SUM(FILTER(J:J, H:H=""Tiền mặt"")) - SUM(FILTER(K:K, H:H=""Tiền mặt""))
"),959000)</f>
        <v>959000</v>
      </c>
      <c r="N1479" s="6">
        <f ca="1">IFERROR(__xludf.DUMMYFUNCTION("SUM(FILTER(J:J, H:H=""Chuyển khoản"")) - SUM(FILTER(K:K, H:H=""Chuyển khoản""))
"),4468984)</f>
        <v>4468984</v>
      </c>
      <c r="O1479" s="5"/>
      <c r="P1479" s="5"/>
      <c r="Q1479" s="5"/>
      <c r="R1479" s="5"/>
      <c r="S1479" s="5"/>
    </row>
    <row r="1480" spans="1:19" ht="15.75" customHeight="1" x14ac:dyDescent="0.2">
      <c r="A1480" s="3"/>
      <c r="B1480" s="4" t="str">
        <f>IF(A1480="","","PC-"&amp;TEXT(A1480,"mm/yyyy")&amp;"-"&amp;TEXT(COUNTIFS($A$2:A1480,"&gt;="&amp;EOMONTH(A1480,-1)+1,$A$2:A1480,"&lt;="&amp;EOMONTH(A1480,0)),"000"))</f>
        <v/>
      </c>
      <c r="C1480" s="5"/>
      <c r="D1480" s="5"/>
      <c r="E1480" s="5"/>
      <c r="F1480" s="5"/>
      <c r="G1480" s="5"/>
      <c r="H1480" s="5"/>
      <c r="I1480" s="6"/>
      <c r="J1480" s="6">
        <f>IF(D1480="Thu",I1480,0)</f>
        <v>0</v>
      </c>
      <c r="K1480" s="6">
        <f>IF(D1480="Chi",I1480,0)</f>
        <v>0</v>
      </c>
      <c r="L1480" s="6">
        <f>L1479+J1480-K1480</f>
        <v>8050118</v>
      </c>
      <c r="M1480" s="6">
        <f ca="1">IFERROR(__xludf.DUMMYFUNCTION("SUM(FILTER(J:J, H:H=""Tiền mặt"")) - SUM(FILTER(K:K, H:H=""Tiền mặt""))
"),959000)</f>
        <v>959000</v>
      </c>
      <c r="N1480" s="6">
        <f ca="1">IFERROR(__xludf.DUMMYFUNCTION("SUM(FILTER(J:J, H:H=""Chuyển khoản"")) - SUM(FILTER(K:K, H:H=""Chuyển khoản""))
"),4468984)</f>
        <v>4468984</v>
      </c>
      <c r="O1480" s="5"/>
      <c r="P1480" s="5"/>
      <c r="Q1480" s="5"/>
      <c r="R1480" s="5"/>
      <c r="S1480" s="5"/>
    </row>
    <row r="1481" spans="1:19" ht="15.75" customHeight="1" x14ac:dyDescent="0.2">
      <c r="A1481" s="3"/>
      <c r="B1481" s="4" t="str">
        <f>IF(A1481="","","PC-"&amp;TEXT(A1481,"mm/yyyy")&amp;"-"&amp;TEXT(COUNTIFS($A$2:A1481,"&gt;="&amp;EOMONTH(A1481,-1)+1,$A$2:A1481,"&lt;="&amp;EOMONTH(A1481,0)),"000"))</f>
        <v/>
      </c>
      <c r="C1481" s="5"/>
      <c r="D1481" s="5"/>
      <c r="E1481" s="5"/>
      <c r="F1481" s="5"/>
      <c r="G1481" s="5"/>
      <c r="H1481" s="5"/>
      <c r="I1481" s="6"/>
      <c r="J1481" s="6">
        <f>IF(D1481="Thu",I1481,0)</f>
        <v>0</v>
      </c>
      <c r="K1481" s="6">
        <f>IF(D1481="Chi",I1481,0)</f>
        <v>0</v>
      </c>
      <c r="L1481" s="6">
        <f>L1480+J1481-K1481</f>
        <v>8050118</v>
      </c>
      <c r="M1481" s="6">
        <f ca="1">IFERROR(__xludf.DUMMYFUNCTION("SUM(FILTER(J:J, H:H=""Tiền mặt"")) - SUM(FILTER(K:K, H:H=""Tiền mặt""))
"),959000)</f>
        <v>959000</v>
      </c>
      <c r="N1481" s="6">
        <f ca="1">IFERROR(__xludf.DUMMYFUNCTION("SUM(FILTER(J:J, H:H=""Chuyển khoản"")) - SUM(FILTER(K:K, H:H=""Chuyển khoản""))
"),4468984)</f>
        <v>4468984</v>
      </c>
      <c r="O1481" s="5"/>
      <c r="P1481" s="5"/>
      <c r="Q1481" s="5"/>
      <c r="R1481" s="5"/>
      <c r="S1481" s="5"/>
    </row>
    <row r="1482" spans="1:19" ht="15.75" customHeight="1" x14ac:dyDescent="0.2">
      <c r="A1482" s="3"/>
      <c r="B1482" s="4" t="str">
        <f>IF(A1482="","","PC-"&amp;TEXT(A1482,"mm/yyyy")&amp;"-"&amp;TEXT(COUNTIFS($A$2:A1482,"&gt;="&amp;EOMONTH(A1482,-1)+1,$A$2:A1482,"&lt;="&amp;EOMONTH(A1482,0)),"000"))</f>
        <v/>
      </c>
      <c r="C1482" s="5"/>
      <c r="D1482" s="5"/>
      <c r="E1482" s="5"/>
      <c r="F1482" s="5"/>
      <c r="G1482" s="5"/>
      <c r="H1482" s="5"/>
      <c r="I1482" s="6"/>
      <c r="J1482" s="6">
        <f>IF(D1482="Thu",I1482,0)</f>
        <v>0</v>
      </c>
      <c r="K1482" s="6">
        <f>IF(D1482="Chi",I1482,0)</f>
        <v>0</v>
      </c>
      <c r="L1482" s="6">
        <f>L1481+J1482-K1482</f>
        <v>8050118</v>
      </c>
      <c r="M1482" s="6">
        <f ca="1">IFERROR(__xludf.DUMMYFUNCTION("SUM(FILTER(J:J, H:H=""Tiền mặt"")) - SUM(FILTER(K:K, H:H=""Tiền mặt""))
"),959000)</f>
        <v>959000</v>
      </c>
      <c r="N1482" s="6">
        <f ca="1">IFERROR(__xludf.DUMMYFUNCTION("SUM(FILTER(J:J, H:H=""Chuyển khoản"")) - SUM(FILTER(K:K, H:H=""Chuyển khoản""))
"),4468984)</f>
        <v>4468984</v>
      </c>
      <c r="O1482" s="5"/>
      <c r="P1482" s="5"/>
      <c r="Q1482" s="5"/>
      <c r="R1482" s="5"/>
      <c r="S1482" s="5"/>
    </row>
    <row r="1483" spans="1:19" ht="15.75" customHeight="1" x14ac:dyDescent="0.2">
      <c r="A1483" s="3"/>
      <c r="B1483" s="4" t="str">
        <f>IF(A1483="","","PC-"&amp;TEXT(A1483,"mm/yyyy")&amp;"-"&amp;TEXT(COUNTIFS($A$2:A1483,"&gt;="&amp;EOMONTH(A1483,-1)+1,$A$2:A1483,"&lt;="&amp;EOMONTH(A1483,0)),"000"))</f>
        <v/>
      </c>
      <c r="C1483" s="5"/>
      <c r="D1483" s="5"/>
      <c r="E1483" s="5"/>
      <c r="F1483" s="5"/>
      <c r="G1483" s="5"/>
      <c r="H1483" s="5"/>
      <c r="I1483" s="6"/>
      <c r="J1483" s="6">
        <f>IF(D1483="Thu",I1483,0)</f>
        <v>0</v>
      </c>
      <c r="K1483" s="6">
        <f>IF(D1483="Chi",I1483,0)</f>
        <v>0</v>
      </c>
      <c r="L1483" s="6">
        <f>L1482+J1483-K1483</f>
        <v>8050118</v>
      </c>
      <c r="M1483" s="6">
        <f ca="1">IFERROR(__xludf.DUMMYFUNCTION("SUM(FILTER(J:J, H:H=""Tiền mặt"")) - SUM(FILTER(K:K, H:H=""Tiền mặt""))
"),959000)</f>
        <v>959000</v>
      </c>
      <c r="N1483" s="6">
        <f ca="1">IFERROR(__xludf.DUMMYFUNCTION("SUM(FILTER(J:J, H:H=""Chuyển khoản"")) - SUM(FILTER(K:K, H:H=""Chuyển khoản""))
"),4468984)</f>
        <v>4468984</v>
      </c>
      <c r="O1483" s="5"/>
      <c r="P1483" s="5"/>
      <c r="Q1483" s="5"/>
      <c r="R1483" s="5"/>
      <c r="S1483" s="5"/>
    </row>
    <row r="1484" spans="1:19" ht="15.75" customHeight="1" x14ac:dyDescent="0.2">
      <c r="A1484" s="3"/>
      <c r="B1484" s="4" t="str">
        <f>IF(A1484="","","PC-"&amp;TEXT(A1484,"mm/yyyy")&amp;"-"&amp;TEXT(COUNTIFS($A$2:A1484,"&gt;="&amp;EOMONTH(A1484,-1)+1,$A$2:A1484,"&lt;="&amp;EOMONTH(A1484,0)),"000"))</f>
        <v/>
      </c>
      <c r="C1484" s="5"/>
      <c r="D1484" s="5"/>
      <c r="E1484" s="5"/>
      <c r="F1484" s="5"/>
      <c r="G1484" s="5"/>
      <c r="H1484" s="5"/>
      <c r="I1484" s="6"/>
      <c r="J1484" s="6">
        <f>IF(D1484="Thu",I1484,0)</f>
        <v>0</v>
      </c>
      <c r="K1484" s="6">
        <f>IF(D1484="Chi",I1484,0)</f>
        <v>0</v>
      </c>
      <c r="L1484" s="6">
        <f>L1483+J1484-K1484</f>
        <v>8050118</v>
      </c>
      <c r="M1484" s="6">
        <f ca="1">IFERROR(__xludf.DUMMYFUNCTION("SUM(FILTER(J:J, H:H=""Tiền mặt"")) - SUM(FILTER(K:K, H:H=""Tiền mặt""))
"),959000)</f>
        <v>959000</v>
      </c>
      <c r="N1484" s="6">
        <f ca="1">IFERROR(__xludf.DUMMYFUNCTION("SUM(FILTER(J:J, H:H=""Chuyển khoản"")) - SUM(FILTER(K:K, H:H=""Chuyển khoản""))
"),4468984)</f>
        <v>4468984</v>
      </c>
      <c r="O1484" s="5"/>
      <c r="P1484" s="5"/>
      <c r="Q1484" s="5"/>
      <c r="R1484" s="5"/>
      <c r="S1484" s="5"/>
    </row>
    <row r="1485" spans="1:19" ht="15.75" customHeight="1" x14ac:dyDescent="0.2">
      <c r="A1485" s="3"/>
      <c r="B1485" s="4" t="str">
        <f>IF(A1485="","","PC-"&amp;TEXT(A1485,"mm/yyyy")&amp;"-"&amp;TEXT(COUNTIFS($A$2:A1485,"&gt;="&amp;EOMONTH(A1485,-1)+1,$A$2:A1485,"&lt;="&amp;EOMONTH(A1485,0)),"000"))</f>
        <v/>
      </c>
      <c r="C1485" s="5"/>
      <c r="D1485" s="5"/>
      <c r="E1485" s="5"/>
      <c r="F1485" s="5"/>
      <c r="G1485" s="5"/>
      <c r="H1485" s="5"/>
      <c r="I1485" s="6"/>
      <c r="J1485" s="6">
        <f>IF(D1485="Thu",I1485,0)</f>
        <v>0</v>
      </c>
      <c r="K1485" s="6">
        <f>IF(D1485="Chi",I1485,0)</f>
        <v>0</v>
      </c>
      <c r="L1485" s="6">
        <f>L1484+J1485-K1485</f>
        <v>8050118</v>
      </c>
      <c r="M1485" s="6">
        <f ca="1">IFERROR(__xludf.DUMMYFUNCTION("SUM(FILTER(J:J, H:H=""Tiền mặt"")) - SUM(FILTER(K:K, H:H=""Tiền mặt""))
"),959000)</f>
        <v>959000</v>
      </c>
      <c r="N1485" s="6">
        <f ca="1">IFERROR(__xludf.DUMMYFUNCTION("SUM(FILTER(J:J, H:H=""Chuyển khoản"")) - SUM(FILTER(K:K, H:H=""Chuyển khoản""))
"),4468984)</f>
        <v>4468984</v>
      </c>
      <c r="O1485" s="5"/>
      <c r="P1485" s="5"/>
      <c r="Q1485" s="5"/>
      <c r="R1485" s="5"/>
      <c r="S1485" s="5"/>
    </row>
    <row r="1486" spans="1:19" ht="15.75" customHeight="1" x14ac:dyDescent="0.2">
      <c r="A1486" s="3"/>
      <c r="B1486" s="4" t="str">
        <f>IF(A1486="","","PC-"&amp;TEXT(A1486,"mm/yyyy")&amp;"-"&amp;TEXT(COUNTIFS($A$2:A1486,"&gt;="&amp;EOMONTH(A1486,-1)+1,$A$2:A1486,"&lt;="&amp;EOMONTH(A1486,0)),"000"))</f>
        <v/>
      </c>
      <c r="C1486" s="5"/>
      <c r="D1486" s="5"/>
      <c r="E1486" s="5"/>
      <c r="F1486" s="5"/>
      <c r="G1486" s="5"/>
      <c r="H1486" s="5"/>
      <c r="I1486" s="6"/>
      <c r="J1486" s="6">
        <f>IF(D1486="Thu",I1486,0)</f>
        <v>0</v>
      </c>
      <c r="K1486" s="6">
        <f>IF(D1486="Chi",I1486,0)</f>
        <v>0</v>
      </c>
      <c r="L1486" s="6">
        <f>L1485+J1486-K1486</f>
        <v>8050118</v>
      </c>
      <c r="M1486" s="6">
        <f ca="1">IFERROR(__xludf.DUMMYFUNCTION("SUM(FILTER(J:J, H:H=""Tiền mặt"")) - SUM(FILTER(K:K, H:H=""Tiền mặt""))
"),959000)</f>
        <v>959000</v>
      </c>
      <c r="N1486" s="6">
        <f ca="1">IFERROR(__xludf.DUMMYFUNCTION("SUM(FILTER(J:J, H:H=""Chuyển khoản"")) - SUM(FILTER(K:K, H:H=""Chuyển khoản""))
"),4468984)</f>
        <v>4468984</v>
      </c>
      <c r="O1486" s="5"/>
      <c r="P1486" s="5"/>
      <c r="Q1486" s="5"/>
      <c r="R1486" s="5"/>
      <c r="S1486" s="5"/>
    </row>
    <row r="1487" spans="1:19" ht="15.75" customHeight="1" x14ac:dyDescent="0.2">
      <c r="A1487" s="3"/>
      <c r="B1487" s="4" t="str">
        <f>IF(A1487="","","PC-"&amp;TEXT(A1487,"mm/yyyy")&amp;"-"&amp;TEXT(COUNTIFS($A$2:A1487,"&gt;="&amp;EOMONTH(A1487,-1)+1,$A$2:A1487,"&lt;="&amp;EOMONTH(A1487,0)),"000"))</f>
        <v/>
      </c>
      <c r="C1487" s="5"/>
      <c r="D1487" s="5"/>
      <c r="E1487" s="5"/>
      <c r="F1487" s="5"/>
      <c r="G1487" s="5"/>
      <c r="H1487" s="5"/>
      <c r="I1487" s="6"/>
      <c r="J1487" s="6">
        <f>IF(D1487="Thu",I1487,0)</f>
        <v>0</v>
      </c>
      <c r="K1487" s="6">
        <f>IF(D1487="Chi",I1487,0)</f>
        <v>0</v>
      </c>
      <c r="L1487" s="6">
        <f>L1486+J1487-K1487</f>
        <v>8050118</v>
      </c>
      <c r="M1487" s="6">
        <f ca="1">IFERROR(__xludf.DUMMYFUNCTION("SUM(FILTER(J:J, H:H=""Tiền mặt"")) - SUM(FILTER(K:K, H:H=""Tiền mặt""))
"),959000)</f>
        <v>959000</v>
      </c>
      <c r="N1487" s="6">
        <f ca="1">IFERROR(__xludf.DUMMYFUNCTION("SUM(FILTER(J:J, H:H=""Chuyển khoản"")) - SUM(FILTER(K:K, H:H=""Chuyển khoản""))
"),4468984)</f>
        <v>4468984</v>
      </c>
      <c r="O1487" s="5"/>
      <c r="P1487" s="5"/>
      <c r="Q1487" s="5"/>
      <c r="R1487" s="5"/>
      <c r="S1487" s="5"/>
    </row>
    <row r="1488" spans="1:19" ht="15.75" customHeight="1" x14ac:dyDescent="0.2">
      <c r="A1488" s="3"/>
      <c r="B1488" s="4" t="str">
        <f>IF(A1488="","","PC-"&amp;TEXT(A1488,"mm/yyyy")&amp;"-"&amp;TEXT(COUNTIFS($A$2:A1488,"&gt;="&amp;EOMONTH(A1488,-1)+1,$A$2:A1488,"&lt;="&amp;EOMONTH(A1488,0)),"000"))</f>
        <v/>
      </c>
      <c r="C1488" s="5"/>
      <c r="D1488" s="5"/>
      <c r="E1488" s="5"/>
      <c r="F1488" s="5"/>
      <c r="G1488" s="5"/>
      <c r="H1488" s="5"/>
      <c r="I1488" s="6"/>
      <c r="J1488" s="6">
        <f>IF(D1488="Thu",I1488,0)</f>
        <v>0</v>
      </c>
      <c r="K1488" s="6">
        <f>IF(D1488="Chi",I1488,0)</f>
        <v>0</v>
      </c>
      <c r="L1488" s="6">
        <f>L1487+J1488-K1488</f>
        <v>8050118</v>
      </c>
      <c r="M1488" s="6">
        <f ca="1">IFERROR(__xludf.DUMMYFUNCTION("SUM(FILTER(J:J, H:H=""Tiền mặt"")) - SUM(FILTER(K:K, H:H=""Tiền mặt""))
"),959000)</f>
        <v>959000</v>
      </c>
      <c r="N1488" s="6">
        <f ca="1">IFERROR(__xludf.DUMMYFUNCTION("SUM(FILTER(J:J, H:H=""Chuyển khoản"")) - SUM(FILTER(K:K, H:H=""Chuyển khoản""))
"),4468984)</f>
        <v>4468984</v>
      </c>
      <c r="O1488" s="5"/>
      <c r="P1488" s="5"/>
      <c r="Q1488" s="5"/>
      <c r="R1488" s="5"/>
      <c r="S1488" s="5"/>
    </row>
    <row r="1489" spans="1:19" ht="15.75" customHeight="1" x14ac:dyDescent="0.2">
      <c r="A1489" s="3"/>
      <c r="B1489" s="4" t="str">
        <f>IF(A1489="","","PC-"&amp;TEXT(A1489,"mm/yyyy")&amp;"-"&amp;TEXT(COUNTIFS($A$2:A1489,"&gt;="&amp;EOMONTH(A1489,-1)+1,$A$2:A1489,"&lt;="&amp;EOMONTH(A1489,0)),"000"))</f>
        <v/>
      </c>
      <c r="C1489" s="5"/>
      <c r="D1489" s="5"/>
      <c r="E1489" s="5"/>
      <c r="F1489" s="5"/>
      <c r="G1489" s="5"/>
      <c r="H1489" s="5"/>
      <c r="I1489" s="6"/>
      <c r="J1489" s="6">
        <f>IF(D1489="Thu",I1489,0)</f>
        <v>0</v>
      </c>
      <c r="K1489" s="6">
        <f>IF(D1489="Chi",I1489,0)</f>
        <v>0</v>
      </c>
      <c r="L1489" s="6">
        <f>L1488+J1489-K1489</f>
        <v>8050118</v>
      </c>
      <c r="M1489" s="6">
        <f ca="1">IFERROR(__xludf.DUMMYFUNCTION("SUM(FILTER(J:J, H:H=""Tiền mặt"")) - SUM(FILTER(K:K, H:H=""Tiền mặt""))
"),959000)</f>
        <v>959000</v>
      </c>
      <c r="N1489" s="6">
        <f ca="1">IFERROR(__xludf.DUMMYFUNCTION("SUM(FILTER(J:J, H:H=""Chuyển khoản"")) - SUM(FILTER(K:K, H:H=""Chuyển khoản""))
"),4468984)</f>
        <v>4468984</v>
      </c>
      <c r="O1489" s="5"/>
      <c r="P1489" s="5"/>
      <c r="Q1489" s="5"/>
      <c r="R1489" s="5"/>
      <c r="S1489" s="5"/>
    </row>
    <row r="1490" spans="1:19" ht="15.75" customHeight="1" x14ac:dyDescent="0.2">
      <c r="A1490" s="3"/>
      <c r="B1490" s="4" t="str">
        <f>IF(A1490="","","PC-"&amp;TEXT(A1490,"mm/yyyy")&amp;"-"&amp;TEXT(COUNTIFS($A$2:A1490,"&gt;="&amp;EOMONTH(A1490,-1)+1,$A$2:A1490,"&lt;="&amp;EOMONTH(A1490,0)),"000"))</f>
        <v/>
      </c>
      <c r="C1490" s="5"/>
      <c r="D1490" s="5"/>
      <c r="E1490" s="5"/>
      <c r="F1490" s="5"/>
      <c r="G1490" s="5"/>
      <c r="H1490" s="5"/>
      <c r="I1490" s="6"/>
      <c r="J1490" s="6">
        <f>IF(D1490="Thu",I1490,0)</f>
        <v>0</v>
      </c>
      <c r="K1490" s="6">
        <f>IF(D1490="Chi",I1490,0)</f>
        <v>0</v>
      </c>
      <c r="L1490" s="6">
        <f>L1489+J1490-K1490</f>
        <v>8050118</v>
      </c>
      <c r="M1490" s="6">
        <f ca="1">IFERROR(__xludf.DUMMYFUNCTION("SUM(FILTER(J:J, H:H=""Tiền mặt"")) - SUM(FILTER(K:K, H:H=""Tiền mặt""))
"),959000)</f>
        <v>959000</v>
      </c>
      <c r="N1490" s="6">
        <f ca="1">IFERROR(__xludf.DUMMYFUNCTION("SUM(FILTER(J:J, H:H=""Chuyển khoản"")) - SUM(FILTER(K:K, H:H=""Chuyển khoản""))
"),4468984)</f>
        <v>4468984</v>
      </c>
      <c r="O1490" s="5"/>
      <c r="P1490" s="5"/>
      <c r="Q1490" s="5"/>
      <c r="R1490" s="5"/>
      <c r="S1490" s="5"/>
    </row>
    <row r="1491" spans="1:19" ht="15.75" customHeight="1" x14ac:dyDescent="0.2">
      <c r="A1491" s="3"/>
      <c r="B1491" s="4" t="str">
        <f>IF(A1491="","","PC-"&amp;TEXT(A1491,"mm/yyyy")&amp;"-"&amp;TEXT(COUNTIFS($A$2:A1491,"&gt;="&amp;EOMONTH(A1491,-1)+1,$A$2:A1491,"&lt;="&amp;EOMONTH(A1491,0)),"000"))</f>
        <v/>
      </c>
      <c r="C1491" s="5"/>
      <c r="D1491" s="5"/>
      <c r="E1491" s="5"/>
      <c r="F1491" s="5"/>
      <c r="G1491" s="5"/>
      <c r="H1491" s="5"/>
      <c r="I1491" s="6"/>
      <c r="J1491" s="6">
        <f>IF(D1491="Thu",I1491,0)</f>
        <v>0</v>
      </c>
      <c r="K1491" s="6">
        <f>IF(D1491="Chi",I1491,0)</f>
        <v>0</v>
      </c>
      <c r="L1491" s="6">
        <f>L1490+J1491-K1491</f>
        <v>8050118</v>
      </c>
      <c r="M1491" s="6">
        <f ca="1">IFERROR(__xludf.DUMMYFUNCTION("SUM(FILTER(J:J, H:H=""Tiền mặt"")) - SUM(FILTER(K:K, H:H=""Tiền mặt""))
"),959000)</f>
        <v>959000</v>
      </c>
      <c r="N1491" s="6">
        <f ca="1">IFERROR(__xludf.DUMMYFUNCTION("SUM(FILTER(J:J, H:H=""Chuyển khoản"")) - SUM(FILTER(K:K, H:H=""Chuyển khoản""))
"),4468984)</f>
        <v>4468984</v>
      </c>
      <c r="O1491" s="5"/>
      <c r="P1491" s="5"/>
      <c r="Q1491" s="5"/>
      <c r="R1491" s="5"/>
      <c r="S1491" s="5"/>
    </row>
    <row r="1492" spans="1:19" ht="15.75" customHeight="1" x14ac:dyDescent="0.2">
      <c r="A1492" s="3"/>
      <c r="B1492" s="4" t="str">
        <f>IF(A1492="","","PC-"&amp;TEXT(A1492,"mm/yyyy")&amp;"-"&amp;TEXT(COUNTIFS($A$2:A1492,"&gt;="&amp;EOMONTH(A1492,-1)+1,$A$2:A1492,"&lt;="&amp;EOMONTH(A1492,0)),"000"))</f>
        <v/>
      </c>
      <c r="C1492" s="5"/>
      <c r="D1492" s="5"/>
      <c r="E1492" s="5"/>
      <c r="F1492" s="5"/>
      <c r="G1492" s="5"/>
      <c r="H1492" s="5"/>
      <c r="I1492" s="6"/>
      <c r="J1492" s="6">
        <f>IF(D1492="Thu",I1492,0)</f>
        <v>0</v>
      </c>
      <c r="K1492" s="6">
        <f>IF(D1492="Chi",I1492,0)</f>
        <v>0</v>
      </c>
      <c r="L1492" s="6">
        <f>L1491+J1492-K1492</f>
        <v>8050118</v>
      </c>
      <c r="M1492" s="6">
        <f ca="1">IFERROR(__xludf.DUMMYFUNCTION("SUM(FILTER(J:J, H:H=""Tiền mặt"")) - SUM(FILTER(K:K, H:H=""Tiền mặt""))
"),959000)</f>
        <v>959000</v>
      </c>
      <c r="N1492" s="6">
        <f ca="1">IFERROR(__xludf.DUMMYFUNCTION("SUM(FILTER(J:J, H:H=""Chuyển khoản"")) - SUM(FILTER(K:K, H:H=""Chuyển khoản""))
"),4468984)</f>
        <v>4468984</v>
      </c>
      <c r="O1492" s="5"/>
      <c r="P1492" s="5"/>
      <c r="Q1492" s="5"/>
      <c r="R1492" s="5"/>
      <c r="S1492" s="5"/>
    </row>
    <row r="1493" spans="1:19" ht="15.75" customHeight="1" x14ac:dyDescent="0.2">
      <c r="A1493" s="3"/>
      <c r="B1493" s="4" t="str">
        <f>IF(A1493="","","PC-"&amp;TEXT(A1493,"mm/yyyy")&amp;"-"&amp;TEXT(COUNTIFS($A$2:A1493,"&gt;="&amp;EOMONTH(A1493,-1)+1,$A$2:A1493,"&lt;="&amp;EOMONTH(A1493,0)),"000"))</f>
        <v/>
      </c>
      <c r="C1493" s="5"/>
      <c r="D1493" s="5"/>
      <c r="E1493" s="5"/>
      <c r="F1493" s="5"/>
      <c r="G1493" s="5"/>
      <c r="H1493" s="5"/>
      <c r="I1493" s="6"/>
      <c r="J1493" s="6">
        <f>IF(D1493="Thu",I1493,0)</f>
        <v>0</v>
      </c>
      <c r="K1493" s="6">
        <f>IF(D1493="Chi",I1493,0)</f>
        <v>0</v>
      </c>
      <c r="L1493" s="6">
        <f>L1492+J1493-K1493</f>
        <v>8050118</v>
      </c>
      <c r="M1493" s="6">
        <f ca="1">IFERROR(__xludf.DUMMYFUNCTION("SUM(FILTER(J:J, H:H=""Tiền mặt"")) - SUM(FILTER(K:K, H:H=""Tiền mặt""))
"),959000)</f>
        <v>959000</v>
      </c>
      <c r="N1493" s="6">
        <f ca="1">IFERROR(__xludf.DUMMYFUNCTION("SUM(FILTER(J:J, H:H=""Chuyển khoản"")) - SUM(FILTER(K:K, H:H=""Chuyển khoản""))
"),4468984)</f>
        <v>4468984</v>
      </c>
      <c r="O1493" s="5"/>
      <c r="P1493" s="5"/>
      <c r="Q1493" s="5"/>
      <c r="R1493" s="5"/>
      <c r="S1493" s="5"/>
    </row>
    <row r="1494" spans="1:19" ht="15.75" customHeight="1" x14ac:dyDescent="0.2">
      <c r="A1494" s="3"/>
      <c r="B1494" s="4" t="str">
        <f>IF(A1494="","","PC-"&amp;TEXT(A1494,"mm/yyyy")&amp;"-"&amp;TEXT(COUNTIFS($A$2:A1494,"&gt;="&amp;EOMONTH(A1494,-1)+1,$A$2:A1494,"&lt;="&amp;EOMONTH(A1494,0)),"000"))</f>
        <v/>
      </c>
      <c r="C1494" s="5"/>
      <c r="D1494" s="5"/>
      <c r="E1494" s="5"/>
      <c r="F1494" s="5"/>
      <c r="G1494" s="5"/>
      <c r="H1494" s="5"/>
      <c r="I1494" s="6"/>
      <c r="J1494" s="6">
        <f>IF(D1494="Thu",I1494,0)</f>
        <v>0</v>
      </c>
      <c r="K1494" s="6">
        <f>IF(D1494="Chi",I1494,0)</f>
        <v>0</v>
      </c>
      <c r="L1494" s="6">
        <f>L1493+J1494-K1494</f>
        <v>8050118</v>
      </c>
      <c r="M1494" s="6">
        <f ca="1">IFERROR(__xludf.DUMMYFUNCTION("SUM(FILTER(J:J, H:H=""Tiền mặt"")) - SUM(FILTER(K:K, H:H=""Tiền mặt""))
"),959000)</f>
        <v>959000</v>
      </c>
      <c r="N1494" s="6">
        <f ca="1">IFERROR(__xludf.DUMMYFUNCTION("SUM(FILTER(J:J, H:H=""Chuyển khoản"")) - SUM(FILTER(K:K, H:H=""Chuyển khoản""))
"),4468984)</f>
        <v>4468984</v>
      </c>
      <c r="O1494" s="5"/>
      <c r="P1494" s="5"/>
      <c r="Q1494" s="5"/>
      <c r="R1494" s="5"/>
      <c r="S1494" s="5"/>
    </row>
    <row r="1495" spans="1:19" ht="15.75" customHeight="1" x14ac:dyDescent="0.2">
      <c r="A1495" s="3"/>
      <c r="B1495" s="4" t="str">
        <f>IF(A1495="","","PC-"&amp;TEXT(A1495,"mm/yyyy")&amp;"-"&amp;TEXT(COUNTIFS($A$2:A1495,"&gt;="&amp;EOMONTH(A1495,-1)+1,$A$2:A1495,"&lt;="&amp;EOMONTH(A1495,0)),"000"))</f>
        <v/>
      </c>
      <c r="C1495" s="5"/>
      <c r="D1495" s="5"/>
      <c r="E1495" s="5"/>
      <c r="F1495" s="5"/>
      <c r="G1495" s="5"/>
      <c r="H1495" s="5"/>
      <c r="I1495" s="6"/>
      <c r="J1495" s="6">
        <f>IF(D1495="Thu",I1495,0)</f>
        <v>0</v>
      </c>
      <c r="K1495" s="6">
        <f>IF(D1495="Chi",I1495,0)</f>
        <v>0</v>
      </c>
      <c r="L1495" s="6">
        <f>L1494+J1495-K1495</f>
        <v>8050118</v>
      </c>
      <c r="M1495" s="6">
        <f ca="1">IFERROR(__xludf.DUMMYFUNCTION("SUM(FILTER(J:J, H:H=""Tiền mặt"")) - SUM(FILTER(K:K, H:H=""Tiền mặt""))
"),959000)</f>
        <v>959000</v>
      </c>
      <c r="N1495" s="6">
        <f ca="1">IFERROR(__xludf.DUMMYFUNCTION("SUM(FILTER(J:J, H:H=""Chuyển khoản"")) - SUM(FILTER(K:K, H:H=""Chuyển khoản""))
"),4468984)</f>
        <v>4468984</v>
      </c>
      <c r="O1495" s="5"/>
      <c r="P1495" s="5"/>
      <c r="Q1495" s="5"/>
      <c r="R1495" s="5"/>
      <c r="S1495" s="5"/>
    </row>
    <row r="1496" spans="1:19" ht="15.75" customHeight="1" x14ac:dyDescent="0.2">
      <c r="A1496" s="3"/>
      <c r="B1496" s="4" t="str">
        <f>IF(A1496="","","PC-"&amp;TEXT(A1496,"mm/yyyy")&amp;"-"&amp;TEXT(COUNTIFS($A$2:A1496,"&gt;="&amp;EOMONTH(A1496,-1)+1,$A$2:A1496,"&lt;="&amp;EOMONTH(A1496,0)),"000"))</f>
        <v/>
      </c>
      <c r="C1496" s="5"/>
      <c r="D1496" s="5"/>
      <c r="E1496" s="5"/>
      <c r="F1496" s="5"/>
      <c r="G1496" s="5"/>
      <c r="H1496" s="5"/>
      <c r="I1496" s="6"/>
      <c r="J1496" s="6">
        <f>IF(D1496="Thu",I1496,0)</f>
        <v>0</v>
      </c>
      <c r="K1496" s="6">
        <f>IF(D1496="Chi",I1496,0)</f>
        <v>0</v>
      </c>
      <c r="L1496" s="6">
        <f>L1495+J1496-K1496</f>
        <v>8050118</v>
      </c>
      <c r="M1496" s="6">
        <f ca="1">IFERROR(__xludf.DUMMYFUNCTION("SUM(FILTER(J:J, H:H=""Tiền mặt"")) - SUM(FILTER(K:K, H:H=""Tiền mặt""))
"),959000)</f>
        <v>959000</v>
      </c>
      <c r="N1496" s="6">
        <f ca="1">IFERROR(__xludf.DUMMYFUNCTION("SUM(FILTER(J:J, H:H=""Chuyển khoản"")) - SUM(FILTER(K:K, H:H=""Chuyển khoản""))
"),4468984)</f>
        <v>4468984</v>
      </c>
      <c r="O1496" s="5"/>
      <c r="P1496" s="5"/>
      <c r="Q1496" s="5"/>
      <c r="R1496" s="5"/>
      <c r="S1496" s="5"/>
    </row>
    <row r="1497" spans="1:19" ht="15.75" customHeight="1" x14ac:dyDescent="0.2">
      <c r="A1497" s="3"/>
      <c r="B1497" s="4" t="str">
        <f>IF(A1497="","","PC-"&amp;TEXT(A1497,"mm/yyyy")&amp;"-"&amp;TEXT(COUNTIFS($A$2:A1497,"&gt;="&amp;EOMONTH(A1497,-1)+1,$A$2:A1497,"&lt;="&amp;EOMONTH(A1497,0)),"000"))</f>
        <v/>
      </c>
      <c r="C1497" s="5"/>
      <c r="D1497" s="5"/>
      <c r="E1497" s="5"/>
      <c r="F1497" s="5"/>
      <c r="G1497" s="5"/>
      <c r="H1497" s="5"/>
      <c r="I1497" s="6"/>
      <c r="J1497" s="6">
        <f>IF(D1497="Thu",I1497,0)</f>
        <v>0</v>
      </c>
      <c r="K1497" s="6">
        <f>IF(D1497="Chi",I1497,0)</f>
        <v>0</v>
      </c>
      <c r="L1497" s="6">
        <f>L1496+J1497-K1497</f>
        <v>8050118</v>
      </c>
      <c r="M1497" s="6">
        <f ca="1">IFERROR(__xludf.DUMMYFUNCTION("SUM(FILTER(J:J, H:H=""Tiền mặt"")) - SUM(FILTER(K:K, H:H=""Tiền mặt""))
"),959000)</f>
        <v>959000</v>
      </c>
      <c r="N1497" s="6">
        <f ca="1">IFERROR(__xludf.DUMMYFUNCTION("SUM(FILTER(J:J, H:H=""Chuyển khoản"")) - SUM(FILTER(K:K, H:H=""Chuyển khoản""))
"),4468984)</f>
        <v>4468984</v>
      </c>
      <c r="O1497" s="5"/>
      <c r="P1497" s="5"/>
      <c r="Q1497" s="5"/>
      <c r="R1497" s="5"/>
      <c r="S1497" s="5"/>
    </row>
    <row r="1498" spans="1:19" ht="15.75" customHeight="1" x14ac:dyDescent="0.2">
      <c r="A1498" s="3"/>
      <c r="B1498" s="4" t="str">
        <f>IF(A1498="","","PC-"&amp;TEXT(A1498,"mm/yyyy")&amp;"-"&amp;TEXT(COUNTIFS($A$2:A1498,"&gt;="&amp;EOMONTH(A1498,-1)+1,$A$2:A1498,"&lt;="&amp;EOMONTH(A1498,0)),"000"))</f>
        <v/>
      </c>
      <c r="C1498" s="5"/>
      <c r="D1498" s="5"/>
      <c r="E1498" s="5"/>
      <c r="F1498" s="5"/>
      <c r="G1498" s="5"/>
      <c r="H1498" s="5"/>
      <c r="I1498" s="6"/>
      <c r="J1498" s="6">
        <f>IF(D1498="Thu",I1498,0)</f>
        <v>0</v>
      </c>
      <c r="K1498" s="6">
        <f>IF(D1498="Chi",I1498,0)</f>
        <v>0</v>
      </c>
      <c r="L1498" s="6">
        <f>L1497+J1498-K1498</f>
        <v>8050118</v>
      </c>
      <c r="M1498" s="6">
        <f ca="1">IFERROR(__xludf.DUMMYFUNCTION("SUM(FILTER(J:J, H:H=""Tiền mặt"")) - SUM(FILTER(K:K, H:H=""Tiền mặt""))
"),959000)</f>
        <v>959000</v>
      </c>
      <c r="N1498" s="6">
        <f ca="1">IFERROR(__xludf.DUMMYFUNCTION("SUM(FILTER(J:J, H:H=""Chuyển khoản"")) - SUM(FILTER(K:K, H:H=""Chuyển khoản""))
"),4468984)</f>
        <v>4468984</v>
      </c>
      <c r="O1498" s="5"/>
      <c r="P1498" s="5"/>
      <c r="Q1498" s="5"/>
      <c r="R1498" s="5"/>
      <c r="S1498" s="5"/>
    </row>
    <row r="1499" spans="1:19" ht="15.75" customHeight="1" x14ac:dyDescent="0.2">
      <c r="A1499" s="3"/>
      <c r="B1499" s="4" t="str">
        <f>IF(A1499="","","PC-"&amp;TEXT(A1499,"mm/yyyy")&amp;"-"&amp;TEXT(COUNTIFS($A$2:A1499,"&gt;="&amp;EOMONTH(A1499,-1)+1,$A$2:A1499,"&lt;="&amp;EOMONTH(A1499,0)),"000"))</f>
        <v/>
      </c>
      <c r="C1499" s="5"/>
      <c r="D1499" s="5"/>
      <c r="E1499" s="5"/>
      <c r="F1499" s="5"/>
      <c r="G1499" s="5"/>
      <c r="H1499" s="5"/>
      <c r="I1499" s="6"/>
      <c r="J1499" s="6">
        <f>IF(D1499="Thu",I1499,0)</f>
        <v>0</v>
      </c>
      <c r="K1499" s="6">
        <f>IF(D1499="Chi",I1499,0)</f>
        <v>0</v>
      </c>
      <c r="L1499" s="6">
        <f>L1498+J1499-K1499</f>
        <v>8050118</v>
      </c>
      <c r="M1499" s="6">
        <f ca="1">IFERROR(__xludf.DUMMYFUNCTION("SUM(FILTER(J:J, H:H=""Tiền mặt"")) - SUM(FILTER(K:K, H:H=""Tiền mặt""))
"),959000)</f>
        <v>959000</v>
      </c>
      <c r="N1499" s="6">
        <f ca="1">IFERROR(__xludf.DUMMYFUNCTION("SUM(FILTER(J:J, H:H=""Chuyển khoản"")) - SUM(FILTER(K:K, H:H=""Chuyển khoản""))
"),4468984)</f>
        <v>4468984</v>
      </c>
      <c r="O1499" s="5"/>
      <c r="P1499" s="5"/>
      <c r="Q1499" s="5"/>
      <c r="R1499" s="5"/>
      <c r="S1499" s="5"/>
    </row>
    <row r="1500" spans="1:19" ht="15.75" customHeight="1" x14ac:dyDescent="0.2">
      <c r="A1500" s="3"/>
      <c r="B1500" s="4" t="str">
        <f>IF(A1500="","","PC-"&amp;TEXT(A1500,"mm/yyyy")&amp;"-"&amp;TEXT(COUNTIFS($A$2:A1500,"&gt;="&amp;EOMONTH(A1500,-1)+1,$A$2:A1500,"&lt;="&amp;EOMONTH(A1500,0)),"000"))</f>
        <v/>
      </c>
      <c r="C1500" s="5"/>
      <c r="D1500" s="5"/>
      <c r="E1500" s="5"/>
      <c r="F1500" s="5"/>
      <c r="G1500" s="5"/>
      <c r="H1500" s="5"/>
      <c r="I1500" s="6"/>
      <c r="J1500" s="6">
        <f>IF(D1500="Thu",I1500,0)</f>
        <v>0</v>
      </c>
      <c r="K1500" s="6">
        <f>IF(D1500="Chi",I1500,0)</f>
        <v>0</v>
      </c>
      <c r="L1500" s="6">
        <f>L1499+J1500-K1500</f>
        <v>8050118</v>
      </c>
      <c r="M1500" s="6">
        <f ca="1">IFERROR(__xludf.DUMMYFUNCTION("SUM(FILTER(J:J, H:H=""Tiền mặt"")) - SUM(FILTER(K:K, H:H=""Tiền mặt""))
"),959000)</f>
        <v>959000</v>
      </c>
      <c r="N1500" s="6">
        <f ca="1">IFERROR(__xludf.DUMMYFUNCTION("SUM(FILTER(J:J, H:H=""Chuyển khoản"")) - SUM(FILTER(K:K, H:H=""Chuyển khoản""))
"),4468984)</f>
        <v>4468984</v>
      </c>
      <c r="O1500" s="5"/>
      <c r="P1500" s="5"/>
      <c r="Q1500" s="5"/>
      <c r="R1500" s="5"/>
      <c r="S1500" s="5"/>
    </row>
    <row r="1501" spans="1:19" ht="15.75" customHeight="1" x14ac:dyDescent="0.2">
      <c r="A1501" s="3"/>
      <c r="B1501" s="4" t="str">
        <f>IF(A1501="","","PC-"&amp;TEXT(A1501,"mm/yyyy")&amp;"-"&amp;TEXT(COUNTIFS($A$2:A1501,"&gt;="&amp;EOMONTH(A1501,-1)+1,$A$2:A1501,"&lt;="&amp;EOMONTH(A1501,0)),"000"))</f>
        <v/>
      </c>
      <c r="C1501" s="5"/>
      <c r="D1501" s="5"/>
      <c r="E1501" s="5"/>
      <c r="F1501" s="5"/>
      <c r="G1501" s="5"/>
      <c r="H1501" s="5"/>
      <c r="I1501" s="6"/>
      <c r="J1501" s="6">
        <f>IF(D1501="Thu",I1501,0)</f>
        <v>0</v>
      </c>
      <c r="K1501" s="6">
        <f>IF(D1501="Chi",I1501,0)</f>
        <v>0</v>
      </c>
      <c r="L1501" s="6">
        <f>L1500+J1501-K1501</f>
        <v>8050118</v>
      </c>
      <c r="M1501" s="6">
        <f ca="1">IFERROR(__xludf.DUMMYFUNCTION("SUM(FILTER(J:J, H:H=""Tiền mặt"")) - SUM(FILTER(K:K, H:H=""Tiền mặt""))
"),959000)</f>
        <v>959000</v>
      </c>
      <c r="N1501" s="6">
        <f ca="1">IFERROR(__xludf.DUMMYFUNCTION("SUM(FILTER(J:J, H:H=""Chuyển khoản"")) - SUM(FILTER(K:K, H:H=""Chuyển khoản""))
"),4468984)</f>
        <v>4468984</v>
      </c>
      <c r="O1501" s="5"/>
      <c r="P1501" s="5"/>
      <c r="Q1501" s="5"/>
      <c r="R1501" s="5"/>
      <c r="S1501" s="5"/>
    </row>
    <row r="1502" spans="1:19" ht="15.75" customHeight="1" x14ac:dyDescent="0.2">
      <c r="A1502" s="3"/>
      <c r="B1502" s="4" t="str">
        <f>IF(A1502="","","PC-"&amp;TEXT(A1502,"mm/yyyy")&amp;"-"&amp;TEXT(COUNTIFS($A$2:A1502,"&gt;="&amp;EOMONTH(A1502,-1)+1,$A$2:A1502,"&lt;="&amp;EOMONTH(A1502,0)),"000"))</f>
        <v/>
      </c>
      <c r="C1502" s="5"/>
      <c r="D1502" s="5"/>
      <c r="E1502" s="5"/>
      <c r="F1502" s="5"/>
      <c r="G1502" s="5"/>
      <c r="H1502" s="5"/>
      <c r="I1502" s="6"/>
      <c r="J1502" s="6">
        <f>IF(D1502="Thu",I1502,0)</f>
        <v>0</v>
      </c>
      <c r="K1502" s="6">
        <f>IF(D1502="Chi",I1502,0)</f>
        <v>0</v>
      </c>
      <c r="L1502" s="6">
        <f>L1501+J1502-K1502</f>
        <v>8050118</v>
      </c>
      <c r="M1502" s="6">
        <f ca="1">IFERROR(__xludf.DUMMYFUNCTION("SUM(FILTER(J:J, H:H=""Tiền mặt"")) - SUM(FILTER(K:K, H:H=""Tiền mặt""))
"),959000)</f>
        <v>959000</v>
      </c>
      <c r="N1502" s="6">
        <f ca="1">IFERROR(__xludf.DUMMYFUNCTION("SUM(FILTER(J:J, H:H=""Chuyển khoản"")) - SUM(FILTER(K:K, H:H=""Chuyển khoản""))
"),4468984)</f>
        <v>4468984</v>
      </c>
      <c r="O1502" s="5"/>
      <c r="P1502" s="5"/>
      <c r="Q1502" s="5"/>
      <c r="R1502" s="5"/>
      <c r="S1502" s="5"/>
    </row>
    <row r="1503" spans="1:19" ht="15.75" customHeight="1" x14ac:dyDescent="0.2">
      <c r="A1503" s="3"/>
      <c r="B1503" s="4" t="str">
        <f>IF(A1503="","","PC-"&amp;TEXT(A1503,"mm/yyyy")&amp;"-"&amp;TEXT(COUNTIFS($A$2:A1503,"&gt;="&amp;EOMONTH(A1503,-1)+1,$A$2:A1503,"&lt;="&amp;EOMONTH(A1503,0)),"000"))</f>
        <v/>
      </c>
      <c r="C1503" s="5"/>
      <c r="D1503" s="5"/>
      <c r="E1503" s="5"/>
      <c r="F1503" s="5"/>
      <c r="G1503" s="5"/>
      <c r="H1503" s="5"/>
      <c r="I1503" s="6"/>
      <c r="J1503" s="6">
        <f>IF(D1503="Thu",I1503,0)</f>
        <v>0</v>
      </c>
      <c r="K1503" s="6">
        <f>IF(D1503="Chi",I1503,0)</f>
        <v>0</v>
      </c>
      <c r="L1503" s="6">
        <f>L1502+J1503-K1503</f>
        <v>8050118</v>
      </c>
      <c r="M1503" s="6">
        <f ca="1">IFERROR(__xludf.DUMMYFUNCTION("SUM(FILTER(J:J, H:H=""Tiền mặt"")) - SUM(FILTER(K:K, H:H=""Tiền mặt""))
"),959000)</f>
        <v>959000</v>
      </c>
      <c r="N1503" s="6">
        <f ca="1">IFERROR(__xludf.DUMMYFUNCTION("SUM(FILTER(J:J, H:H=""Chuyển khoản"")) - SUM(FILTER(K:K, H:H=""Chuyển khoản""))
"),4468984)</f>
        <v>4468984</v>
      </c>
      <c r="O1503" s="5"/>
      <c r="P1503" s="5"/>
      <c r="Q1503" s="5"/>
      <c r="R1503" s="5"/>
      <c r="S1503" s="5"/>
    </row>
    <row r="1504" spans="1:19" ht="15.75" customHeight="1" x14ac:dyDescent="0.2">
      <c r="A1504" s="3"/>
      <c r="B1504" s="4" t="str">
        <f>IF(A1504="","","PC-"&amp;TEXT(A1504,"mm/yyyy")&amp;"-"&amp;TEXT(COUNTIFS($A$2:A1504,"&gt;="&amp;EOMONTH(A1504,-1)+1,$A$2:A1504,"&lt;="&amp;EOMONTH(A1504,0)),"000"))</f>
        <v/>
      </c>
      <c r="C1504" s="5"/>
      <c r="D1504" s="5"/>
      <c r="E1504" s="5"/>
      <c r="F1504" s="5"/>
      <c r="G1504" s="5"/>
      <c r="H1504" s="5"/>
      <c r="I1504" s="6"/>
      <c r="J1504" s="6">
        <f>IF(D1504="Thu",I1504,0)</f>
        <v>0</v>
      </c>
      <c r="K1504" s="6">
        <f>IF(D1504="Chi",I1504,0)</f>
        <v>0</v>
      </c>
      <c r="L1504" s="6">
        <f>L1503+J1504-K1504</f>
        <v>8050118</v>
      </c>
      <c r="M1504" s="6">
        <f ca="1">IFERROR(__xludf.DUMMYFUNCTION("SUM(FILTER(J:J, H:H=""Tiền mặt"")) - SUM(FILTER(K:K, H:H=""Tiền mặt""))
"),959000)</f>
        <v>959000</v>
      </c>
      <c r="N1504" s="6">
        <f ca="1">IFERROR(__xludf.DUMMYFUNCTION("SUM(FILTER(J:J, H:H=""Chuyển khoản"")) - SUM(FILTER(K:K, H:H=""Chuyển khoản""))
"),4468984)</f>
        <v>4468984</v>
      </c>
      <c r="O1504" s="5"/>
      <c r="P1504" s="5"/>
      <c r="Q1504" s="5"/>
      <c r="R1504" s="5"/>
      <c r="S1504" s="5"/>
    </row>
    <row r="1505" spans="1:19" ht="15.75" customHeight="1" x14ac:dyDescent="0.2">
      <c r="A1505" s="3"/>
      <c r="B1505" s="4" t="str">
        <f>IF(A1505="","","PC-"&amp;TEXT(A1505,"mm/yyyy")&amp;"-"&amp;TEXT(COUNTIFS($A$2:A1505,"&gt;="&amp;EOMONTH(A1505,-1)+1,$A$2:A1505,"&lt;="&amp;EOMONTH(A1505,0)),"000"))</f>
        <v/>
      </c>
      <c r="C1505" s="5"/>
      <c r="D1505" s="5"/>
      <c r="E1505" s="5"/>
      <c r="F1505" s="5"/>
      <c r="G1505" s="5"/>
      <c r="H1505" s="5"/>
      <c r="I1505" s="6"/>
      <c r="J1505" s="6">
        <f>IF(D1505="Thu",I1505,0)</f>
        <v>0</v>
      </c>
      <c r="K1505" s="6">
        <f>IF(D1505="Chi",I1505,0)</f>
        <v>0</v>
      </c>
      <c r="L1505" s="6">
        <f>L1504+J1505-K1505</f>
        <v>8050118</v>
      </c>
      <c r="M1505" s="6">
        <f ca="1">IFERROR(__xludf.DUMMYFUNCTION("SUM(FILTER(J:J, H:H=""Tiền mặt"")) - SUM(FILTER(K:K, H:H=""Tiền mặt""))
"),959000)</f>
        <v>959000</v>
      </c>
      <c r="N1505" s="6">
        <f ca="1">IFERROR(__xludf.DUMMYFUNCTION("SUM(FILTER(J:J, H:H=""Chuyển khoản"")) - SUM(FILTER(K:K, H:H=""Chuyển khoản""))
"),4468984)</f>
        <v>4468984</v>
      </c>
      <c r="O1505" s="5"/>
      <c r="P1505" s="5"/>
      <c r="Q1505" s="5"/>
      <c r="R1505" s="5"/>
      <c r="S1505" s="5"/>
    </row>
    <row r="1506" spans="1:19" ht="15.75" customHeight="1" x14ac:dyDescent="0.2">
      <c r="A1506" s="3"/>
      <c r="B1506" s="4" t="str">
        <f>IF(A1506="","","PC-"&amp;TEXT(A1506,"mm/yyyy")&amp;"-"&amp;TEXT(COUNTIFS($A$2:A1506,"&gt;="&amp;EOMONTH(A1506,-1)+1,$A$2:A1506,"&lt;="&amp;EOMONTH(A1506,0)),"000"))</f>
        <v/>
      </c>
      <c r="C1506" s="5"/>
      <c r="D1506" s="5"/>
      <c r="E1506" s="5"/>
      <c r="F1506" s="5"/>
      <c r="G1506" s="5"/>
      <c r="H1506" s="5"/>
      <c r="I1506" s="6"/>
      <c r="J1506" s="6">
        <f>IF(D1506="Thu",I1506,0)</f>
        <v>0</v>
      </c>
      <c r="K1506" s="6">
        <f>IF(D1506="Chi",I1506,0)</f>
        <v>0</v>
      </c>
      <c r="L1506" s="6">
        <f>L1505+J1506-K1506</f>
        <v>8050118</v>
      </c>
      <c r="M1506" s="6">
        <f ca="1">IFERROR(__xludf.DUMMYFUNCTION("SUM(FILTER(J:J, H:H=""Tiền mặt"")) - SUM(FILTER(K:K, H:H=""Tiền mặt""))
"),959000)</f>
        <v>959000</v>
      </c>
      <c r="N1506" s="6">
        <f ca="1">IFERROR(__xludf.DUMMYFUNCTION("SUM(FILTER(J:J, H:H=""Chuyển khoản"")) - SUM(FILTER(K:K, H:H=""Chuyển khoản""))
"),4468984)</f>
        <v>4468984</v>
      </c>
      <c r="O1506" s="5"/>
      <c r="P1506" s="5"/>
      <c r="Q1506" s="5"/>
      <c r="R1506" s="5"/>
      <c r="S1506" s="5"/>
    </row>
    <row r="1507" spans="1:19" ht="15.75" customHeight="1" x14ac:dyDescent="0.2">
      <c r="A1507" s="3"/>
      <c r="B1507" s="4" t="str">
        <f>IF(A1507="","","PC-"&amp;TEXT(A1507,"mm/yyyy")&amp;"-"&amp;TEXT(COUNTIFS($A$2:A1507,"&gt;="&amp;EOMONTH(A1507,-1)+1,$A$2:A1507,"&lt;="&amp;EOMONTH(A1507,0)),"000"))</f>
        <v/>
      </c>
      <c r="C1507" s="5"/>
      <c r="D1507" s="5"/>
      <c r="E1507" s="5"/>
      <c r="F1507" s="5"/>
      <c r="G1507" s="5"/>
      <c r="H1507" s="5"/>
      <c r="I1507" s="6"/>
      <c r="J1507" s="6">
        <f>IF(D1507="Thu",I1507,0)</f>
        <v>0</v>
      </c>
      <c r="K1507" s="6">
        <f>IF(D1507="Chi",I1507,0)</f>
        <v>0</v>
      </c>
      <c r="L1507" s="6">
        <f>L1506+J1507-K1507</f>
        <v>8050118</v>
      </c>
      <c r="M1507" s="6">
        <f ca="1">IFERROR(__xludf.DUMMYFUNCTION("SUM(FILTER(J:J, H:H=""Tiền mặt"")) - SUM(FILTER(K:K, H:H=""Tiền mặt""))
"),959000)</f>
        <v>959000</v>
      </c>
      <c r="N1507" s="6">
        <f ca="1">IFERROR(__xludf.DUMMYFUNCTION("SUM(FILTER(J:J, H:H=""Chuyển khoản"")) - SUM(FILTER(K:K, H:H=""Chuyển khoản""))
"),4468984)</f>
        <v>4468984</v>
      </c>
      <c r="O1507" s="5"/>
      <c r="P1507" s="5"/>
      <c r="Q1507" s="5"/>
      <c r="R1507" s="5"/>
      <c r="S1507" s="5"/>
    </row>
    <row r="1508" spans="1:19" ht="15.75" customHeight="1" x14ac:dyDescent="0.2">
      <c r="A1508" s="3"/>
      <c r="B1508" s="4" t="str">
        <f>IF(A1508="","","PC-"&amp;TEXT(A1508,"mm/yyyy")&amp;"-"&amp;TEXT(COUNTIFS($A$2:A1508,"&gt;="&amp;EOMONTH(A1508,-1)+1,$A$2:A1508,"&lt;="&amp;EOMONTH(A1508,0)),"000"))</f>
        <v/>
      </c>
      <c r="C1508" s="5"/>
      <c r="D1508" s="5"/>
      <c r="E1508" s="5"/>
      <c r="F1508" s="5"/>
      <c r="G1508" s="5"/>
      <c r="H1508" s="5"/>
      <c r="I1508" s="6"/>
      <c r="J1508" s="6">
        <f>IF(D1508="Thu",I1508,0)</f>
        <v>0</v>
      </c>
      <c r="K1508" s="6">
        <f>IF(D1508="Chi",I1508,0)</f>
        <v>0</v>
      </c>
      <c r="L1508" s="6">
        <f>L1507+J1508-K1508</f>
        <v>8050118</v>
      </c>
      <c r="M1508" s="6">
        <f ca="1">IFERROR(__xludf.DUMMYFUNCTION("SUM(FILTER(J:J, H:H=""Tiền mặt"")) - SUM(FILTER(K:K, H:H=""Tiền mặt""))
"),959000)</f>
        <v>959000</v>
      </c>
      <c r="N1508" s="6">
        <f ca="1">IFERROR(__xludf.DUMMYFUNCTION("SUM(FILTER(J:J, H:H=""Chuyển khoản"")) - SUM(FILTER(K:K, H:H=""Chuyển khoản""))
"),4468984)</f>
        <v>4468984</v>
      </c>
      <c r="O1508" s="5"/>
      <c r="P1508" s="5"/>
      <c r="Q1508" s="5"/>
      <c r="R1508" s="5"/>
      <c r="S1508" s="5"/>
    </row>
    <row r="1509" spans="1:19" ht="15.75" customHeight="1" x14ac:dyDescent="0.2">
      <c r="A1509" s="3"/>
      <c r="B1509" s="4" t="str">
        <f>IF(A1509="","","PC-"&amp;TEXT(A1509,"mm/yyyy")&amp;"-"&amp;TEXT(COUNTIFS($A$2:A1509,"&gt;="&amp;EOMONTH(A1509,-1)+1,$A$2:A1509,"&lt;="&amp;EOMONTH(A1509,0)),"000"))</f>
        <v/>
      </c>
      <c r="C1509" s="5"/>
      <c r="D1509" s="5"/>
      <c r="E1509" s="5"/>
      <c r="F1509" s="5"/>
      <c r="G1509" s="5"/>
      <c r="H1509" s="5"/>
      <c r="I1509" s="6"/>
      <c r="J1509" s="6">
        <f>IF(D1509="Thu",I1509,0)</f>
        <v>0</v>
      </c>
      <c r="K1509" s="6">
        <f>IF(D1509="Chi",I1509,0)</f>
        <v>0</v>
      </c>
      <c r="L1509" s="6">
        <f>L1508+J1509-K1509</f>
        <v>8050118</v>
      </c>
      <c r="M1509" s="6">
        <f ca="1">IFERROR(__xludf.DUMMYFUNCTION("SUM(FILTER(J:J, H:H=""Tiền mặt"")) - SUM(FILTER(K:K, H:H=""Tiền mặt""))
"),959000)</f>
        <v>959000</v>
      </c>
      <c r="N1509" s="6">
        <f ca="1">IFERROR(__xludf.DUMMYFUNCTION("SUM(FILTER(J:J, H:H=""Chuyển khoản"")) - SUM(FILTER(K:K, H:H=""Chuyển khoản""))
"),4468984)</f>
        <v>4468984</v>
      </c>
      <c r="O1509" s="5"/>
      <c r="P1509" s="5"/>
      <c r="Q1509" s="5"/>
      <c r="R1509" s="5"/>
      <c r="S1509" s="5"/>
    </row>
    <row r="1510" spans="1:19" ht="15.75" customHeight="1" x14ac:dyDescent="0.2">
      <c r="A1510" s="3"/>
      <c r="B1510" s="4" t="str">
        <f>IF(A1510="","","PC-"&amp;TEXT(A1510,"mm/yyyy")&amp;"-"&amp;TEXT(COUNTIFS($A$2:A1510,"&gt;="&amp;EOMONTH(A1510,-1)+1,$A$2:A1510,"&lt;="&amp;EOMONTH(A1510,0)),"000"))</f>
        <v/>
      </c>
      <c r="C1510" s="5"/>
      <c r="D1510" s="5"/>
      <c r="E1510" s="5"/>
      <c r="F1510" s="5"/>
      <c r="G1510" s="5"/>
      <c r="H1510" s="5"/>
      <c r="I1510" s="6"/>
      <c r="J1510" s="6">
        <f>IF(D1510="Thu",I1510,0)</f>
        <v>0</v>
      </c>
      <c r="K1510" s="6">
        <f>IF(D1510="Chi",I1510,0)</f>
        <v>0</v>
      </c>
      <c r="L1510" s="6">
        <f>L1509+J1510-K1510</f>
        <v>8050118</v>
      </c>
      <c r="M1510" s="6">
        <f ca="1">IFERROR(__xludf.DUMMYFUNCTION("SUM(FILTER(J:J, H:H=""Tiền mặt"")) - SUM(FILTER(K:K, H:H=""Tiền mặt""))
"),959000)</f>
        <v>959000</v>
      </c>
      <c r="N1510" s="6">
        <f ca="1">IFERROR(__xludf.DUMMYFUNCTION("SUM(FILTER(J:J, H:H=""Chuyển khoản"")) - SUM(FILTER(K:K, H:H=""Chuyển khoản""))
"),4468984)</f>
        <v>4468984</v>
      </c>
      <c r="O1510" s="5"/>
      <c r="P1510" s="5"/>
      <c r="Q1510" s="5"/>
      <c r="R1510" s="5"/>
      <c r="S1510" s="5"/>
    </row>
    <row r="1511" spans="1:19" ht="15.75" customHeight="1" x14ac:dyDescent="0.2">
      <c r="A1511" s="3"/>
      <c r="B1511" s="4" t="str">
        <f>IF(A1511="","","PC-"&amp;TEXT(A1511,"mm/yyyy")&amp;"-"&amp;TEXT(COUNTIFS($A$2:A1511,"&gt;="&amp;EOMONTH(A1511,-1)+1,$A$2:A1511,"&lt;="&amp;EOMONTH(A1511,0)),"000"))</f>
        <v/>
      </c>
      <c r="C1511" s="5"/>
      <c r="D1511" s="5"/>
      <c r="E1511" s="5"/>
      <c r="F1511" s="5"/>
      <c r="G1511" s="5"/>
      <c r="H1511" s="5"/>
      <c r="I1511" s="6"/>
      <c r="J1511" s="6">
        <f>IF(D1511="Thu",I1511,0)</f>
        <v>0</v>
      </c>
      <c r="K1511" s="6">
        <f>IF(D1511="Chi",I1511,0)</f>
        <v>0</v>
      </c>
      <c r="L1511" s="6">
        <f>L1510+J1511-K1511</f>
        <v>8050118</v>
      </c>
      <c r="M1511" s="6">
        <f ca="1">IFERROR(__xludf.DUMMYFUNCTION("SUM(FILTER(J:J, H:H=""Tiền mặt"")) - SUM(FILTER(K:K, H:H=""Tiền mặt""))
"),959000)</f>
        <v>959000</v>
      </c>
      <c r="N1511" s="6">
        <f ca="1">IFERROR(__xludf.DUMMYFUNCTION("SUM(FILTER(J:J, H:H=""Chuyển khoản"")) - SUM(FILTER(K:K, H:H=""Chuyển khoản""))
"),4468984)</f>
        <v>4468984</v>
      </c>
      <c r="O1511" s="5"/>
      <c r="P1511" s="5"/>
      <c r="Q1511" s="5"/>
      <c r="R1511" s="5"/>
      <c r="S1511" s="5"/>
    </row>
    <row r="1512" spans="1:19" ht="15.75" customHeight="1" x14ac:dyDescent="0.2">
      <c r="A1512" s="3"/>
      <c r="B1512" s="4" t="str">
        <f>IF(A1512="","","PC-"&amp;TEXT(A1512,"mm/yyyy")&amp;"-"&amp;TEXT(COUNTIFS($A$2:A1512,"&gt;="&amp;EOMONTH(A1512,-1)+1,$A$2:A1512,"&lt;="&amp;EOMONTH(A1512,0)),"000"))</f>
        <v/>
      </c>
      <c r="C1512" s="5"/>
      <c r="D1512" s="5"/>
      <c r="E1512" s="5"/>
      <c r="F1512" s="5"/>
      <c r="G1512" s="5"/>
      <c r="H1512" s="5"/>
      <c r="I1512" s="6"/>
      <c r="J1512" s="6">
        <f>IF(D1512="Thu",I1512,0)</f>
        <v>0</v>
      </c>
      <c r="K1512" s="6">
        <f>IF(D1512="Chi",I1512,0)</f>
        <v>0</v>
      </c>
      <c r="L1512" s="6">
        <f>L1511+J1512-K1512</f>
        <v>8050118</v>
      </c>
      <c r="M1512" s="6">
        <f ca="1">IFERROR(__xludf.DUMMYFUNCTION("SUM(FILTER(J:J, H:H=""Tiền mặt"")) - SUM(FILTER(K:K, H:H=""Tiền mặt""))
"),959000)</f>
        <v>959000</v>
      </c>
      <c r="N1512" s="6">
        <f ca="1">IFERROR(__xludf.DUMMYFUNCTION("SUM(FILTER(J:J, H:H=""Chuyển khoản"")) - SUM(FILTER(K:K, H:H=""Chuyển khoản""))
"),4468984)</f>
        <v>4468984</v>
      </c>
      <c r="O1512" s="5"/>
      <c r="P1512" s="5"/>
      <c r="Q1512" s="5"/>
      <c r="R1512" s="5"/>
      <c r="S1512" s="5"/>
    </row>
    <row r="1513" spans="1:19" ht="15.75" customHeight="1" x14ac:dyDescent="0.2">
      <c r="A1513" s="3"/>
      <c r="B1513" s="4" t="str">
        <f>IF(A1513="","","PC-"&amp;TEXT(A1513,"mm/yyyy")&amp;"-"&amp;TEXT(COUNTIFS($A$2:A1513,"&gt;="&amp;EOMONTH(A1513,-1)+1,$A$2:A1513,"&lt;="&amp;EOMONTH(A1513,0)),"000"))</f>
        <v/>
      </c>
      <c r="C1513" s="5"/>
      <c r="D1513" s="5"/>
      <c r="E1513" s="5"/>
      <c r="F1513" s="5"/>
      <c r="G1513" s="5"/>
      <c r="H1513" s="5"/>
      <c r="I1513" s="6"/>
      <c r="J1513" s="6">
        <f>IF(D1513="Thu",I1513,0)</f>
        <v>0</v>
      </c>
      <c r="K1513" s="6">
        <f>IF(D1513="Chi",I1513,0)</f>
        <v>0</v>
      </c>
      <c r="L1513" s="6">
        <f>L1512+J1513-K1513</f>
        <v>8050118</v>
      </c>
      <c r="M1513" s="6">
        <f ca="1">IFERROR(__xludf.DUMMYFUNCTION("SUM(FILTER(J:J, H:H=""Tiền mặt"")) - SUM(FILTER(K:K, H:H=""Tiền mặt""))
"),959000)</f>
        <v>959000</v>
      </c>
      <c r="N1513" s="6">
        <f ca="1">IFERROR(__xludf.DUMMYFUNCTION("SUM(FILTER(J:J, H:H=""Chuyển khoản"")) - SUM(FILTER(K:K, H:H=""Chuyển khoản""))
"),4468984)</f>
        <v>4468984</v>
      </c>
      <c r="O1513" s="5"/>
      <c r="P1513" s="5"/>
      <c r="Q1513" s="5"/>
      <c r="R1513" s="5"/>
      <c r="S1513" s="5"/>
    </row>
    <row r="1514" spans="1:19" ht="15.75" customHeight="1" x14ac:dyDescent="0.2">
      <c r="A1514" s="3"/>
      <c r="B1514" s="4" t="str">
        <f>IF(A1514="","","PC-"&amp;TEXT(A1514,"mm/yyyy")&amp;"-"&amp;TEXT(COUNTIFS($A$2:A1514,"&gt;="&amp;EOMONTH(A1514,-1)+1,$A$2:A1514,"&lt;="&amp;EOMONTH(A1514,0)),"000"))</f>
        <v/>
      </c>
      <c r="C1514" s="5"/>
      <c r="D1514" s="5"/>
      <c r="E1514" s="5"/>
      <c r="F1514" s="5"/>
      <c r="G1514" s="5"/>
      <c r="H1514" s="5"/>
      <c r="I1514" s="6"/>
      <c r="J1514" s="6">
        <f>IF(D1514="Thu",I1514,0)</f>
        <v>0</v>
      </c>
      <c r="K1514" s="6">
        <f>IF(D1514="Chi",I1514,0)</f>
        <v>0</v>
      </c>
      <c r="L1514" s="6">
        <f>L1513+J1514-K1514</f>
        <v>8050118</v>
      </c>
      <c r="M1514" s="6">
        <f ca="1">IFERROR(__xludf.DUMMYFUNCTION("SUM(FILTER(J:J, H:H=""Tiền mặt"")) - SUM(FILTER(K:K, H:H=""Tiền mặt""))
"),959000)</f>
        <v>959000</v>
      </c>
      <c r="N1514" s="6">
        <f ca="1">IFERROR(__xludf.DUMMYFUNCTION("SUM(FILTER(J:J, H:H=""Chuyển khoản"")) - SUM(FILTER(K:K, H:H=""Chuyển khoản""))
"),4468984)</f>
        <v>4468984</v>
      </c>
      <c r="O1514" s="5"/>
      <c r="P1514" s="5"/>
      <c r="Q1514" s="5"/>
      <c r="R1514" s="5"/>
      <c r="S1514" s="5"/>
    </row>
    <row r="1515" spans="1:19" ht="15.75" customHeight="1" x14ac:dyDescent="0.2">
      <c r="A1515" s="3"/>
      <c r="B1515" s="4" t="str">
        <f>IF(A1515="","","PC-"&amp;TEXT(A1515,"mm/yyyy")&amp;"-"&amp;TEXT(COUNTIFS($A$2:A1515,"&gt;="&amp;EOMONTH(A1515,-1)+1,$A$2:A1515,"&lt;="&amp;EOMONTH(A1515,0)),"000"))</f>
        <v/>
      </c>
      <c r="C1515" s="5"/>
      <c r="D1515" s="5"/>
      <c r="E1515" s="5"/>
      <c r="F1515" s="5"/>
      <c r="G1515" s="5"/>
      <c r="H1515" s="5"/>
      <c r="I1515" s="6"/>
      <c r="J1515" s="6">
        <f>IF(D1515="Thu",I1515,0)</f>
        <v>0</v>
      </c>
      <c r="K1515" s="6">
        <f>IF(D1515="Chi",I1515,0)</f>
        <v>0</v>
      </c>
      <c r="L1515" s="6">
        <f>L1514+J1515-K1515</f>
        <v>8050118</v>
      </c>
      <c r="M1515" s="6">
        <f ca="1">IFERROR(__xludf.DUMMYFUNCTION("SUM(FILTER(J:J, H:H=""Tiền mặt"")) - SUM(FILTER(K:K, H:H=""Tiền mặt""))
"),959000)</f>
        <v>959000</v>
      </c>
      <c r="N1515" s="6">
        <f ca="1">IFERROR(__xludf.DUMMYFUNCTION("SUM(FILTER(J:J, H:H=""Chuyển khoản"")) - SUM(FILTER(K:K, H:H=""Chuyển khoản""))
"),4468984)</f>
        <v>4468984</v>
      </c>
      <c r="O1515" s="5"/>
      <c r="P1515" s="5"/>
      <c r="Q1515" s="5"/>
      <c r="R1515" s="5"/>
      <c r="S1515" s="5"/>
    </row>
    <row r="1516" spans="1:19" ht="15.75" customHeight="1" x14ac:dyDescent="0.2">
      <c r="A1516" s="3"/>
      <c r="B1516" s="4" t="str">
        <f>IF(A1516="","","PC-"&amp;TEXT(A1516,"mm/yyyy")&amp;"-"&amp;TEXT(COUNTIFS($A$2:A1516,"&gt;="&amp;EOMONTH(A1516,-1)+1,$A$2:A1516,"&lt;="&amp;EOMONTH(A1516,0)),"000"))</f>
        <v/>
      </c>
      <c r="C1516" s="5"/>
      <c r="D1516" s="5"/>
      <c r="E1516" s="5"/>
      <c r="F1516" s="5"/>
      <c r="G1516" s="5"/>
      <c r="H1516" s="5"/>
      <c r="I1516" s="6"/>
      <c r="J1516" s="6">
        <f>IF(D1516="Thu",I1516,0)</f>
        <v>0</v>
      </c>
      <c r="K1516" s="6">
        <f>IF(D1516="Chi",I1516,0)</f>
        <v>0</v>
      </c>
      <c r="L1516" s="6">
        <f>L1515+J1516-K1516</f>
        <v>8050118</v>
      </c>
      <c r="M1516" s="6">
        <f ca="1">IFERROR(__xludf.DUMMYFUNCTION("SUM(FILTER(J:J, H:H=""Tiền mặt"")) - SUM(FILTER(K:K, H:H=""Tiền mặt""))
"),959000)</f>
        <v>959000</v>
      </c>
      <c r="N1516" s="6">
        <f ca="1">IFERROR(__xludf.DUMMYFUNCTION("SUM(FILTER(J:J, H:H=""Chuyển khoản"")) - SUM(FILTER(K:K, H:H=""Chuyển khoản""))
"),4468984)</f>
        <v>4468984</v>
      </c>
      <c r="O1516" s="5"/>
      <c r="P1516" s="5"/>
      <c r="Q1516" s="5"/>
      <c r="R1516" s="5"/>
      <c r="S1516" s="5"/>
    </row>
    <row r="1517" spans="1:19" ht="15.75" customHeight="1" x14ac:dyDescent="0.2">
      <c r="A1517" s="3"/>
      <c r="B1517" s="4" t="str">
        <f>IF(A1517="","","PC-"&amp;TEXT(A1517,"mm/yyyy")&amp;"-"&amp;TEXT(COUNTIFS($A$2:A1517,"&gt;="&amp;EOMONTH(A1517,-1)+1,$A$2:A1517,"&lt;="&amp;EOMONTH(A1517,0)),"000"))</f>
        <v/>
      </c>
      <c r="C1517" s="5"/>
      <c r="D1517" s="5"/>
      <c r="E1517" s="5"/>
      <c r="F1517" s="5"/>
      <c r="G1517" s="5"/>
      <c r="H1517" s="5"/>
      <c r="I1517" s="6"/>
      <c r="J1517" s="6">
        <f>IF(D1517="Thu",I1517,0)</f>
        <v>0</v>
      </c>
      <c r="K1517" s="6">
        <f>IF(D1517="Chi",I1517,0)</f>
        <v>0</v>
      </c>
      <c r="L1517" s="6">
        <f>L1516+J1517-K1517</f>
        <v>8050118</v>
      </c>
      <c r="M1517" s="6">
        <f ca="1">IFERROR(__xludf.DUMMYFUNCTION("SUM(FILTER(J:J, H:H=""Tiền mặt"")) - SUM(FILTER(K:K, H:H=""Tiền mặt""))
"),959000)</f>
        <v>959000</v>
      </c>
      <c r="N1517" s="6">
        <f ca="1">IFERROR(__xludf.DUMMYFUNCTION("SUM(FILTER(J:J, H:H=""Chuyển khoản"")) - SUM(FILTER(K:K, H:H=""Chuyển khoản""))
"),4468984)</f>
        <v>4468984</v>
      </c>
      <c r="O1517" s="5"/>
      <c r="P1517" s="5"/>
      <c r="Q1517" s="5"/>
      <c r="R1517" s="5"/>
      <c r="S1517" s="5"/>
    </row>
    <row r="1518" spans="1:19" ht="15.75" customHeight="1" x14ac:dyDescent="0.2">
      <c r="A1518" s="3"/>
      <c r="B1518" s="4" t="str">
        <f>IF(A1518="","","PC-"&amp;TEXT(A1518,"mm/yyyy")&amp;"-"&amp;TEXT(COUNTIFS($A$2:A1518,"&gt;="&amp;EOMONTH(A1518,-1)+1,$A$2:A1518,"&lt;="&amp;EOMONTH(A1518,0)),"000"))</f>
        <v/>
      </c>
      <c r="C1518" s="5"/>
      <c r="D1518" s="5"/>
      <c r="E1518" s="5"/>
      <c r="F1518" s="5"/>
      <c r="G1518" s="5"/>
      <c r="H1518" s="5"/>
      <c r="I1518" s="6"/>
      <c r="J1518" s="6">
        <f>IF(D1518="Thu",I1518,0)</f>
        <v>0</v>
      </c>
      <c r="K1518" s="6">
        <f>IF(D1518="Chi",I1518,0)</f>
        <v>0</v>
      </c>
      <c r="L1518" s="6">
        <f>L1517+J1518-K1518</f>
        <v>8050118</v>
      </c>
      <c r="M1518" s="6">
        <f ca="1">IFERROR(__xludf.DUMMYFUNCTION("SUM(FILTER(J:J, H:H=""Tiền mặt"")) - SUM(FILTER(K:K, H:H=""Tiền mặt""))
"),959000)</f>
        <v>959000</v>
      </c>
      <c r="N1518" s="6">
        <f ca="1">IFERROR(__xludf.DUMMYFUNCTION("SUM(FILTER(J:J, H:H=""Chuyển khoản"")) - SUM(FILTER(K:K, H:H=""Chuyển khoản""))
"),4468984)</f>
        <v>4468984</v>
      </c>
      <c r="O1518" s="5"/>
      <c r="P1518" s="5"/>
      <c r="Q1518" s="5"/>
      <c r="R1518" s="5"/>
      <c r="S1518" s="5"/>
    </row>
    <row r="1519" spans="1:19" ht="15.75" customHeight="1" x14ac:dyDescent="0.2">
      <c r="A1519" s="3"/>
      <c r="B1519" s="4" t="str">
        <f>IF(A1519="","","PC-"&amp;TEXT(A1519,"mm/yyyy")&amp;"-"&amp;TEXT(COUNTIFS($A$2:A1519,"&gt;="&amp;EOMONTH(A1519,-1)+1,$A$2:A1519,"&lt;="&amp;EOMONTH(A1519,0)),"000"))</f>
        <v/>
      </c>
      <c r="C1519" s="5"/>
      <c r="D1519" s="5"/>
      <c r="E1519" s="5"/>
      <c r="F1519" s="5"/>
      <c r="G1519" s="5"/>
      <c r="H1519" s="5"/>
      <c r="I1519" s="6"/>
      <c r="J1519" s="6">
        <f>IF(D1519="Thu",I1519,0)</f>
        <v>0</v>
      </c>
      <c r="K1519" s="6">
        <f>IF(D1519="Chi",I1519,0)</f>
        <v>0</v>
      </c>
      <c r="L1519" s="6">
        <f>L1518+J1519-K1519</f>
        <v>8050118</v>
      </c>
      <c r="M1519" s="6">
        <f ca="1">IFERROR(__xludf.DUMMYFUNCTION("SUM(FILTER(J:J, H:H=""Tiền mặt"")) - SUM(FILTER(K:K, H:H=""Tiền mặt""))
"),959000)</f>
        <v>959000</v>
      </c>
      <c r="N1519" s="6">
        <f ca="1">IFERROR(__xludf.DUMMYFUNCTION("SUM(FILTER(J:J, H:H=""Chuyển khoản"")) - SUM(FILTER(K:K, H:H=""Chuyển khoản""))
"),4468984)</f>
        <v>4468984</v>
      </c>
      <c r="O1519" s="5"/>
      <c r="P1519" s="5"/>
      <c r="Q1519" s="5"/>
      <c r="R1519" s="5"/>
      <c r="S1519" s="5"/>
    </row>
    <row r="1520" spans="1:19" ht="15.75" customHeight="1" x14ac:dyDescent="0.2">
      <c r="A1520" s="3"/>
      <c r="B1520" s="4" t="str">
        <f>IF(A1520="","","PC-"&amp;TEXT(A1520,"mm/yyyy")&amp;"-"&amp;TEXT(COUNTIFS($A$2:A1520,"&gt;="&amp;EOMONTH(A1520,-1)+1,$A$2:A1520,"&lt;="&amp;EOMONTH(A1520,0)),"000"))</f>
        <v/>
      </c>
      <c r="C1520" s="5"/>
      <c r="D1520" s="5"/>
      <c r="E1520" s="5"/>
      <c r="F1520" s="5"/>
      <c r="G1520" s="5"/>
      <c r="H1520" s="5"/>
      <c r="I1520" s="6"/>
      <c r="J1520" s="6">
        <f>IF(D1520="Thu",I1520,0)</f>
        <v>0</v>
      </c>
      <c r="K1520" s="6">
        <f>IF(D1520="Chi",I1520,0)</f>
        <v>0</v>
      </c>
      <c r="L1520" s="6">
        <f>L1519+J1520-K1520</f>
        <v>8050118</v>
      </c>
      <c r="M1520" s="6">
        <f ca="1">IFERROR(__xludf.DUMMYFUNCTION("SUM(FILTER(J:J, H:H=""Tiền mặt"")) - SUM(FILTER(K:K, H:H=""Tiền mặt""))
"),959000)</f>
        <v>959000</v>
      </c>
      <c r="N1520" s="6">
        <f ca="1">IFERROR(__xludf.DUMMYFUNCTION("SUM(FILTER(J:J, H:H=""Chuyển khoản"")) - SUM(FILTER(K:K, H:H=""Chuyển khoản""))
"),4468984)</f>
        <v>4468984</v>
      </c>
      <c r="O1520" s="5"/>
      <c r="P1520" s="5"/>
      <c r="Q1520" s="5"/>
      <c r="R1520" s="5"/>
      <c r="S1520" s="5"/>
    </row>
    <row r="1521" spans="1:19" ht="15.75" customHeight="1" x14ac:dyDescent="0.2">
      <c r="A1521" s="3"/>
      <c r="B1521" s="4" t="str">
        <f>IF(A1521="","","PC-"&amp;TEXT(A1521,"mm/yyyy")&amp;"-"&amp;TEXT(COUNTIFS($A$2:A1521,"&gt;="&amp;EOMONTH(A1521,-1)+1,$A$2:A1521,"&lt;="&amp;EOMONTH(A1521,0)),"000"))</f>
        <v/>
      </c>
      <c r="C1521" s="5"/>
      <c r="D1521" s="5"/>
      <c r="E1521" s="5"/>
      <c r="F1521" s="5"/>
      <c r="G1521" s="5"/>
      <c r="H1521" s="5"/>
      <c r="I1521" s="6"/>
      <c r="J1521" s="6">
        <f>IF(D1521="Thu",I1521,0)</f>
        <v>0</v>
      </c>
      <c r="K1521" s="6">
        <f>IF(D1521="Chi",I1521,0)</f>
        <v>0</v>
      </c>
      <c r="L1521" s="6">
        <f>L1520+J1521-K1521</f>
        <v>8050118</v>
      </c>
      <c r="M1521" s="6">
        <f ca="1">IFERROR(__xludf.DUMMYFUNCTION("SUM(FILTER(J:J, H:H=""Tiền mặt"")) - SUM(FILTER(K:K, H:H=""Tiền mặt""))
"),959000)</f>
        <v>959000</v>
      </c>
      <c r="N1521" s="6">
        <f ca="1">IFERROR(__xludf.DUMMYFUNCTION("SUM(FILTER(J:J, H:H=""Chuyển khoản"")) - SUM(FILTER(K:K, H:H=""Chuyển khoản""))
"),4468984)</f>
        <v>4468984</v>
      </c>
      <c r="O1521" s="5"/>
      <c r="P1521" s="5"/>
      <c r="Q1521" s="5"/>
      <c r="R1521" s="5"/>
      <c r="S1521" s="5"/>
    </row>
    <row r="1522" spans="1:19" ht="15.75" customHeight="1" x14ac:dyDescent="0.2">
      <c r="A1522" s="3"/>
      <c r="B1522" s="4" t="str">
        <f>IF(A1522="","","PC-"&amp;TEXT(A1522,"mm/yyyy")&amp;"-"&amp;TEXT(COUNTIFS($A$2:A1522,"&gt;="&amp;EOMONTH(A1522,-1)+1,$A$2:A1522,"&lt;="&amp;EOMONTH(A1522,0)),"000"))</f>
        <v/>
      </c>
      <c r="C1522" s="5"/>
      <c r="D1522" s="5"/>
      <c r="E1522" s="5"/>
      <c r="F1522" s="5"/>
      <c r="G1522" s="5"/>
      <c r="H1522" s="5"/>
      <c r="I1522" s="6"/>
      <c r="J1522" s="6">
        <f>IF(D1522="Thu",I1522,0)</f>
        <v>0</v>
      </c>
      <c r="K1522" s="6">
        <f>IF(D1522="Chi",I1522,0)</f>
        <v>0</v>
      </c>
      <c r="L1522" s="6">
        <f>L1521+J1522-K1522</f>
        <v>8050118</v>
      </c>
      <c r="M1522" s="6">
        <f ca="1">IFERROR(__xludf.DUMMYFUNCTION("SUM(FILTER(J:J, H:H=""Tiền mặt"")) - SUM(FILTER(K:K, H:H=""Tiền mặt""))
"),959000)</f>
        <v>959000</v>
      </c>
      <c r="N1522" s="6">
        <f ca="1">IFERROR(__xludf.DUMMYFUNCTION("SUM(FILTER(J:J, H:H=""Chuyển khoản"")) - SUM(FILTER(K:K, H:H=""Chuyển khoản""))
"),4468984)</f>
        <v>4468984</v>
      </c>
      <c r="O1522" s="5"/>
      <c r="P1522" s="5"/>
      <c r="Q1522" s="5"/>
      <c r="R1522" s="5"/>
      <c r="S1522" s="5"/>
    </row>
    <row r="1523" spans="1:19" ht="15.75" customHeight="1" x14ac:dyDescent="0.2">
      <c r="A1523" s="3"/>
      <c r="B1523" s="4" t="str">
        <f>IF(A1523="","","PC-"&amp;TEXT(A1523,"mm/yyyy")&amp;"-"&amp;TEXT(COUNTIFS($A$2:A1523,"&gt;="&amp;EOMONTH(A1523,-1)+1,$A$2:A1523,"&lt;="&amp;EOMONTH(A1523,0)),"000"))</f>
        <v/>
      </c>
      <c r="C1523" s="5"/>
      <c r="D1523" s="5"/>
      <c r="E1523" s="5"/>
      <c r="F1523" s="5"/>
      <c r="G1523" s="5"/>
      <c r="H1523" s="5"/>
      <c r="I1523" s="6"/>
      <c r="J1523" s="6">
        <f>IF(D1523="Thu",I1523,0)</f>
        <v>0</v>
      </c>
      <c r="K1523" s="6">
        <f>IF(D1523="Chi",I1523,0)</f>
        <v>0</v>
      </c>
      <c r="L1523" s="6">
        <f>L1522+J1523-K1523</f>
        <v>8050118</v>
      </c>
      <c r="M1523" s="6">
        <f ca="1">IFERROR(__xludf.DUMMYFUNCTION("SUM(FILTER(J:J, H:H=""Tiền mặt"")) - SUM(FILTER(K:K, H:H=""Tiền mặt""))
"),959000)</f>
        <v>959000</v>
      </c>
      <c r="N1523" s="6">
        <f ca="1">IFERROR(__xludf.DUMMYFUNCTION("SUM(FILTER(J:J, H:H=""Chuyển khoản"")) - SUM(FILTER(K:K, H:H=""Chuyển khoản""))
"),4468984)</f>
        <v>4468984</v>
      </c>
      <c r="O1523" s="5"/>
      <c r="P1523" s="5"/>
      <c r="Q1523" s="5"/>
      <c r="R1523" s="5"/>
      <c r="S1523" s="5"/>
    </row>
    <row r="1524" spans="1:19" ht="15.75" customHeight="1" x14ac:dyDescent="0.2">
      <c r="A1524" s="3"/>
      <c r="B1524" s="4" t="str">
        <f>IF(A1524="","","PC-"&amp;TEXT(A1524,"mm/yyyy")&amp;"-"&amp;TEXT(COUNTIFS($A$2:A1524,"&gt;="&amp;EOMONTH(A1524,-1)+1,$A$2:A1524,"&lt;="&amp;EOMONTH(A1524,0)),"000"))</f>
        <v/>
      </c>
      <c r="C1524" s="5"/>
      <c r="D1524" s="5"/>
      <c r="E1524" s="5"/>
      <c r="F1524" s="5"/>
      <c r="G1524" s="5"/>
      <c r="H1524" s="5"/>
      <c r="I1524" s="6"/>
      <c r="J1524" s="6">
        <f>IF(D1524="Thu",I1524,0)</f>
        <v>0</v>
      </c>
      <c r="K1524" s="6">
        <f>IF(D1524="Chi",I1524,0)</f>
        <v>0</v>
      </c>
      <c r="L1524" s="6">
        <f>L1523+J1524-K1524</f>
        <v>8050118</v>
      </c>
      <c r="M1524" s="6">
        <f ca="1">IFERROR(__xludf.DUMMYFUNCTION("SUM(FILTER(J:J, H:H=""Tiền mặt"")) - SUM(FILTER(K:K, H:H=""Tiền mặt""))
"),959000)</f>
        <v>959000</v>
      </c>
      <c r="N1524" s="6">
        <f ca="1">IFERROR(__xludf.DUMMYFUNCTION("SUM(FILTER(J:J, H:H=""Chuyển khoản"")) - SUM(FILTER(K:K, H:H=""Chuyển khoản""))
"),4468984)</f>
        <v>4468984</v>
      </c>
      <c r="O1524" s="5"/>
      <c r="P1524" s="5"/>
      <c r="Q1524" s="5"/>
      <c r="R1524" s="5"/>
      <c r="S1524" s="5"/>
    </row>
    <row r="1525" spans="1:19" ht="15.75" customHeight="1" x14ac:dyDescent="0.2">
      <c r="A1525" s="3"/>
      <c r="B1525" s="4" t="str">
        <f>IF(A1525="","","PC-"&amp;TEXT(A1525,"mm/yyyy")&amp;"-"&amp;TEXT(COUNTIFS($A$2:A1525,"&gt;="&amp;EOMONTH(A1525,-1)+1,$A$2:A1525,"&lt;="&amp;EOMONTH(A1525,0)),"000"))</f>
        <v/>
      </c>
      <c r="C1525" s="5"/>
      <c r="D1525" s="5"/>
      <c r="E1525" s="5"/>
      <c r="F1525" s="5"/>
      <c r="G1525" s="5"/>
      <c r="H1525" s="5"/>
      <c r="I1525" s="6"/>
      <c r="J1525" s="6">
        <f>IF(D1525="Thu",I1525,0)</f>
        <v>0</v>
      </c>
      <c r="K1525" s="6">
        <f>IF(D1525="Chi",I1525,0)</f>
        <v>0</v>
      </c>
      <c r="L1525" s="6">
        <f>L1524+J1525-K1525</f>
        <v>8050118</v>
      </c>
      <c r="M1525" s="6">
        <f ca="1">IFERROR(__xludf.DUMMYFUNCTION("SUM(FILTER(J:J, H:H=""Tiền mặt"")) - SUM(FILTER(K:K, H:H=""Tiền mặt""))
"),959000)</f>
        <v>959000</v>
      </c>
      <c r="N1525" s="6">
        <f ca="1">IFERROR(__xludf.DUMMYFUNCTION("SUM(FILTER(J:J, H:H=""Chuyển khoản"")) - SUM(FILTER(K:K, H:H=""Chuyển khoản""))
"),4468984)</f>
        <v>4468984</v>
      </c>
      <c r="O1525" s="5"/>
      <c r="P1525" s="5"/>
      <c r="Q1525" s="5"/>
      <c r="R1525" s="5"/>
      <c r="S1525" s="5"/>
    </row>
    <row r="1526" spans="1:19" ht="15.75" customHeight="1" x14ac:dyDescent="0.2">
      <c r="A1526" s="3"/>
      <c r="B1526" s="4" t="str">
        <f>IF(A1526="","","PC-"&amp;TEXT(A1526,"mm/yyyy")&amp;"-"&amp;TEXT(COUNTIFS($A$2:A1526,"&gt;="&amp;EOMONTH(A1526,-1)+1,$A$2:A1526,"&lt;="&amp;EOMONTH(A1526,0)),"000"))</f>
        <v/>
      </c>
      <c r="C1526" s="5"/>
      <c r="D1526" s="5"/>
      <c r="E1526" s="5"/>
      <c r="F1526" s="5"/>
      <c r="G1526" s="5"/>
      <c r="H1526" s="5"/>
      <c r="I1526" s="6"/>
      <c r="J1526" s="6">
        <f>IF(D1526="Thu",I1526,0)</f>
        <v>0</v>
      </c>
      <c r="K1526" s="6">
        <f>IF(D1526="Chi",I1526,0)</f>
        <v>0</v>
      </c>
      <c r="L1526" s="6">
        <f>L1525+J1526-K1526</f>
        <v>8050118</v>
      </c>
      <c r="M1526" s="6">
        <f ca="1">IFERROR(__xludf.DUMMYFUNCTION("SUM(FILTER(J:J, H:H=""Tiền mặt"")) - SUM(FILTER(K:K, H:H=""Tiền mặt""))
"),959000)</f>
        <v>959000</v>
      </c>
      <c r="N1526" s="6">
        <f ca="1">IFERROR(__xludf.DUMMYFUNCTION("SUM(FILTER(J:J, H:H=""Chuyển khoản"")) - SUM(FILTER(K:K, H:H=""Chuyển khoản""))
"),4468984)</f>
        <v>4468984</v>
      </c>
      <c r="O1526" s="5"/>
      <c r="P1526" s="5"/>
      <c r="Q1526" s="5"/>
      <c r="R1526" s="5"/>
      <c r="S1526" s="5"/>
    </row>
    <row r="1527" spans="1:19" ht="15.75" customHeight="1" x14ac:dyDescent="0.2">
      <c r="A1527" s="3"/>
      <c r="B1527" s="4" t="str">
        <f>IF(A1527="","","PC-"&amp;TEXT(A1527,"mm/yyyy")&amp;"-"&amp;TEXT(COUNTIFS($A$2:A1527,"&gt;="&amp;EOMONTH(A1527,-1)+1,$A$2:A1527,"&lt;="&amp;EOMONTH(A1527,0)),"000"))</f>
        <v/>
      </c>
      <c r="C1527" s="5"/>
      <c r="D1527" s="5"/>
      <c r="E1527" s="5"/>
      <c r="F1527" s="5"/>
      <c r="G1527" s="5"/>
      <c r="H1527" s="5"/>
      <c r="I1527" s="6"/>
      <c r="J1527" s="6">
        <f>IF(D1527="Thu",I1527,0)</f>
        <v>0</v>
      </c>
      <c r="K1527" s="6">
        <f>IF(D1527="Chi",I1527,0)</f>
        <v>0</v>
      </c>
      <c r="L1527" s="6">
        <f>L1526+J1527-K1527</f>
        <v>8050118</v>
      </c>
      <c r="M1527" s="6">
        <f ca="1">IFERROR(__xludf.DUMMYFUNCTION("SUM(FILTER(J:J, H:H=""Tiền mặt"")) - SUM(FILTER(K:K, H:H=""Tiền mặt""))
"),959000)</f>
        <v>959000</v>
      </c>
      <c r="N1527" s="6">
        <f ca="1">IFERROR(__xludf.DUMMYFUNCTION("SUM(FILTER(J:J, H:H=""Chuyển khoản"")) - SUM(FILTER(K:K, H:H=""Chuyển khoản""))
"),4468984)</f>
        <v>4468984</v>
      </c>
      <c r="O1527" s="5"/>
      <c r="P1527" s="5"/>
      <c r="Q1527" s="5"/>
      <c r="R1527" s="5"/>
      <c r="S1527" s="5"/>
    </row>
    <row r="1528" spans="1:19" ht="15.75" customHeight="1" x14ac:dyDescent="0.2">
      <c r="A1528" s="3"/>
      <c r="B1528" s="4" t="str">
        <f>IF(A1528="","","PC-"&amp;TEXT(A1528,"mm/yyyy")&amp;"-"&amp;TEXT(COUNTIFS($A$2:A1528,"&gt;="&amp;EOMONTH(A1528,-1)+1,$A$2:A1528,"&lt;="&amp;EOMONTH(A1528,0)),"000"))</f>
        <v/>
      </c>
      <c r="C1528" s="5"/>
      <c r="D1528" s="5"/>
      <c r="E1528" s="5"/>
      <c r="F1528" s="5"/>
      <c r="G1528" s="5"/>
      <c r="H1528" s="5"/>
      <c r="I1528" s="6"/>
      <c r="J1528" s="6">
        <f>IF(D1528="Thu",I1528,0)</f>
        <v>0</v>
      </c>
      <c r="K1528" s="6">
        <f>IF(D1528="Chi",I1528,0)</f>
        <v>0</v>
      </c>
      <c r="L1528" s="6">
        <f>L1527+J1528-K1528</f>
        <v>8050118</v>
      </c>
      <c r="M1528" s="6">
        <f ca="1">IFERROR(__xludf.DUMMYFUNCTION("SUM(FILTER(J:J, H:H=""Tiền mặt"")) - SUM(FILTER(K:K, H:H=""Tiền mặt""))
"),959000)</f>
        <v>959000</v>
      </c>
      <c r="N1528" s="6">
        <f ca="1">IFERROR(__xludf.DUMMYFUNCTION("SUM(FILTER(J:J, H:H=""Chuyển khoản"")) - SUM(FILTER(K:K, H:H=""Chuyển khoản""))
"),4468984)</f>
        <v>4468984</v>
      </c>
      <c r="O1528" s="5"/>
      <c r="P1528" s="5"/>
      <c r="Q1528" s="5"/>
      <c r="R1528" s="5"/>
      <c r="S1528" s="5"/>
    </row>
    <row r="1529" spans="1:19" ht="15.75" customHeight="1" x14ac:dyDescent="0.2">
      <c r="A1529" s="3"/>
      <c r="B1529" s="4" t="str">
        <f>IF(A1529="","","PC-"&amp;TEXT(A1529,"mm/yyyy")&amp;"-"&amp;TEXT(COUNTIFS($A$2:A1529,"&gt;="&amp;EOMONTH(A1529,-1)+1,$A$2:A1529,"&lt;="&amp;EOMONTH(A1529,0)),"000"))</f>
        <v/>
      </c>
      <c r="C1529" s="5"/>
      <c r="D1529" s="5"/>
      <c r="E1529" s="5"/>
      <c r="F1529" s="5"/>
      <c r="G1529" s="5"/>
      <c r="H1529" s="5"/>
      <c r="I1529" s="6"/>
      <c r="J1529" s="6">
        <f>IF(D1529="Thu",I1529,0)</f>
        <v>0</v>
      </c>
      <c r="K1529" s="6">
        <f>IF(D1529="Chi",I1529,0)</f>
        <v>0</v>
      </c>
      <c r="L1529" s="6">
        <f>L1528+J1529-K1529</f>
        <v>8050118</v>
      </c>
      <c r="M1529" s="6">
        <f ca="1">IFERROR(__xludf.DUMMYFUNCTION("SUM(FILTER(J:J, H:H=""Tiền mặt"")) - SUM(FILTER(K:K, H:H=""Tiền mặt""))
"),959000)</f>
        <v>959000</v>
      </c>
      <c r="N1529" s="6">
        <f ca="1">IFERROR(__xludf.DUMMYFUNCTION("SUM(FILTER(J:J, H:H=""Chuyển khoản"")) - SUM(FILTER(K:K, H:H=""Chuyển khoản""))
"),4468984)</f>
        <v>4468984</v>
      </c>
      <c r="O1529" s="5"/>
      <c r="P1529" s="5"/>
      <c r="Q1529" s="5"/>
      <c r="R1529" s="5"/>
      <c r="S1529" s="5"/>
    </row>
    <row r="1530" spans="1:19" ht="15.75" customHeight="1" x14ac:dyDescent="0.2">
      <c r="A1530" s="3"/>
      <c r="B1530" s="4" t="str">
        <f>IF(A1530="","","PC-"&amp;TEXT(A1530,"mm/yyyy")&amp;"-"&amp;TEXT(COUNTIFS($A$2:A1530,"&gt;="&amp;EOMONTH(A1530,-1)+1,$A$2:A1530,"&lt;="&amp;EOMONTH(A1530,0)),"000"))</f>
        <v/>
      </c>
      <c r="C1530" s="5"/>
      <c r="D1530" s="5"/>
      <c r="E1530" s="5"/>
      <c r="F1530" s="5"/>
      <c r="G1530" s="5"/>
      <c r="H1530" s="5"/>
      <c r="I1530" s="6"/>
      <c r="J1530" s="6">
        <f>IF(D1530="Thu",I1530,0)</f>
        <v>0</v>
      </c>
      <c r="K1530" s="6">
        <f>IF(D1530="Chi",I1530,0)</f>
        <v>0</v>
      </c>
      <c r="L1530" s="6">
        <f>L1529+J1530-K1530</f>
        <v>8050118</v>
      </c>
      <c r="M1530" s="6">
        <f ca="1">IFERROR(__xludf.DUMMYFUNCTION("SUM(FILTER(J:J, H:H=""Tiền mặt"")) - SUM(FILTER(K:K, H:H=""Tiền mặt""))
"),959000)</f>
        <v>959000</v>
      </c>
      <c r="N1530" s="6">
        <f ca="1">IFERROR(__xludf.DUMMYFUNCTION("SUM(FILTER(J:J, H:H=""Chuyển khoản"")) - SUM(FILTER(K:K, H:H=""Chuyển khoản""))
"),4468984)</f>
        <v>4468984</v>
      </c>
      <c r="O1530" s="5"/>
      <c r="P1530" s="5"/>
      <c r="Q1530" s="5"/>
      <c r="R1530" s="5"/>
      <c r="S1530" s="5"/>
    </row>
    <row r="1531" spans="1:19" ht="15.75" customHeight="1" x14ac:dyDescent="0.2">
      <c r="A1531" s="3"/>
      <c r="B1531" s="4" t="str">
        <f>IF(A1531="","","PC-"&amp;TEXT(A1531,"mm/yyyy")&amp;"-"&amp;TEXT(COUNTIFS($A$2:A1531,"&gt;="&amp;EOMONTH(A1531,-1)+1,$A$2:A1531,"&lt;="&amp;EOMONTH(A1531,0)),"000"))</f>
        <v/>
      </c>
      <c r="C1531" s="5"/>
      <c r="D1531" s="5"/>
      <c r="E1531" s="5"/>
      <c r="F1531" s="5"/>
      <c r="G1531" s="5"/>
      <c r="H1531" s="5"/>
      <c r="I1531" s="6"/>
      <c r="J1531" s="6">
        <f>IF(D1531="Thu",I1531,0)</f>
        <v>0</v>
      </c>
      <c r="K1531" s="6">
        <f>IF(D1531="Chi",I1531,0)</f>
        <v>0</v>
      </c>
      <c r="L1531" s="6">
        <f>L1530+J1531-K1531</f>
        <v>8050118</v>
      </c>
      <c r="M1531" s="6">
        <f ca="1">IFERROR(__xludf.DUMMYFUNCTION("SUM(FILTER(J:J, H:H=""Tiền mặt"")) - SUM(FILTER(K:K, H:H=""Tiền mặt""))
"),959000)</f>
        <v>959000</v>
      </c>
      <c r="N1531" s="6">
        <f ca="1">IFERROR(__xludf.DUMMYFUNCTION("SUM(FILTER(J:J, H:H=""Chuyển khoản"")) - SUM(FILTER(K:K, H:H=""Chuyển khoản""))
"),4468984)</f>
        <v>4468984</v>
      </c>
      <c r="O1531" s="5"/>
      <c r="P1531" s="5"/>
      <c r="Q1531" s="5"/>
      <c r="R1531" s="5"/>
      <c r="S1531" s="5"/>
    </row>
    <row r="1532" spans="1:19" ht="15.75" customHeight="1" x14ac:dyDescent="0.2">
      <c r="A1532" s="3"/>
      <c r="B1532" s="4" t="str">
        <f>IF(A1532="","","PC-"&amp;TEXT(A1532,"mm/yyyy")&amp;"-"&amp;TEXT(COUNTIFS($A$2:A1532,"&gt;="&amp;EOMONTH(A1532,-1)+1,$A$2:A1532,"&lt;="&amp;EOMONTH(A1532,0)),"000"))</f>
        <v/>
      </c>
      <c r="C1532" s="5"/>
      <c r="D1532" s="5"/>
      <c r="E1532" s="5"/>
      <c r="F1532" s="5"/>
      <c r="G1532" s="5"/>
      <c r="H1532" s="5"/>
      <c r="I1532" s="6"/>
      <c r="J1532" s="6">
        <f>IF(D1532="Thu",I1532,0)</f>
        <v>0</v>
      </c>
      <c r="K1532" s="6">
        <f>IF(D1532="Chi",I1532,0)</f>
        <v>0</v>
      </c>
      <c r="L1532" s="6">
        <f>L1531+J1532-K1532</f>
        <v>8050118</v>
      </c>
      <c r="M1532" s="6">
        <f ca="1">IFERROR(__xludf.DUMMYFUNCTION("SUM(FILTER(J:J, H:H=""Tiền mặt"")) - SUM(FILTER(K:K, H:H=""Tiền mặt""))
"),959000)</f>
        <v>959000</v>
      </c>
      <c r="N1532" s="6">
        <f ca="1">IFERROR(__xludf.DUMMYFUNCTION("SUM(FILTER(J:J, H:H=""Chuyển khoản"")) - SUM(FILTER(K:K, H:H=""Chuyển khoản""))
"),4468984)</f>
        <v>4468984</v>
      </c>
      <c r="O1532" s="5"/>
      <c r="P1532" s="5"/>
      <c r="Q1532" s="5"/>
      <c r="R1532" s="5"/>
      <c r="S1532" s="5"/>
    </row>
    <row r="1533" spans="1:19" ht="15.75" customHeight="1" x14ac:dyDescent="0.2">
      <c r="A1533" s="3"/>
      <c r="B1533" s="4" t="str">
        <f>IF(A1533="","","PC-"&amp;TEXT(A1533,"mm/yyyy")&amp;"-"&amp;TEXT(COUNTIFS($A$2:A1533,"&gt;="&amp;EOMONTH(A1533,-1)+1,$A$2:A1533,"&lt;="&amp;EOMONTH(A1533,0)),"000"))</f>
        <v/>
      </c>
      <c r="C1533" s="5"/>
      <c r="D1533" s="5"/>
      <c r="E1533" s="5"/>
      <c r="F1533" s="5"/>
      <c r="G1533" s="5"/>
      <c r="H1533" s="5"/>
      <c r="I1533" s="6"/>
      <c r="J1533" s="6">
        <f>IF(D1533="Thu",I1533,0)</f>
        <v>0</v>
      </c>
      <c r="K1533" s="6">
        <f>IF(D1533="Chi",I1533,0)</f>
        <v>0</v>
      </c>
      <c r="L1533" s="6">
        <f>L1532+J1533-K1533</f>
        <v>8050118</v>
      </c>
      <c r="M1533" s="6">
        <f ca="1">IFERROR(__xludf.DUMMYFUNCTION("SUM(FILTER(J:J, H:H=""Tiền mặt"")) - SUM(FILTER(K:K, H:H=""Tiền mặt""))
"),959000)</f>
        <v>959000</v>
      </c>
      <c r="N1533" s="6">
        <f ca="1">IFERROR(__xludf.DUMMYFUNCTION("SUM(FILTER(J:J, H:H=""Chuyển khoản"")) - SUM(FILTER(K:K, H:H=""Chuyển khoản""))
"),4468984)</f>
        <v>4468984</v>
      </c>
      <c r="O1533" s="5"/>
      <c r="P1533" s="5"/>
      <c r="Q1533" s="5"/>
      <c r="R1533" s="5"/>
      <c r="S1533" s="5"/>
    </row>
    <row r="1534" spans="1:19" ht="15.75" customHeight="1" x14ac:dyDescent="0.2">
      <c r="A1534" s="3"/>
      <c r="B1534" s="4" t="str">
        <f>IF(A1534="","","PC-"&amp;TEXT(A1534,"mm/yyyy")&amp;"-"&amp;TEXT(COUNTIFS($A$2:A1534,"&gt;="&amp;EOMONTH(A1534,-1)+1,$A$2:A1534,"&lt;="&amp;EOMONTH(A1534,0)),"000"))</f>
        <v/>
      </c>
      <c r="C1534" s="5"/>
      <c r="D1534" s="5"/>
      <c r="E1534" s="5"/>
      <c r="F1534" s="5"/>
      <c r="G1534" s="5"/>
      <c r="H1534" s="5"/>
      <c r="I1534" s="6"/>
      <c r="J1534" s="6">
        <f>IF(D1534="Thu",I1534,0)</f>
        <v>0</v>
      </c>
      <c r="K1534" s="6">
        <f>IF(D1534="Chi",I1534,0)</f>
        <v>0</v>
      </c>
      <c r="L1534" s="6">
        <f>L1533+J1534-K1534</f>
        <v>8050118</v>
      </c>
      <c r="M1534" s="6">
        <f ca="1">IFERROR(__xludf.DUMMYFUNCTION("SUM(FILTER(J:J, H:H=""Tiền mặt"")) - SUM(FILTER(K:K, H:H=""Tiền mặt""))
"),959000)</f>
        <v>959000</v>
      </c>
      <c r="N1534" s="6">
        <f ca="1">IFERROR(__xludf.DUMMYFUNCTION("SUM(FILTER(J:J, H:H=""Chuyển khoản"")) - SUM(FILTER(K:K, H:H=""Chuyển khoản""))
"),4468984)</f>
        <v>4468984</v>
      </c>
      <c r="O1534" s="5"/>
      <c r="P1534" s="5"/>
      <c r="Q1534" s="5"/>
      <c r="R1534" s="5"/>
      <c r="S1534" s="5"/>
    </row>
    <row r="1535" spans="1:19" ht="15.75" customHeight="1" x14ac:dyDescent="0.2">
      <c r="A1535" s="3"/>
      <c r="B1535" s="4" t="str">
        <f>IF(A1535="","","PC-"&amp;TEXT(A1535,"mm/yyyy")&amp;"-"&amp;TEXT(COUNTIFS($A$2:A1535,"&gt;="&amp;EOMONTH(A1535,-1)+1,$A$2:A1535,"&lt;="&amp;EOMONTH(A1535,0)),"000"))</f>
        <v/>
      </c>
      <c r="C1535" s="5"/>
      <c r="D1535" s="5"/>
      <c r="E1535" s="5"/>
      <c r="F1535" s="5"/>
      <c r="G1535" s="5"/>
      <c r="H1535" s="5"/>
      <c r="I1535" s="6"/>
      <c r="J1535" s="6">
        <f>IF(D1535="Thu",I1535,0)</f>
        <v>0</v>
      </c>
      <c r="K1535" s="6">
        <f>IF(D1535="Chi",I1535,0)</f>
        <v>0</v>
      </c>
      <c r="L1535" s="6">
        <f>L1534+J1535-K1535</f>
        <v>8050118</v>
      </c>
      <c r="M1535" s="6">
        <f ca="1">IFERROR(__xludf.DUMMYFUNCTION("SUM(FILTER(J:J, H:H=""Tiền mặt"")) - SUM(FILTER(K:K, H:H=""Tiền mặt""))
"),959000)</f>
        <v>959000</v>
      </c>
      <c r="N1535" s="6">
        <f ca="1">IFERROR(__xludf.DUMMYFUNCTION("SUM(FILTER(J:J, H:H=""Chuyển khoản"")) - SUM(FILTER(K:K, H:H=""Chuyển khoản""))
"),4468984)</f>
        <v>4468984</v>
      </c>
      <c r="O1535" s="5"/>
      <c r="P1535" s="5"/>
      <c r="Q1535" s="5"/>
      <c r="R1535" s="5"/>
      <c r="S1535" s="5"/>
    </row>
    <row r="1536" spans="1:19" ht="15.75" customHeight="1" x14ac:dyDescent="0.2">
      <c r="A1536" s="3"/>
      <c r="B1536" s="4" t="str">
        <f>IF(A1536="","","PC-"&amp;TEXT(A1536,"mm/yyyy")&amp;"-"&amp;TEXT(COUNTIFS($A$2:A1536,"&gt;="&amp;EOMONTH(A1536,-1)+1,$A$2:A1536,"&lt;="&amp;EOMONTH(A1536,0)),"000"))</f>
        <v/>
      </c>
      <c r="C1536" s="5"/>
      <c r="D1536" s="5"/>
      <c r="E1536" s="5"/>
      <c r="F1536" s="5"/>
      <c r="G1536" s="5"/>
      <c r="H1536" s="5"/>
      <c r="I1536" s="6"/>
      <c r="J1536" s="6">
        <f>IF(D1536="Thu",I1536,0)</f>
        <v>0</v>
      </c>
      <c r="K1536" s="6">
        <f>IF(D1536="Chi",I1536,0)</f>
        <v>0</v>
      </c>
      <c r="L1536" s="6">
        <f>L1535+J1536-K1536</f>
        <v>8050118</v>
      </c>
      <c r="M1536" s="6">
        <f ca="1">IFERROR(__xludf.DUMMYFUNCTION("SUM(FILTER(J:J, H:H=""Tiền mặt"")) - SUM(FILTER(K:K, H:H=""Tiền mặt""))
"),959000)</f>
        <v>959000</v>
      </c>
      <c r="N1536" s="6">
        <f ca="1">IFERROR(__xludf.DUMMYFUNCTION("SUM(FILTER(J:J, H:H=""Chuyển khoản"")) - SUM(FILTER(K:K, H:H=""Chuyển khoản""))
"),4468984)</f>
        <v>4468984</v>
      </c>
      <c r="O1536" s="5"/>
      <c r="P1536" s="5"/>
      <c r="Q1536" s="5"/>
      <c r="R1536" s="5"/>
      <c r="S1536" s="5"/>
    </row>
    <row r="1537" spans="1:19" ht="15.75" customHeight="1" x14ac:dyDescent="0.2">
      <c r="A1537" s="3"/>
      <c r="B1537" s="4" t="str">
        <f>IF(A1537="","","PC-"&amp;TEXT(A1537,"mm/yyyy")&amp;"-"&amp;TEXT(COUNTIFS($A$2:A1537,"&gt;="&amp;EOMONTH(A1537,-1)+1,$A$2:A1537,"&lt;="&amp;EOMONTH(A1537,0)),"000"))</f>
        <v/>
      </c>
      <c r="C1537" s="5"/>
      <c r="D1537" s="5"/>
      <c r="E1537" s="5"/>
      <c r="F1537" s="5"/>
      <c r="G1537" s="5"/>
      <c r="H1537" s="5"/>
      <c r="I1537" s="6"/>
      <c r="J1537" s="6">
        <f>IF(D1537="Thu",I1537,0)</f>
        <v>0</v>
      </c>
      <c r="K1537" s="6">
        <f>IF(D1537="Chi",I1537,0)</f>
        <v>0</v>
      </c>
      <c r="L1537" s="6">
        <f>L1536+J1537-K1537</f>
        <v>8050118</v>
      </c>
      <c r="M1537" s="6">
        <f ca="1">IFERROR(__xludf.DUMMYFUNCTION("SUM(FILTER(J:J, H:H=""Tiền mặt"")) - SUM(FILTER(K:K, H:H=""Tiền mặt""))
"),959000)</f>
        <v>959000</v>
      </c>
      <c r="N1537" s="6">
        <f ca="1">IFERROR(__xludf.DUMMYFUNCTION("SUM(FILTER(J:J, H:H=""Chuyển khoản"")) - SUM(FILTER(K:K, H:H=""Chuyển khoản""))
"),4468984)</f>
        <v>4468984</v>
      </c>
      <c r="O1537" s="5"/>
      <c r="P1537" s="5"/>
      <c r="Q1537" s="5"/>
      <c r="R1537" s="5"/>
      <c r="S1537" s="5"/>
    </row>
    <row r="1538" spans="1:19" ht="15.75" customHeight="1" x14ac:dyDescent="0.2">
      <c r="A1538" s="3"/>
      <c r="B1538" s="4" t="str">
        <f>IF(A1538="","","PC-"&amp;TEXT(A1538,"mm/yyyy")&amp;"-"&amp;TEXT(COUNTIFS($A$2:A1538,"&gt;="&amp;EOMONTH(A1538,-1)+1,$A$2:A1538,"&lt;="&amp;EOMONTH(A1538,0)),"000"))</f>
        <v/>
      </c>
      <c r="C1538" s="5"/>
      <c r="D1538" s="5"/>
      <c r="E1538" s="5"/>
      <c r="F1538" s="5"/>
      <c r="G1538" s="5"/>
      <c r="H1538" s="5"/>
      <c r="I1538" s="6"/>
      <c r="J1538" s="6">
        <f>IF(D1538="Thu",I1538,0)</f>
        <v>0</v>
      </c>
      <c r="K1538" s="6">
        <f>IF(D1538="Chi",I1538,0)</f>
        <v>0</v>
      </c>
      <c r="L1538" s="6">
        <f>L1537+J1538-K1538</f>
        <v>8050118</v>
      </c>
      <c r="M1538" s="6">
        <f ca="1">IFERROR(__xludf.DUMMYFUNCTION("SUM(FILTER(J:J, H:H=""Tiền mặt"")) - SUM(FILTER(K:K, H:H=""Tiền mặt""))
"),959000)</f>
        <v>959000</v>
      </c>
      <c r="N1538" s="6">
        <f ca="1">IFERROR(__xludf.DUMMYFUNCTION("SUM(FILTER(J:J, H:H=""Chuyển khoản"")) - SUM(FILTER(K:K, H:H=""Chuyển khoản""))
"),4468984)</f>
        <v>4468984</v>
      </c>
      <c r="O1538" s="5"/>
      <c r="P1538" s="5"/>
      <c r="Q1538" s="5"/>
      <c r="R1538" s="5"/>
      <c r="S1538" s="5"/>
    </row>
    <row r="1539" spans="1:19" ht="15.75" customHeight="1" x14ac:dyDescent="0.2">
      <c r="A1539" s="3"/>
      <c r="B1539" s="4" t="str">
        <f>IF(A1539="","","PC-"&amp;TEXT(A1539,"mm/yyyy")&amp;"-"&amp;TEXT(COUNTIFS($A$2:A1539,"&gt;="&amp;EOMONTH(A1539,-1)+1,$A$2:A1539,"&lt;="&amp;EOMONTH(A1539,0)),"000"))</f>
        <v/>
      </c>
      <c r="C1539" s="5"/>
      <c r="D1539" s="5"/>
      <c r="E1539" s="5"/>
      <c r="F1539" s="5"/>
      <c r="G1539" s="5"/>
      <c r="H1539" s="5"/>
      <c r="I1539" s="6"/>
      <c r="J1539" s="6">
        <f>IF(D1539="Thu",I1539,0)</f>
        <v>0</v>
      </c>
      <c r="K1539" s="6">
        <f>IF(D1539="Chi",I1539,0)</f>
        <v>0</v>
      </c>
      <c r="L1539" s="6">
        <f>L1538+J1539-K1539</f>
        <v>8050118</v>
      </c>
      <c r="M1539" s="6">
        <f ca="1">IFERROR(__xludf.DUMMYFUNCTION("SUM(FILTER(J:J, H:H=""Tiền mặt"")) - SUM(FILTER(K:K, H:H=""Tiền mặt""))
"),959000)</f>
        <v>959000</v>
      </c>
      <c r="N1539" s="6">
        <f ca="1">IFERROR(__xludf.DUMMYFUNCTION("SUM(FILTER(J:J, H:H=""Chuyển khoản"")) - SUM(FILTER(K:K, H:H=""Chuyển khoản""))
"),4468984)</f>
        <v>4468984</v>
      </c>
      <c r="O1539" s="5"/>
      <c r="P1539" s="5"/>
      <c r="Q1539" s="5"/>
      <c r="R1539" s="5"/>
      <c r="S1539" s="5"/>
    </row>
    <row r="1540" spans="1:19" ht="15.75" customHeight="1" x14ac:dyDescent="0.2">
      <c r="A1540" s="3"/>
      <c r="B1540" s="4" t="str">
        <f>IF(A1540="","","PC-"&amp;TEXT(A1540,"mm/yyyy")&amp;"-"&amp;TEXT(COUNTIFS($A$2:A1540,"&gt;="&amp;EOMONTH(A1540,-1)+1,$A$2:A1540,"&lt;="&amp;EOMONTH(A1540,0)),"000"))</f>
        <v/>
      </c>
      <c r="C1540" s="5"/>
      <c r="D1540" s="5"/>
      <c r="E1540" s="5"/>
      <c r="F1540" s="5"/>
      <c r="G1540" s="5"/>
      <c r="H1540" s="5"/>
      <c r="I1540" s="6"/>
      <c r="J1540" s="6">
        <f>IF(D1540="Thu",I1540,0)</f>
        <v>0</v>
      </c>
      <c r="K1540" s="6">
        <f>IF(D1540="Chi",I1540,0)</f>
        <v>0</v>
      </c>
      <c r="L1540" s="6">
        <f>L1539+J1540-K1540</f>
        <v>8050118</v>
      </c>
      <c r="M1540" s="6">
        <f ca="1">IFERROR(__xludf.DUMMYFUNCTION("SUM(FILTER(J:J, H:H=""Tiền mặt"")) - SUM(FILTER(K:K, H:H=""Tiền mặt""))
"),959000)</f>
        <v>959000</v>
      </c>
      <c r="N1540" s="6">
        <f ca="1">IFERROR(__xludf.DUMMYFUNCTION("SUM(FILTER(J:J, H:H=""Chuyển khoản"")) - SUM(FILTER(K:K, H:H=""Chuyển khoản""))
"),4468984)</f>
        <v>4468984</v>
      </c>
      <c r="O1540" s="5"/>
      <c r="P1540" s="5"/>
      <c r="Q1540" s="5"/>
      <c r="R1540" s="5"/>
      <c r="S1540" s="5"/>
    </row>
    <row r="1541" spans="1:19" ht="15.75" customHeight="1" x14ac:dyDescent="0.2">
      <c r="A1541" s="3"/>
      <c r="B1541" s="4" t="str">
        <f>IF(A1541="","","PC-"&amp;TEXT(A1541,"mm/yyyy")&amp;"-"&amp;TEXT(COUNTIFS($A$2:A1541,"&gt;="&amp;EOMONTH(A1541,-1)+1,$A$2:A1541,"&lt;="&amp;EOMONTH(A1541,0)),"000"))</f>
        <v/>
      </c>
      <c r="C1541" s="5"/>
      <c r="D1541" s="5"/>
      <c r="E1541" s="5"/>
      <c r="F1541" s="5"/>
      <c r="G1541" s="5"/>
      <c r="H1541" s="5"/>
      <c r="I1541" s="6"/>
      <c r="J1541" s="6">
        <f>IF(D1541="Thu",I1541,0)</f>
        <v>0</v>
      </c>
      <c r="K1541" s="6">
        <f>IF(D1541="Chi",I1541,0)</f>
        <v>0</v>
      </c>
      <c r="L1541" s="6">
        <f>L1540+J1541-K1541</f>
        <v>8050118</v>
      </c>
      <c r="M1541" s="6">
        <f ca="1">IFERROR(__xludf.DUMMYFUNCTION("SUM(FILTER(J:J, H:H=""Tiền mặt"")) - SUM(FILTER(K:K, H:H=""Tiền mặt""))
"),959000)</f>
        <v>959000</v>
      </c>
      <c r="N1541" s="6">
        <f ca="1">IFERROR(__xludf.DUMMYFUNCTION("SUM(FILTER(J:J, H:H=""Chuyển khoản"")) - SUM(FILTER(K:K, H:H=""Chuyển khoản""))
"),4468984)</f>
        <v>4468984</v>
      </c>
      <c r="O1541" s="5"/>
      <c r="P1541" s="5"/>
      <c r="Q1541" s="5"/>
      <c r="R1541" s="5"/>
      <c r="S1541" s="5"/>
    </row>
    <row r="1542" spans="1:19" ht="15.75" customHeight="1" x14ac:dyDescent="0.2">
      <c r="A1542" s="3"/>
      <c r="B1542" s="4" t="str">
        <f>IF(A1542="","","PC-"&amp;TEXT(A1542,"mm/yyyy")&amp;"-"&amp;TEXT(COUNTIFS($A$2:A1542,"&gt;="&amp;EOMONTH(A1542,-1)+1,$A$2:A1542,"&lt;="&amp;EOMONTH(A1542,0)),"000"))</f>
        <v/>
      </c>
      <c r="C1542" s="5"/>
      <c r="D1542" s="5"/>
      <c r="E1542" s="5"/>
      <c r="F1542" s="5"/>
      <c r="G1542" s="5"/>
      <c r="H1542" s="5"/>
      <c r="I1542" s="6"/>
      <c r="J1542" s="6">
        <f>IF(D1542="Thu",I1542,0)</f>
        <v>0</v>
      </c>
      <c r="K1542" s="6">
        <f>IF(D1542="Chi",I1542,0)</f>
        <v>0</v>
      </c>
      <c r="L1542" s="6">
        <f>L1541+J1542-K1542</f>
        <v>8050118</v>
      </c>
      <c r="M1542" s="6">
        <f ca="1">IFERROR(__xludf.DUMMYFUNCTION("SUM(FILTER(J:J, H:H=""Tiền mặt"")) - SUM(FILTER(K:K, H:H=""Tiền mặt""))
"),959000)</f>
        <v>959000</v>
      </c>
      <c r="N1542" s="6">
        <f ca="1">IFERROR(__xludf.DUMMYFUNCTION("SUM(FILTER(J:J, H:H=""Chuyển khoản"")) - SUM(FILTER(K:K, H:H=""Chuyển khoản""))
"),4468984)</f>
        <v>4468984</v>
      </c>
      <c r="O1542" s="5"/>
      <c r="P1542" s="5"/>
      <c r="Q1542" s="5"/>
      <c r="R1542" s="5"/>
      <c r="S1542" s="5"/>
    </row>
    <row r="1543" spans="1:19" ht="15.75" customHeight="1" x14ac:dyDescent="0.2">
      <c r="A1543" s="3"/>
      <c r="B1543" s="4" t="str">
        <f>IF(A1543="","","PC-"&amp;TEXT(A1543,"mm/yyyy")&amp;"-"&amp;TEXT(COUNTIFS($A$2:A1543,"&gt;="&amp;EOMONTH(A1543,-1)+1,$A$2:A1543,"&lt;="&amp;EOMONTH(A1543,0)),"000"))</f>
        <v/>
      </c>
      <c r="C1543" s="5"/>
      <c r="D1543" s="5"/>
      <c r="E1543" s="5"/>
      <c r="F1543" s="5"/>
      <c r="G1543" s="5"/>
      <c r="H1543" s="5"/>
      <c r="I1543" s="6"/>
      <c r="J1543" s="6">
        <f>IF(D1543="Thu",I1543,0)</f>
        <v>0</v>
      </c>
      <c r="K1543" s="6">
        <f>IF(D1543="Chi",I1543,0)</f>
        <v>0</v>
      </c>
      <c r="L1543" s="6">
        <f>L1542+J1543-K1543</f>
        <v>8050118</v>
      </c>
      <c r="M1543" s="6">
        <f ca="1">IFERROR(__xludf.DUMMYFUNCTION("SUM(FILTER(J:J, H:H=""Tiền mặt"")) - SUM(FILTER(K:K, H:H=""Tiền mặt""))
"),959000)</f>
        <v>959000</v>
      </c>
      <c r="N1543" s="6">
        <f ca="1">IFERROR(__xludf.DUMMYFUNCTION("SUM(FILTER(J:J, H:H=""Chuyển khoản"")) - SUM(FILTER(K:K, H:H=""Chuyển khoản""))
"),4468984)</f>
        <v>4468984</v>
      </c>
      <c r="O1543" s="5"/>
      <c r="P1543" s="5"/>
      <c r="Q1543" s="5"/>
      <c r="R1543" s="5"/>
      <c r="S1543" s="5"/>
    </row>
    <row r="1544" spans="1:19" ht="15.75" customHeight="1" x14ac:dyDescent="0.2">
      <c r="A1544" s="3"/>
      <c r="B1544" s="4" t="str">
        <f>IF(A1544="","","PC-"&amp;TEXT(A1544,"mm/yyyy")&amp;"-"&amp;TEXT(COUNTIFS($A$2:A1544,"&gt;="&amp;EOMONTH(A1544,-1)+1,$A$2:A1544,"&lt;="&amp;EOMONTH(A1544,0)),"000"))</f>
        <v/>
      </c>
      <c r="C1544" s="5"/>
      <c r="D1544" s="5"/>
      <c r="E1544" s="5"/>
      <c r="F1544" s="5"/>
      <c r="G1544" s="5"/>
      <c r="H1544" s="5"/>
      <c r="I1544" s="6"/>
      <c r="J1544" s="6">
        <f>IF(D1544="Thu",I1544,0)</f>
        <v>0</v>
      </c>
      <c r="K1544" s="6">
        <f>IF(D1544="Chi",I1544,0)</f>
        <v>0</v>
      </c>
      <c r="L1544" s="6">
        <f>L1543+J1544-K1544</f>
        <v>8050118</v>
      </c>
      <c r="M1544" s="6">
        <f ca="1">IFERROR(__xludf.DUMMYFUNCTION("SUM(FILTER(J:J, H:H=""Tiền mặt"")) - SUM(FILTER(K:K, H:H=""Tiền mặt""))
"),959000)</f>
        <v>959000</v>
      </c>
      <c r="N1544" s="6">
        <f ca="1">IFERROR(__xludf.DUMMYFUNCTION("SUM(FILTER(J:J, H:H=""Chuyển khoản"")) - SUM(FILTER(K:K, H:H=""Chuyển khoản""))
"),4468984)</f>
        <v>4468984</v>
      </c>
      <c r="O1544" s="5"/>
      <c r="P1544" s="5"/>
      <c r="Q1544" s="5"/>
      <c r="R1544" s="5"/>
      <c r="S1544" s="5"/>
    </row>
    <row r="1545" spans="1:19" ht="15.75" customHeight="1" x14ac:dyDescent="0.2">
      <c r="A1545" s="3"/>
      <c r="B1545" s="4" t="str">
        <f>IF(A1545="","","PC-"&amp;TEXT(A1545,"mm/yyyy")&amp;"-"&amp;TEXT(COUNTIFS($A$2:A1545,"&gt;="&amp;EOMONTH(A1545,-1)+1,$A$2:A1545,"&lt;="&amp;EOMONTH(A1545,0)),"000"))</f>
        <v/>
      </c>
      <c r="C1545" s="5"/>
      <c r="D1545" s="5"/>
      <c r="E1545" s="5"/>
      <c r="F1545" s="5"/>
      <c r="G1545" s="5"/>
      <c r="H1545" s="5"/>
      <c r="I1545" s="6"/>
      <c r="J1545" s="6">
        <f>IF(D1545="Thu",I1545,0)</f>
        <v>0</v>
      </c>
      <c r="K1545" s="6">
        <f>IF(D1545="Chi",I1545,0)</f>
        <v>0</v>
      </c>
      <c r="L1545" s="6">
        <f>L1544+J1545-K1545</f>
        <v>8050118</v>
      </c>
      <c r="M1545" s="6">
        <f ca="1">IFERROR(__xludf.DUMMYFUNCTION("SUM(FILTER(J:J, H:H=""Tiền mặt"")) - SUM(FILTER(K:K, H:H=""Tiền mặt""))
"),959000)</f>
        <v>959000</v>
      </c>
      <c r="N1545" s="6">
        <f ca="1">IFERROR(__xludf.DUMMYFUNCTION("SUM(FILTER(J:J, H:H=""Chuyển khoản"")) - SUM(FILTER(K:K, H:H=""Chuyển khoản""))
"),4468984)</f>
        <v>4468984</v>
      </c>
      <c r="O1545" s="5"/>
      <c r="P1545" s="5"/>
      <c r="Q1545" s="5"/>
      <c r="R1545" s="5"/>
      <c r="S1545" s="5"/>
    </row>
    <row r="1546" spans="1:19" ht="15.75" customHeight="1" x14ac:dyDescent="0.2">
      <c r="A1546" s="3"/>
      <c r="B1546" s="4" t="str">
        <f>IF(A1546="","","PC-"&amp;TEXT(A1546,"mm/yyyy")&amp;"-"&amp;TEXT(COUNTIFS($A$2:A1546,"&gt;="&amp;EOMONTH(A1546,-1)+1,$A$2:A1546,"&lt;="&amp;EOMONTH(A1546,0)),"000"))</f>
        <v/>
      </c>
      <c r="C1546" s="5"/>
      <c r="D1546" s="5"/>
      <c r="E1546" s="5"/>
      <c r="F1546" s="5"/>
      <c r="G1546" s="5"/>
      <c r="H1546" s="5"/>
      <c r="I1546" s="6"/>
      <c r="J1546" s="6">
        <f>IF(D1546="Thu",I1546,0)</f>
        <v>0</v>
      </c>
      <c r="K1546" s="6">
        <f>IF(D1546="Chi",I1546,0)</f>
        <v>0</v>
      </c>
      <c r="L1546" s="6">
        <f>L1545+J1546-K1546</f>
        <v>8050118</v>
      </c>
      <c r="M1546" s="6">
        <f ca="1">IFERROR(__xludf.DUMMYFUNCTION("SUM(FILTER(J:J, H:H=""Tiền mặt"")) - SUM(FILTER(K:K, H:H=""Tiền mặt""))
"),959000)</f>
        <v>959000</v>
      </c>
      <c r="N1546" s="6">
        <f ca="1">IFERROR(__xludf.DUMMYFUNCTION("SUM(FILTER(J:J, H:H=""Chuyển khoản"")) - SUM(FILTER(K:K, H:H=""Chuyển khoản""))
"),4468984)</f>
        <v>4468984</v>
      </c>
      <c r="O1546" s="5"/>
      <c r="P1546" s="5"/>
      <c r="Q1546" s="5"/>
      <c r="R1546" s="5"/>
      <c r="S1546" s="5"/>
    </row>
    <row r="1547" spans="1:19" ht="15.75" customHeight="1" x14ac:dyDescent="0.2">
      <c r="A1547" s="3"/>
      <c r="B1547" s="4" t="str">
        <f>IF(A1547="","","PC-"&amp;TEXT(A1547,"mm/yyyy")&amp;"-"&amp;TEXT(COUNTIFS($A$2:A1547,"&gt;="&amp;EOMONTH(A1547,-1)+1,$A$2:A1547,"&lt;="&amp;EOMONTH(A1547,0)),"000"))</f>
        <v/>
      </c>
      <c r="C1547" s="5"/>
      <c r="D1547" s="5"/>
      <c r="E1547" s="5"/>
      <c r="F1547" s="5"/>
      <c r="G1547" s="5"/>
      <c r="H1547" s="5"/>
      <c r="I1547" s="6"/>
      <c r="J1547" s="6">
        <f>IF(D1547="Thu",I1547,0)</f>
        <v>0</v>
      </c>
      <c r="K1547" s="6">
        <f>IF(D1547="Chi",I1547,0)</f>
        <v>0</v>
      </c>
      <c r="L1547" s="6">
        <f>L1546+J1547-K1547</f>
        <v>8050118</v>
      </c>
      <c r="M1547" s="6">
        <f ca="1">IFERROR(__xludf.DUMMYFUNCTION("SUM(FILTER(J:J, H:H=""Tiền mặt"")) - SUM(FILTER(K:K, H:H=""Tiền mặt""))
"),959000)</f>
        <v>959000</v>
      </c>
      <c r="N1547" s="6">
        <f ca="1">IFERROR(__xludf.DUMMYFUNCTION("SUM(FILTER(J:J, H:H=""Chuyển khoản"")) - SUM(FILTER(K:K, H:H=""Chuyển khoản""))
"),4468984)</f>
        <v>4468984</v>
      </c>
      <c r="O1547" s="5"/>
      <c r="P1547" s="5"/>
      <c r="Q1547" s="5"/>
      <c r="R1547" s="5"/>
      <c r="S1547" s="5"/>
    </row>
    <row r="1548" spans="1:19" ht="15.75" customHeight="1" x14ac:dyDescent="0.2">
      <c r="A1548" s="3"/>
      <c r="B1548" s="4" t="str">
        <f>IF(A1548="","","PC-"&amp;TEXT(A1548,"mm/yyyy")&amp;"-"&amp;TEXT(COUNTIFS($A$2:A1548,"&gt;="&amp;EOMONTH(A1548,-1)+1,$A$2:A1548,"&lt;="&amp;EOMONTH(A1548,0)),"000"))</f>
        <v/>
      </c>
      <c r="C1548" s="5"/>
      <c r="D1548" s="5"/>
      <c r="E1548" s="5"/>
      <c r="F1548" s="5"/>
      <c r="G1548" s="5"/>
      <c r="H1548" s="5"/>
      <c r="I1548" s="6"/>
      <c r="J1548" s="6">
        <f>IF(D1548="Thu",I1548,0)</f>
        <v>0</v>
      </c>
      <c r="K1548" s="6">
        <f>IF(D1548="Chi",I1548,0)</f>
        <v>0</v>
      </c>
      <c r="L1548" s="6">
        <f>L1547+J1548-K1548</f>
        <v>8050118</v>
      </c>
      <c r="M1548" s="6">
        <f ca="1">IFERROR(__xludf.DUMMYFUNCTION("SUM(FILTER(J:J, H:H=""Tiền mặt"")) - SUM(FILTER(K:K, H:H=""Tiền mặt""))
"),959000)</f>
        <v>959000</v>
      </c>
      <c r="N1548" s="6">
        <f ca="1">IFERROR(__xludf.DUMMYFUNCTION("SUM(FILTER(J:J, H:H=""Chuyển khoản"")) - SUM(FILTER(K:K, H:H=""Chuyển khoản""))
"),4468984)</f>
        <v>4468984</v>
      </c>
      <c r="O1548" s="5"/>
      <c r="P1548" s="5"/>
      <c r="Q1548" s="5"/>
      <c r="R1548" s="5"/>
      <c r="S1548" s="5"/>
    </row>
    <row r="1549" spans="1:19" ht="15.75" customHeight="1" x14ac:dyDescent="0.2">
      <c r="A1549" s="3"/>
      <c r="B1549" s="4" t="str">
        <f>IF(A1549="","","PC-"&amp;TEXT(A1549,"mm/yyyy")&amp;"-"&amp;TEXT(COUNTIFS($A$2:A1549,"&gt;="&amp;EOMONTH(A1549,-1)+1,$A$2:A1549,"&lt;="&amp;EOMONTH(A1549,0)),"000"))</f>
        <v/>
      </c>
      <c r="C1549" s="5"/>
      <c r="D1549" s="5"/>
      <c r="E1549" s="5"/>
      <c r="F1549" s="5"/>
      <c r="G1549" s="5"/>
      <c r="H1549" s="5"/>
      <c r="I1549" s="6"/>
      <c r="J1549" s="6">
        <f>IF(D1549="Thu",I1549,0)</f>
        <v>0</v>
      </c>
      <c r="K1549" s="6">
        <f>IF(D1549="Chi",I1549,0)</f>
        <v>0</v>
      </c>
      <c r="L1549" s="6">
        <f>L1548+J1549-K1549</f>
        <v>8050118</v>
      </c>
      <c r="M1549" s="6">
        <f ca="1">IFERROR(__xludf.DUMMYFUNCTION("SUM(FILTER(J:J, H:H=""Tiền mặt"")) - SUM(FILTER(K:K, H:H=""Tiền mặt""))
"),959000)</f>
        <v>959000</v>
      </c>
      <c r="N1549" s="6">
        <f ca="1">IFERROR(__xludf.DUMMYFUNCTION("SUM(FILTER(J:J, H:H=""Chuyển khoản"")) - SUM(FILTER(K:K, H:H=""Chuyển khoản""))
"),4468984)</f>
        <v>4468984</v>
      </c>
      <c r="O1549" s="5"/>
      <c r="P1549" s="5"/>
      <c r="Q1549" s="5"/>
      <c r="R1549" s="5"/>
      <c r="S1549" s="5"/>
    </row>
    <row r="1550" spans="1:19" ht="15.75" customHeight="1" x14ac:dyDescent="0.2">
      <c r="A1550" s="3"/>
      <c r="B1550" s="4" t="str">
        <f>IF(A1550="","","PC-"&amp;TEXT(A1550,"mm/yyyy")&amp;"-"&amp;TEXT(COUNTIFS($A$2:A1550,"&gt;="&amp;EOMONTH(A1550,-1)+1,$A$2:A1550,"&lt;="&amp;EOMONTH(A1550,0)),"000"))</f>
        <v/>
      </c>
      <c r="C1550" s="5"/>
      <c r="D1550" s="5"/>
      <c r="E1550" s="5"/>
      <c r="F1550" s="5"/>
      <c r="G1550" s="5"/>
      <c r="H1550" s="5"/>
      <c r="I1550" s="6"/>
      <c r="J1550" s="6">
        <f>IF(D1550="Thu",I1550,0)</f>
        <v>0</v>
      </c>
      <c r="K1550" s="6">
        <f>IF(D1550="Chi",I1550,0)</f>
        <v>0</v>
      </c>
      <c r="L1550" s="6">
        <f>L1549+J1550-K1550</f>
        <v>8050118</v>
      </c>
      <c r="M1550" s="6">
        <f ca="1">IFERROR(__xludf.DUMMYFUNCTION("SUM(FILTER(J:J, H:H=""Tiền mặt"")) - SUM(FILTER(K:K, H:H=""Tiền mặt""))
"),959000)</f>
        <v>959000</v>
      </c>
      <c r="N1550" s="6">
        <f ca="1">IFERROR(__xludf.DUMMYFUNCTION("SUM(FILTER(J:J, H:H=""Chuyển khoản"")) - SUM(FILTER(K:K, H:H=""Chuyển khoản""))
"),4468984)</f>
        <v>4468984</v>
      </c>
      <c r="O1550" s="5"/>
      <c r="P1550" s="5"/>
      <c r="Q1550" s="5"/>
      <c r="R1550" s="5"/>
      <c r="S1550" s="5"/>
    </row>
    <row r="1551" spans="1:19" ht="15.75" customHeight="1" x14ac:dyDescent="0.2">
      <c r="A1551" s="3"/>
      <c r="B1551" s="4" t="str">
        <f>IF(A1551="","","PC-"&amp;TEXT(A1551,"mm/yyyy")&amp;"-"&amp;TEXT(COUNTIFS($A$2:A1551,"&gt;="&amp;EOMONTH(A1551,-1)+1,$A$2:A1551,"&lt;="&amp;EOMONTH(A1551,0)),"000"))</f>
        <v/>
      </c>
      <c r="C1551" s="5"/>
      <c r="D1551" s="5"/>
      <c r="E1551" s="5"/>
      <c r="F1551" s="5"/>
      <c r="G1551" s="5"/>
      <c r="H1551" s="5"/>
      <c r="I1551" s="6"/>
      <c r="J1551" s="6">
        <f>IF(D1551="Thu",I1551,0)</f>
        <v>0</v>
      </c>
      <c r="K1551" s="6">
        <f>IF(D1551="Chi",I1551,0)</f>
        <v>0</v>
      </c>
      <c r="L1551" s="6">
        <f>L1550+J1551-K1551</f>
        <v>8050118</v>
      </c>
      <c r="M1551" s="6">
        <f ca="1">IFERROR(__xludf.DUMMYFUNCTION("SUM(FILTER(J:J, H:H=""Tiền mặt"")) - SUM(FILTER(K:K, H:H=""Tiền mặt""))
"),959000)</f>
        <v>959000</v>
      </c>
      <c r="N1551" s="6">
        <f ca="1">IFERROR(__xludf.DUMMYFUNCTION("SUM(FILTER(J:J, H:H=""Chuyển khoản"")) - SUM(FILTER(K:K, H:H=""Chuyển khoản""))
"),4468984)</f>
        <v>4468984</v>
      </c>
      <c r="O1551" s="5"/>
      <c r="P1551" s="5"/>
      <c r="Q1551" s="5"/>
      <c r="R1551" s="5"/>
      <c r="S1551" s="5"/>
    </row>
    <row r="1552" spans="1:19" ht="15.75" customHeight="1" x14ac:dyDescent="0.2">
      <c r="A1552" s="3"/>
      <c r="B1552" s="4" t="str">
        <f>IF(A1552="","","PC-"&amp;TEXT(A1552,"mm/yyyy")&amp;"-"&amp;TEXT(COUNTIFS($A$2:A1552,"&gt;="&amp;EOMONTH(A1552,-1)+1,$A$2:A1552,"&lt;="&amp;EOMONTH(A1552,0)),"000"))</f>
        <v/>
      </c>
      <c r="C1552" s="5"/>
      <c r="D1552" s="5"/>
      <c r="E1552" s="5"/>
      <c r="F1552" s="5"/>
      <c r="G1552" s="5"/>
      <c r="H1552" s="5"/>
      <c r="I1552" s="6"/>
      <c r="J1552" s="6">
        <f>IF(D1552="Thu",I1552,0)</f>
        <v>0</v>
      </c>
      <c r="K1552" s="6">
        <f>IF(D1552="Chi",I1552,0)</f>
        <v>0</v>
      </c>
      <c r="L1552" s="6">
        <f>L1551+J1552-K1552</f>
        <v>8050118</v>
      </c>
      <c r="M1552" s="6">
        <f ca="1">IFERROR(__xludf.DUMMYFUNCTION("SUM(FILTER(J:J, H:H=""Tiền mặt"")) - SUM(FILTER(K:K, H:H=""Tiền mặt""))
"),959000)</f>
        <v>959000</v>
      </c>
      <c r="N1552" s="6">
        <f ca="1">IFERROR(__xludf.DUMMYFUNCTION("SUM(FILTER(J:J, H:H=""Chuyển khoản"")) - SUM(FILTER(K:K, H:H=""Chuyển khoản""))
"),4468984)</f>
        <v>4468984</v>
      </c>
      <c r="O1552" s="5"/>
      <c r="P1552" s="5"/>
      <c r="Q1552" s="5"/>
      <c r="R1552" s="5"/>
      <c r="S1552" s="5"/>
    </row>
    <row r="1553" spans="1:19" ht="15.75" customHeight="1" x14ac:dyDescent="0.2">
      <c r="A1553" s="3"/>
      <c r="B1553" s="4" t="str">
        <f>IF(A1553="","","PC-"&amp;TEXT(A1553,"mm/yyyy")&amp;"-"&amp;TEXT(COUNTIFS($A$2:A1553,"&gt;="&amp;EOMONTH(A1553,-1)+1,$A$2:A1553,"&lt;="&amp;EOMONTH(A1553,0)),"000"))</f>
        <v/>
      </c>
      <c r="C1553" s="5"/>
      <c r="D1553" s="5"/>
      <c r="E1553" s="5"/>
      <c r="F1553" s="5"/>
      <c r="G1553" s="5"/>
      <c r="H1553" s="5"/>
      <c r="I1553" s="6"/>
      <c r="J1553" s="6">
        <f>IF(D1553="Thu",I1553,0)</f>
        <v>0</v>
      </c>
      <c r="K1553" s="6">
        <f>IF(D1553="Chi",I1553,0)</f>
        <v>0</v>
      </c>
      <c r="L1553" s="6">
        <f>L1552+J1553-K1553</f>
        <v>8050118</v>
      </c>
      <c r="M1553" s="6">
        <f ca="1">IFERROR(__xludf.DUMMYFUNCTION("SUM(FILTER(J:J, H:H=""Tiền mặt"")) - SUM(FILTER(K:K, H:H=""Tiền mặt""))
"),959000)</f>
        <v>959000</v>
      </c>
      <c r="N1553" s="6">
        <f ca="1">IFERROR(__xludf.DUMMYFUNCTION("SUM(FILTER(J:J, H:H=""Chuyển khoản"")) - SUM(FILTER(K:K, H:H=""Chuyển khoản""))
"),4468984)</f>
        <v>4468984</v>
      </c>
      <c r="O1553" s="5"/>
      <c r="P1553" s="5"/>
      <c r="Q1553" s="5"/>
      <c r="R1553" s="5"/>
      <c r="S1553" s="5"/>
    </row>
    <row r="1554" spans="1:19" ht="15.75" customHeight="1" x14ac:dyDescent="0.2">
      <c r="A1554" s="3"/>
      <c r="B1554" s="4" t="str">
        <f>IF(A1554="","","PC-"&amp;TEXT(A1554,"mm/yyyy")&amp;"-"&amp;TEXT(COUNTIFS($A$2:A1554,"&gt;="&amp;EOMONTH(A1554,-1)+1,$A$2:A1554,"&lt;="&amp;EOMONTH(A1554,0)),"000"))</f>
        <v/>
      </c>
      <c r="C1554" s="5"/>
      <c r="D1554" s="5"/>
      <c r="E1554" s="5"/>
      <c r="F1554" s="5"/>
      <c r="G1554" s="5"/>
      <c r="H1554" s="5"/>
      <c r="I1554" s="6"/>
      <c r="J1554" s="6">
        <f>IF(D1554="Thu",I1554,0)</f>
        <v>0</v>
      </c>
      <c r="K1554" s="6">
        <f>IF(D1554="Chi",I1554,0)</f>
        <v>0</v>
      </c>
      <c r="L1554" s="6">
        <f>L1553+J1554-K1554</f>
        <v>8050118</v>
      </c>
      <c r="M1554" s="6">
        <f ca="1">IFERROR(__xludf.DUMMYFUNCTION("SUM(FILTER(J:J, H:H=""Tiền mặt"")) - SUM(FILTER(K:K, H:H=""Tiền mặt""))
"),959000)</f>
        <v>959000</v>
      </c>
      <c r="N1554" s="6">
        <f ca="1">IFERROR(__xludf.DUMMYFUNCTION("SUM(FILTER(J:J, H:H=""Chuyển khoản"")) - SUM(FILTER(K:K, H:H=""Chuyển khoản""))
"),4468984)</f>
        <v>4468984</v>
      </c>
      <c r="O1554" s="5"/>
      <c r="P1554" s="5"/>
      <c r="Q1554" s="5"/>
      <c r="R1554" s="5"/>
      <c r="S1554" s="5"/>
    </row>
    <row r="1555" spans="1:19" ht="15.75" customHeight="1" x14ac:dyDescent="0.2">
      <c r="A1555" s="3"/>
      <c r="B1555" s="4" t="str">
        <f>IF(A1555="","","PC-"&amp;TEXT(A1555,"mm/yyyy")&amp;"-"&amp;TEXT(COUNTIFS($A$2:A1555,"&gt;="&amp;EOMONTH(A1555,-1)+1,$A$2:A1555,"&lt;="&amp;EOMONTH(A1555,0)),"000"))</f>
        <v/>
      </c>
      <c r="C1555" s="5"/>
      <c r="D1555" s="5"/>
      <c r="E1555" s="5"/>
      <c r="F1555" s="5"/>
      <c r="G1555" s="5"/>
      <c r="H1555" s="5"/>
      <c r="I1555" s="6"/>
      <c r="J1555" s="6">
        <f>IF(D1555="Thu",I1555,0)</f>
        <v>0</v>
      </c>
      <c r="K1555" s="6">
        <f>IF(D1555="Chi",I1555,0)</f>
        <v>0</v>
      </c>
      <c r="L1555" s="6">
        <f>L1554+J1555-K1555</f>
        <v>8050118</v>
      </c>
      <c r="M1555" s="6">
        <f ca="1">IFERROR(__xludf.DUMMYFUNCTION("SUM(FILTER(J:J, H:H=""Tiền mặt"")) - SUM(FILTER(K:K, H:H=""Tiền mặt""))
"),959000)</f>
        <v>959000</v>
      </c>
      <c r="N1555" s="6">
        <f ca="1">IFERROR(__xludf.DUMMYFUNCTION("SUM(FILTER(J:J, H:H=""Chuyển khoản"")) - SUM(FILTER(K:K, H:H=""Chuyển khoản""))
"),4468984)</f>
        <v>4468984</v>
      </c>
      <c r="O1555" s="5"/>
      <c r="P1555" s="5"/>
      <c r="Q1555" s="5"/>
      <c r="R1555" s="5"/>
      <c r="S1555" s="5"/>
    </row>
    <row r="1556" spans="1:19" ht="15.75" customHeight="1" x14ac:dyDescent="0.2">
      <c r="A1556" s="3"/>
      <c r="B1556" s="4" t="str">
        <f>IF(A1556="","","PC-"&amp;TEXT(A1556,"mm/yyyy")&amp;"-"&amp;TEXT(COUNTIFS($A$2:A1556,"&gt;="&amp;EOMONTH(A1556,-1)+1,$A$2:A1556,"&lt;="&amp;EOMONTH(A1556,0)),"000"))</f>
        <v/>
      </c>
      <c r="C1556" s="5"/>
      <c r="D1556" s="5"/>
      <c r="E1556" s="5"/>
      <c r="F1556" s="5"/>
      <c r="G1556" s="5"/>
      <c r="H1556" s="5"/>
      <c r="I1556" s="6"/>
      <c r="J1556" s="6">
        <f>IF(D1556="Thu",I1556,0)</f>
        <v>0</v>
      </c>
      <c r="K1556" s="6">
        <f>IF(D1556="Chi",I1556,0)</f>
        <v>0</v>
      </c>
      <c r="L1556" s="6">
        <f>L1555+J1556-K1556</f>
        <v>8050118</v>
      </c>
      <c r="M1556" s="6">
        <f ca="1">IFERROR(__xludf.DUMMYFUNCTION("SUM(FILTER(J:J, H:H=""Tiền mặt"")) - SUM(FILTER(K:K, H:H=""Tiền mặt""))
"),959000)</f>
        <v>959000</v>
      </c>
      <c r="N1556" s="6">
        <f ca="1">IFERROR(__xludf.DUMMYFUNCTION("SUM(FILTER(J:J, H:H=""Chuyển khoản"")) - SUM(FILTER(K:K, H:H=""Chuyển khoản""))
"),4468984)</f>
        <v>4468984</v>
      </c>
      <c r="O1556" s="5"/>
      <c r="P1556" s="5"/>
      <c r="Q1556" s="5"/>
      <c r="R1556" s="5"/>
      <c r="S1556" s="5"/>
    </row>
    <row r="1557" spans="1:19" ht="15.75" customHeight="1" x14ac:dyDescent="0.2">
      <c r="A1557" s="3"/>
      <c r="B1557" s="4" t="str">
        <f>IF(A1557="","","PC-"&amp;TEXT(A1557,"mm/yyyy")&amp;"-"&amp;TEXT(COUNTIFS($A$2:A1557,"&gt;="&amp;EOMONTH(A1557,-1)+1,$A$2:A1557,"&lt;="&amp;EOMONTH(A1557,0)),"000"))</f>
        <v/>
      </c>
      <c r="C1557" s="5"/>
      <c r="D1557" s="5"/>
      <c r="E1557" s="5"/>
      <c r="F1557" s="5"/>
      <c r="G1557" s="5"/>
      <c r="H1557" s="5"/>
      <c r="I1557" s="6"/>
      <c r="J1557" s="6">
        <f>IF(D1557="Thu",I1557,0)</f>
        <v>0</v>
      </c>
      <c r="K1557" s="6">
        <f>IF(D1557="Chi",I1557,0)</f>
        <v>0</v>
      </c>
      <c r="L1557" s="6">
        <f>L1556+J1557-K1557</f>
        <v>8050118</v>
      </c>
      <c r="M1557" s="6">
        <f ca="1">IFERROR(__xludf.DUMMYFUNCTION("SUM(FILTER(J:J, H:H=""Tiền mặt"")) - SUM(FILTER(K:K, H:H=""Tiền mặt""))
"),959000)</f>
        <v>959000</v>
      </c>
      <c r="N1557" s="6">
        <f ca="1">IFERROR(__xludf.DUMMYFUNCTION("SUM(FILTER(J:J, H:H=""Chuyển khoản"")) - SUM(FILTER(K:K, H:H=""Chuyển khoản""))
"),4468984)</f>
        <v>4468984</v>
      </c>
      <c r="O1557" s="5"/>
      <c r="P1557" s="5"/>
      <c r="Q1557" s="5"/>
      <c r="R1557" s="5"/>
      <c r="S1557" s="5"/>
    </row>
    <row r="1558" spans="1:19" ht="15.75" customHeight="1" x14ac:dyDescent="0.2">
      <c r="A1558" s="3"/>
      <c r="B1558" s="4" t="str">
        <f>IF(A1558="","","PC-"&amp;TEXT(A1558,"mm/yyyy")&amp;"-"&amp;TEXT(COUNTIFS($A$2:A1558,"&gt;="&amp;EOMONTH(A1558,-1)+1,$A$2:A1558,"&lt;="&amp;EOMONTH(A1558,0)),"000"))</f>
        <v/>
      </c>
      <c r="C1558" s="5"/>
      <c r="D1558" s="5"/>
      <c r="E1558" s="5"/>
      <c r="F1558" s="5"/>
      <c r="G1558" s="5"/>
      <c r="H1558" s="5"/>
      <c r="I1558" s="6"/>
      <c r="J1558" s="6">
        <f>IF(D1558="Thu",I1558,0)</f>
        <v>0</v>
      </c>
      <c r="K1558" s="6">
        <f>IF(D1558="Chi",I1558,0)</f>
        <v>0</v>
      </c>
      <c r="L1558" s="6">
        <f>L1557+J1558-K1558</f>
        <v>8050118</v>
      </c>
      <c r="M1558" s="6">
        <f ca="1">IFERROR(__xludf.DUMMYFUNCTION("SUM(FILTER(J:J, H:H=""Tiền mặt"")) - SUM(FILTER(K:K, H:H=""Tiền mặt""))
"),959000)</f>
        <v>959000</v>
      </c>
      <c r="N1558" s="6">
        <f ca="1">IFERROR(__xludf.DUMMYFUNCTION("SUM(FILTER(J:J, H:H=""Chuyển khoản"")) - SUM(FILTER(K:K, H:H=""Chuyển khoản""))
"),4468984)</f>
        <v>4468984</v>
      </c>
      <c r="O1558" s="5"/>
      <c r="P1558" s="5"/>
      <c r="Q1558" s="5"/>
      <c r="R1558" s="5"/>
      <c r="S1558" s="5"/>
    </row>
    <row r="1559" spans="1:19" ht="15.75" customHeight="1" x14ac:dyDescent="0.2">
      <c r="A1559" s="3"/>
      <c r="B1559" s="4" t="str">
        <f>IF(A1559="","","PC-"&amp;TEXT(A1559,"mm/yyyy")&amp;"-"&amp;TEXT(COUNTIFS($A$2:A1559,"&gt;="&amp;EOMONTH(A1559,-1)+1,$A$2:A1559,"&lt;="&amp;EOMONTH(A1559,0)),"000"))</f>
        <v/>
      </c>
      <c r="C1559" s="5"/>
      <c r="D1559" s="5"/>
      <c r="E1559" s="5"/>
      <c r="F1559" s="5"/>
      <c r="G1559" s="5"/>
      <c r="H1559" s="5"/>
      <c r="I1559" s="6"/>
      <c r="J1559" s="6">
        <f>IF(D1559="Thu",I1559,0)</f>
        <v>0</v>
      </c>
      <c r="K1559" s="6">
        <f>IF(D1559="Chi",I1559,0)</f>
        <v>0</v>
      </c>
      <c r="L1559" s="6">
        <f>L1558+J1559-K1559</f>
        <v>8050118</v>
      </c>
      <c r="M1559" s="6">
        <f ca="1">IFERROR(__xludf.DUMMYFUNCTION("SUM(FILTER(J:J, H:H=""Tiền mặt"")) - SUM(FILTER(K:K, H:H=""Tiền mặt""))
"),959000)</f>
        <v>959000</v>
      </c>
      <c r="N1559" s="6">
        <f ca="1">IFERROR(__xludf.DUMMYFUNCTION("SUM(FILTER(J:J, H:H=""Chuyển khoản"")) - SUM(FILTER(K:K, H:H=""Chuyển khoản""))
"),4468984)</f>
        <v>4468984</v>
      </c>
      <c r="O1559" s="5"/>
      <c r="P1559" s="5"/>
      <c r="Q1559" s="5"/>
      <c r="R1559" s="5"/>
      <c r="S1559" s="5"/>
    </row>
    <row r="1560" spans="1:19" ht="15.75" customHeight="1" x14ac:dyDescent="0.2">
      <c r="A1560" s="3"/>
      <c r="B1560" s="4" t="str">
        <f>IF(A1560="","","PC-"&amp;TEXT(A1560,"mm/yyyy")&amp;"-"&amp;TEXT(COUNTIFS($A$2:A1560,"&gt;="&amp;EOMONTH(A1560,-1)+1,$A$2:A1560,"&lt;="&amp;EOMONTH(A1560,0)),"000"))</f>
        <v/>
      </c>
      <c r="C1560" s="5"/>
      <c r="D1560" s="5"/>
      <c r="E1560" s="5"/>
      <c r="F1560" s="5"/>
      <c r="G1560" s="5"/>
      <c r="H1560" s="5"/>
      <c r="I1560" s="6"/>
      <c r="J1560" s="6">
        <f>IF(D1560="Thu",I1560,0)</f>
        <v>0</v>
      </c>
      <c r="K1560" s="6">
        <f>IF(D1560="Chi",I1560,0)</f>
        <v>0</v>
      </c>
      <c r="L1560" s="6">
        <f>L1559+J1560-K1560</f>
        <v>8050118</v>
      </c>
      <c r="M1560" s="6">
        <f ca="1">IFERROR(__xludf.DUMMYFUNCTION("SUM(FILTER(J:J, H:H=""Tiền mặt"")) - SUM(FILTER(K:K, H:H=""Tiền mặt""))
"),959000)</f>
        <v>959000</v>
      </c>
      <c r="N1560" s="6">
        <f ca="1">IFERROR(__xludf.DUMMYFUNCTION("SUM(FILTER(J:J, H:H=""Chuyển khoản"")) - SUM(FILTER(K:K, H:H=""Chuyển khoản""))
"),4468984)</f>
        <v>4468984</v>
      </c>
      <c r="O1560" s="5"/>
      <c r="P1560" s="5"/>
      <c r="Q1560" s="5"/>
      <c r="R1560" s="5"/>
      <c r="S1560" s="5"/>
    </row>
    <row r="1561" spans="1:19" ht="15.75" customHeight="1" x14ac:dyDescent="0.2">
      <c r="A1561" s="3"/>
      <c r="B1561" s="4" t="str">
        <f>IF(A1561="","","PC-"&amp;TEXT(A1561,"mm/yyyy")&amp;"-"&amp;TEXT(COUNTIFS($A$2:A1561,"&gt;="&amp;EOMONTH(A1561,-1)+1,$A$2:A1561,"&lt;="&amp;EOMONTH(A1561,0)),"000"))</f>
        <v/>
      </c>
      <c r="C1561" s="5"/>
      <c r="D1561" s="5"/>
      <c r="E1561" s="5"/>
      <c r="F1561" s="5"/>
      <c r="G1561" s="5"/>
      <c r="H1561" s="5"/>
      <c r="I1561" s="6"/>
      <c r="J1561" s="6">
        <f>IF(D1561="Thu",I1561,0)</f>
        <v>0</v>
      </c>
      <c r="K1561" s="6">
        <f>IF(D1561="Chi",I1561,0)</f>
        <v>0</v>
      </c>
      <c r="L1561" s="6">
        <f>L1560+J1561-K1561</f>
        <v>8050118</v>
      </c>
      <c r="M1561" s="6">
        <f ca="1">IFERROR(__xludf.DUMMYFUNCTION("SUM(FILTER(J:J, H:H=""Tiền mặt"")) - SUM(FILTER(K:K, H:H=""Tiền mặt""))
"),959000)</f>
        <v>959000</v>
      </c>
      <c r="N1561" s="6">
        <f ca="1">IFERROR(__xludf.DUMMYFUNCTION("SUM(FILTER(J:J, H:H=""Chuyển khoản"")) - SUM(FILTER(K:K, H:H=""Chuyển khoản""))
"),4468984)</f>
        <v>4468984</v>
      </c>
      <c r="O1561" s="5"/>
      <c r="P1561" s="5"/>
      <c r="Q1561" s="5"/>
      <c r="R1561" s="5"/>
      <c r="S1561" s="5"/>
    </row>
    <row r="1562" spans="1:19" ht="15.75" customHeight="1" x14ac:dyDescent="0.2">
      <c r="A1562" s="3"/>
      <c r="B1562" s="4" t="str">
        <f>IF(A1562="","","PC-"&amp;TEXT(A1562,"mm/yyyy")&amp;"-"&amp;TEXT(COUNTIFS($A$2:A1562,"&gt;="&amp;EOMONTH(A1562,-1)+1,$A$2:A1562,"&lt;="&amp;EOMONTH(A1562,0)),"000"))</f>
        <v/>
      </c>
      <c r="C1562" s="5"/>
      <c r="D1562" s="5"/>
      <c r="E1562" s="5"/>
      <c r="F1562" s="5"/>
      <c r="G1562" s="5"/>
      <c r="H1562" s="5"/>
      <c r="I1562" s="6"/>
      <c r="J1562" s="6">
        <f>IF(D1562="Thu",I1562,0)</f>
        <v>0</v>
      </c>
      <c r="K1562" s="6">
        <f>IF(D1562="Chi",I1562,0)</f>
        <v>0</v>
      </c>
      <c r="L1562" s="6">
        <f>L1561+J1562-K1562</f>
        <v>8050118</v>
      </c>
      <c r="M1562" s="6">
        <f ca="1">IFERROR(__xludf.DUMMYFUNCTION("SUM(FILTER(J:J, H:H=""Tiền mặt"")) - SUM(FILTER(K:K, H:H=""Tiền mặt""))
"),959000)</f>
        <v>959000</v>
      </c>
      <c r="N1562" s="6">
        <f ca="1">IFERROR(__xludf.DUMMYFUNCTION("SUM(FILTER(J:J, H:H=""Chuyển khoản"")) - SUM(FILTER(K:K, H:H=""Chuyển khoản""))
"),4468984)</f>
        <v>4468984</v>
      </c>
      <c r="O1562" s="5"/>
      <c r="P1562" s="5"/>
      <c r="Q1562" s="5"/>
      <c r="R1562" s="5"/>
      <c r="S1562" s="5"/>
    </row>
    <row r="1563" spans="1:19" ht="15.75" customHeight="1" x14ac:dyDescent="0.2">
      <c r="A1563" s="3"/>
      <c r="B1563" s="4" t="str">
        <f>IF(A1563="","","PC-"&amp;TEXT(A1563,"mm/yyyy")&amp;"-"&amp;TEXT(COUNTIFS($A$2:A1563,"&gt;="&amp;EOMONTH(A1563,-1)+1,$A$2:A1563,"&lt;="&amp;EOMONTH(A1563,0)),"000"))</f>
        <v/>
      </c>
      <c r="C1563" s="5"/>
      <c r="D1563" s="5"/>
      <c r="E1563" s="5"/>
      <c r="F1563" s="5"/>
      <c r="G1563" s="5"/>
      <c r="H1563" s="5"/>
      <c r="I1563" s="6"/>
      <c r="J1563" s="6">
        <f>IF(D1563="Thu",I1563,0)</f>
        <v>0</v>
      </c>
      <c r="K1563" s="6">
        <f>IF(D1563="Chi",I1563,0)</f>
        <v>0</v>
      </c>
      <c r="L1563" s="6">
        <f>L1562+J1563-K1563</f>
        <v>8050118</v>
      </c>
      <c r="M1563" s="6">
        <f ca="1">IFERROR(__xludf.DUMMYFUNCTION("SUM(FILTER(J:J, H:H=""Tiền mặt"")) - SUM(FILTER(K:K, H:H=""Tiền mặt""))
"),959000)</f>
        <v>959000</v>
      </c>
      <c r="N1563" s="6">
        <f ca="1">IFERROR(__xludf.DUMMYFUNCTION("SUM(FILTER(J:J, H:H=""Chuyển khoản"")) - SUM(FILTER(K:K, H:H=""Chuyển khoản""))
"),4468984)</f>
        <v>4468984</v>
      </c>
      <c r="O1563" s="5"/>
      <c r="P1563" s="5"/>
      <c r="Q1563" s="5"/>
      <c r="R1563" s="5"/>
      <c r="S1563" s="5"/>
    </row>
    <row r="1564" spans="1:19" ht="15.75" customHeight="1" x14ac:dyDescent="0.2">
      <c r="A1564" s="3"/>
      <c r="B1564" s="4" t="str">
        <f>IF(A1564="","","PC-"&amp;TEXT(A1564,"mm/yyyy")&amp;"-"&amp;TEXT(COUNTIFS($A$2:A1564,"&gt;="&amp;EOMONTH(A1564,-1)+1,$A$2:A1564,"&lt;="&amp;EOMONTH(A1564,0)),"000"))</f>
        <v/>
      </c>
      <c r="C1564" s="5"/>
      <c r="D1564" s="5"/>
      <c r="E1564" s="5"/>
      <c r="F1564" s="5"/>
      <c r="G1564" s="5"/>
      <c r="H1564" s="5"/>
      <c r="I1564" s="6"/>
      <c r="J1564" s="6">
        <f>IF(D1564="Thu",I1564,0)</f>
        <v>0</v>
      </c>
      <c r="K1564" s="6">
        <f>IF(D1564="Chi",I1564,0)</f>
        <v>0</v>
      </c>
      <c r="L1564" s="6">
        <f>L1563+J1564-K1564</f>
        <v>8050118</v>
      </c>
      <c r="M1564" s="6">
        <f ca="1">IFERROR(__xludf.DUMMYFUNCTION("SUM(FILTER(J:J, H:H=""Tiền mặt"")) - SUM(FILTER(K:K, H:H=""Tiền mặt""))
"),959000)</f>
        <v>959000</v>
      </c>
      <c r="N1564" s="6">
        <f ca="1">IFERROR(__xludf.DUMMYFUNCTION("SUM(FILTER(J:J, H:H=""Chuyển khoản"")) - SUM(FILTER(K:K, H:H=""Chuyển khoản""))
"),4468984)</f>
        <v>4468984</v>
      </c>
      <c r="O1564" s="5"/>
      <c r="P1564" s="5"/>
      <c r="Q1564" s="5"/>
      <c r="R1564" s="5"/>
      <c r="S1564" s="5"/>
    </row>
    <row r="1565" spans="1:19" ht="15.75" customHeight="1" x14ac:dyDescent="0.2">
      <c r="A1565" s="3"/>
      <c r="B1565" s="4" t="str">
        <f>IF(A1565="","","PC-"&amp;TEXT(A1565,"mm/yyyy")&amp;"-"&amp;TEXT(COUNTIFS($A$2:A1565,"&gt;="&amp;EOMONTH(A1565,-1)+1,$A$2:A1565,"&lt;="&amp;EOMONTH(A1565,0)),"000"))</f>
        <v/>
      </c>
      <c r="C1565" s="5"/>
      <c r="D1565" s="5"/>
      <c r="E1565" s="5"/>
      <c r="F1565" s="5"/>
      <c r="G1565" s="5"/>
      <c r="H1565" s="5"/>
      <c r="I1565" s="6"/>
      <c r="J1565" s="6">
        <f>IF(D1565="Thu",I1565,0)</f>
        <v>0</v>
      </c>
      <c r="K1565" s="6">
        <f>IF(D1565="Chi",I1565,0)</f>
        <v>0</v>
      </c>
      <c r="L1565" s="6">
        <f>L1564+J1565-K1565</f>
        <v>8050118</v>
      </c>
      <c r="M1565" s="6">
        <f ca="1">IFERROR(__xludf.DUMMYFUNCTION("SUM(FILTER(J:J, H:H=""Tiền mặt"")) - SUM(FILTER(K:K, H:H=""Tiền mặt""))
"),959000)</f>
        <v>959000</v>
      </c>
      <c r="N1565" s="6">
        <f ca="1">IFERROR(__xludf.DUMMYFUNCTION("SUM(FILTER(J:J, H:H=""Chuyển khoản"")) - SUM(FILTER(K:K, H:H=""Chuyển khoản""))
"),4468984)</f>
        <v>4468984</v>
      </c>
      <c r="O1565" s="5"/>
      <c r="P1565" s="5"/>
      <c r="Q1565" s="5"/>
      <c r="R1565" s="5"/>
      <c r="S1565" s="5"/>
    </row>
    <row r="1566" spans="1:19" ht="15.75" customHeight="1" x14ac:dyDescent="0.2">
      <c r="A1566" s="3"/>
      <c r="B1566" s="4" t="str">
        <f>IF(A1566="","","PC-"&amp;TEXT(A1566,"mm/yyyy")&amp;"-"&amp;TEXT(COUNTIFS($A$2:A1566,"&gt;="&amp;EOMONTH(A1566,-1)+1,$A$2:A1566,"&lt;="&amp;EOMONTH(A1566,0)),"000"))</f>
        <v/>
      </c>
      <c r="C1566" s="5"/>
      <c r="D1566" s="5"/>
      <c r="E1566" s="5"/>
      <c r="F1566" s="5"/>
      <c r="G1566" s="5"/>
      <c r="H1566" s="5"/>
      <c r="I1566" s="6"/>
      <c r="J1566" s="6">
        <f>IF(D1566="Thu",I1566,0)</f>
        <v>0</v>
      </c>
      <c r="K1566" s="6">
        <f>IF(D1566="Chi",I1566,0)</f>
        <v>0</v>
      </c>
      <c r="L1566" s="6">
        <f>L1565+J1566-K1566</f>
        <v>8050118</v>
      </c>
      <c r="M1566" s="6">
        <f ca="1">IFERROR(__xludf.DUMMYFUNCTION("SUM(FILTER(J:J, H:H=""Tiền mặt"")) - SUM(FILTER(K:K, H:H=""Tiền mặt""))
"),959000)</f>
        <v>959000</v>
      </c>
      <c r="N1566" s="6">
        <f ca="1">IFERROR(__xludf.DUMMYFUNCTION("SUM(FILTER(J:J, H:H=""Chuyển khoản"")) - SUM(FILTER(K:K, H:H=""Chuyển khoản""))
"),4468984)</f>
        <v>4468984</v>
      </c>
      <c r="O1566" s="5"/>
      <c r="P1566" s="5"/>
      <c r="Q1566" s="5"/>
      <c r="R1566" s="5"/>
      <c r="S1566" s="5"/>
    </row>
    <row r="1567" spans="1:19" ht="15.75" customHeight="1" x14ac:dyDescent="0.2">
      <c r="A1567" s="3"/>
      <c r="B1567" s="4" t="str">
        <f>IF(A1567="","","PC-"&amp;TEXT(A1567,"mm/yyyy")&amp;"-"&amp;TEXT(COUNTIFS($A$2:A1567,"&gt;="&amp;EOMONTH(A1567,-1)+1,$A$2:A1567,"&lt;="&amp;EOMONTH(A1567,0)),"000"))</f>
        <v/>
      </c>
      <c r="C1567" s="5"/>
      <c r="D1567" s="5"/>
      <c r="E1567" s="5"/>
      <c r="F1567" s="5"/>
      <c r="G1567" s="5"/>
      <c r="H1567" s="5"/>
      <c r="I1567" s="6"/>
      <c r="J1567" s="6">
        <f>IF(D1567="Thu",I1567,0)</f>
        <v>0</v>
      </c>
      <c r="K1567" s="6">
        <f>IF(D1567="Chi",I1567,0)</f>
        <v>0</v>
      </c>
      <c r="L1567" s="6">
        <f>L1566+J1567-K1567</f>
        <v>8050118</v>
      </c>
      <c r="M1567" s="6">
        <f ca="1">IFERROR(__xludf.DUMMYFUNCTION("SUM(FILTER(J:J, H:H=""Tiền mặt"")) - SUM(FILTER(K:K, H:H=""Tiền mặt""))
"),959000)</f>
        <v>959000</v>
      </c>
      <c r="N1567" s="6">
        <f ca="1">IFERROR(__xludf.DUMMYFUNCTION("SUM(FILTER(J:J, H:H=""Chuyển khoản"")) - SUM(FILTER(K:K, H:H=""Chuyển khoản""))
"),4468984)</f>
        <v>4468984</v>
      </c>
      <c r="O1567" s="5"/>
      <c r="P1567" s="5"/>
      <c r="Q1567" s="5"/>
      <c r="R1567" s="5"/>
      <c r="S1567" s="5"/>
    </row>
    <row r="1568" spans="1:19" ht="15.75" customHeight="1" x14ac:dyDescent="0.2">
      <c r="A1568" s="3"/>
      <c r="B1568" s="4" t="str">
        <f>IF(A1568="","","PC-"&amp;TEXT(A1568,"mm/yyyy")&amp;"-"&amp;TEXT(COUNTIFS($A$2:A1568,"&gt;="&amp;EOMONTH(A1568,-1)+1,$A$2:A1568,"&lt;="&amp;EOMONTH(A1568,0)),"000"))</f>
        <v/>
      </c>
      <c r="C1568" s="5"/>
      <c r="D1568" s="5"/>
      <c r="E1568" s="5"/>
      <c r="F1568" s="5"/>
      <c r="G1568" s="5"/>
      <c r="H1568" s="5"/>
      <c r="I1568" s="6"/>
      <c r="J1568" s="6">
        <f>IF(D1568="Thu",I1568,0)</f>
        <v>0</v>
      </c>
      <c r="K1568" s="6">
        <f>IF(D1568="Chi",I1568,0)</f>
        <v>0</v>
      </c>
      <c r="L1568" s="6">
        <f>L1567+J1568-K1568</f>
        <v>8050118</v>
      </c>
      <c r="M1568" s="6">
        <f ca="1">IFERROR(__xludf.DUMMYFUNCTION("SUM(FILTER(J:J, H:H=""Tiền mặt"")) - SUM(FILTER(K:K, H:H=""Tiền mặt""))
"),959000)</f>
        <v>959000</v>
      </c>
      <c r="N1568" s="6">
        <f ca="1">IFERROR(__xludf.DUMMYFUNCTION("SUM(FILTER(J:J, H:H=""Chuyển khoản"")) - SUM(FILTER(K:K, H:H=""Chuyển khoản""))
"),4468984)</f>
        <v>4468984</v>
      </c>
      <c r="O1568" s="5"/>
      <c r="P1568" s="5"/>
      <c r="Q1568" s="5"/>
      <c r="R1568" s="5"/>
      <c r="S1568" s="5"/>
    </row>
    <row r="1569" spans="1:19" ht="15.75" customHeight="1" x14ac:dyDescent="0.2">
      <c r="A1569" s="3"/>
      <c r="B1569" s="4" t="str">
        <f>IF(A1569="","","PC-"&amp;TEXT(A1569,"mm/yyyy")&amp;"-"&amp;TEXT(COUNTIFS($A$2:A1569,"&gt;="&amp;EOMONTH(A1569,-1)+1,$A$2:A1569,"&lt;="&amp;EOMONTH(A1569,0)),"000"))</f>
        <v/>
      </c>
      <c r="C1569" s="5"/>
      <c r="D1569" s="5"/>
      <c r="E1569" s="5"/>
      <c r="F1569" s="5"/>
      <c r="G1569" s="5"/>
      <c r="H1569" s="5"/>
      <c r="I1569" s="6"/>
      <c r="J1569" s="6">
        <f>IF(D1569="Thu",I1569,0)</f>
        <v>0</v>
      </c>
      <c r="K1569" s="6">
        <f>IF(D1569="Chi",I1569,0)</f>
        <v>0</v>
      </c>
      <c r="L1569" s="6">
        <f>L1568+J1569-K1569</f>
        <v>8050118</v>
      </c>
      <c r="M1569" s="6">
        <f ca="1">IFERROR(__xludf.DUMMYFUNCTION("SUM(FILTER(J:J, H:H=""Tiền mặt"")) - SUM(FILTER(K:K, H:H=""Tiền mặt""))
"),959000)</f>
        <v>959000</v>
      </c>
      <c r="N1569" s="6">
        <f ca="1">IFERROR(__xludf.DUMMYFUNCTION("SUM(FILTER(J:J, H:H=""Chuyển khoản"")) - SUM(FILTER(K:K, H:H=""Chuyển khoản""))
"),4468984)</f>
        <v>4468984</v>
      </c>
      <c r="O1569" s="5"/>
      <c r="P1569" s="5"/>
      <c r="Q1569" s="5"/>
      <c r="R1569" s="5"/>
      <c r="S1569" s="5"/>
    </row>
    <row r="1570" spans="1:19" ht="15.75" customHeight="1" x14ac:dyDescent="0.2">
      <c r="A1570" s="3"/>
      <c r="B1570" s="4" t="str">
        <f>IF(A1570="","","PC-"&amp;TEXT(A1570,"mm/yyyy")&amp;"-"&amp;TEXT(COUNTIFS($A$2:A1570,"&gt;="&amp;EOMONTH(A1570,-1)+1,$A$2:A1570,"&lt;="&amp;EOMONTH(A1570,0)),"000"))</f>
        <v/>
      </c>
      <c r="C1570" s="5"/>
      <c r="D1570" s="5"/>
      <c r="E1570" s="5"/>
      <c r="F1570" s="5"/>
      <c r="G1570" s="5"/>
      <c r="H1570" s="5"/>
      <c r="I1570" s="6"/>
      <c r="J1570" s="6">
        <f>IF(D1570="Thu",I1570,0)</f>
        <v>0</v>
      </c>
      <c r="K1570" s="6">
        <f>IF(D1570="Chi",I1570,0)</f>
        <v>0</v>
      </c>
      <c r="L1570" s="6">
        <f>L1569+J1570-K1570</f>
        <v>8050118</v>
      </c>
      <c r="M1570" s="6">
        <f ca="1">IFERROR(__xludf.DUMMYFUNCTION("SUM(FILTER(J:J, H:H=""Tiền mặt"")) - SUM(FILTER(K:K, H:H=""Tiền mặt""))
"),959000)</f>
        <v>959000</v>
      </c>
      <c r="N1570" s="6">
        <f ca="1">IFERROR(__xludf.DUMMYFUNCTION("SUM(FILTER(J:J, H:H=""Chuyển khoản"")) - SUM(FILTER(K:K, H:H=""Chuyển khoản""))
"),4468984)</f>
        <v>4468984</v>
      </c>
      <c r="O1570" s="5"/>
      <c r="P1570" s="5"/>
      <c r="Q1570" s="5"/>
      <c r="R1570" s="5"/>
      <c r="S1570" s="5"/>
    </row>
    <row r="1571" spans="1:19" ht="15.75" customHeight="1" x14ac:dyDescent="0.2">
      <c r="A1571" s="3"/>
      <c r="B1571" s="4" t="str">
        <f>IF(A1571="","","PC-"&amp;TEXT(A1571,"mm/yyyy")&amp;"-"&amp;TEXT(COUNTIFS($A$2:A1571,"&gt;="&amp;EOMONTH(A1571,-1)+1,$A$2:A1571,"&lt;="&amp;EOMONTH(A1571,0)),"000"))</f>
        <v/>
      </c>
      <c r="C1571" s="5"/>
      <c r="D1571" s="5"/>
      <c r="E1571" s="5"/>
      <c r="F1571" s="5"/>
      <c r="G1571" s="5"/>
      <c r="H1571" s="5"/>
      <c r="I1571" s="6"/>
      <c r="J1571" s="6">
        <f>IF(D1571="Thu",I1571,0)</f>
        <v>0</v>
      </c>
      <c r="K1571" s="6">
        <f>IF(D1571="Chi",I1571,0)</f>
        <v>0</v>
      </c>
      <c r="L1571" s="6">
        <f>L1570+J1571-K1571</f>
        <v>8050118</v>
      </c>
      <c r="M1571" s="6">
        <f ca="1">IFERROR(__xludf.DUMMYFUNCTION("SUM(FILTER(J:J, H:H=""Tiền mặt"")) - SUM(FILTER(K:K, H:H=""Tiền mặt""))
"),959000)</f>
        <v>959000</v>
      </c>
      <c r="N1571" s="6">
        <f ca="1">IFERROR(__xludf.DUMMYFUNCTION("SUM(FILTER(J:J, H:H=""Chuyển khoản"")) - SUM(FILTER(K:K, H:H=""Chuyển khoản""))
"),4468984)</f>
        <v>4468984</v>
      </c>
      <c r="O1571" s="5"/>
      <c r="P1571" s="5"/>
      <c r="Q1571" s="5"/>
      <c r="R1571" s="5"/>
      <c r="S1571" s="5"/>
    </row>
    <row r="1572" spans="1:19" ht="15.75" customHeight="1" x14ac:dyDescent="0.2">
      <c r="A1572" s="3"/>
      <c r="B1572" s="4" t="str">
        <f>IF(A1572="","","PC-"&amp;TEXT(A1572,"mm/yyyy")&amp;"-"&amp;TEXT(COUNTIFS($A$2:A1572,"&gt;="&amp;EOMONTH(A1572,-1)+1,$A$2:A1572,"&lt;="&amp;EOMONTH(A1572,0)),"000"))</f>
        <v/>
      </c>
      <c r="C1572" s="5"/>
      <c r="D1572" s="5"/>
      <c r="E1572" s="5"/>
      <c r="F1572" s="5"/>
      <c r="G1572" s="5"/>
      <c r="H1572" s="5"/>
      <c r="I1572" s="6"/>
      <c r="J1572" s="6">
        <f>IF(D1572="Thu",I1572,0)</f>
        <v>0</v>
      </c>
      <c r="K1572" s="6">
        <f>IF(D1572="Chi",I1572,0)</f>
        <v>0</v>
      </c>
      <c r="L1572" s="6">
        <f>L1571+J1572-K1572</f>
        <v>8050118</v>
      </c>
      <c r="M1572" s="6">
        <f ca="1">IFERROR(__xludf.DUMMYFUNCTION("SUM(FILTER(J:J, H:H=""Tiền mặt"")) - SUM(FILTER(K:K, H:H=""Tiền mặt""))
"),959000)</f>
        <v>959000</v>
      </c>
      <c r="N1572" s="6">
        <f ca="1">IFERROR(__xludf.DUMMYFUNCTION("SUM(FILTER(J:J, H:H=""Chuyển khoản"")) - SUM(FILTER(K:K, H:H=""Chuyển khoản""))
"),4468984)</f>
        <v>4468984</v>
      </c>
      <c r="O1572" s="5"/>
      <c r="P1572" s="5"/>
      <c r="Q1572" s="5"/>
      <c r="R1572" s="5"/>
      <c r="S1572" s="5"/>
    </row>
    <row r="1573" spans="1:19" ht="15.75" customHeight="1" x14ac:dyDescent="0.2">
      <c r="A1573" s="3"/>
      <c r="B1573" s="4" t="str">
        <f>IF(A1573="","","PC-"&amp;TEXT(A1573,"mm/yyyy")&amp;"-"&amp;TEXT(COUNTIFS($A$2:A1573,"&gt;="&amp;EOMONTH(A1573,-1)+1,$A$2:A1573,"&lt;="&amp;EOMONTH(A1573,0)),"000"))</f>
        <v/>
      </c>
      <c r="C1573" s="5"/>
      <c r="D1573" s="5"/>
      <c r="E1573" s="5"/>
      <c r="F1573" s="5"/>
      <c r="G1573" s="5"/>
      <c r="H1573" s="5"/>
      <c r="I1573" s="6"/>
      <c r="J1573" s="6">
        <f>IF(D1573="Thu",I1573,0)</f>
        <v>0</v>
      </c>
      <c r="K1573" s="6">
        <f>IF(D1573="Chi",I1573,0)</f>
        <v>0</v>
      </c>
      <c r="L1573" s="6">
        <f>L1572+J1573-K1573</f>
        <v>8050118</v>
      </c>
      <c r="M1573" s="6">
        <f ca="1">IFERROR(__xludf.DUMMYFUNCTION("SUM(FILTER(J:J, H:H=""Tiền mặt"")) - SUM(FILTER(K:K, H:H=""Tiền mặt""))
"),959000)</f>
        <v>959000</v>
      </c>
      <c r="N1573" s="6">
        <f ca="1">IFERROR(__xludf.DUMMYFUNCTION("SUM(FILTER(J:J, H:H=""Chuyển khoản"")) - SUM(FILTER(K:K, H:H=""Chuyển khoản""))
"),4468984)</f>
        <v>4468984</v>
      </c>
      <c r="O1573" s="5"/>
      <c r="P1573" s="5"/>
      <c r="Q1573" s="5"/>
      <c r="R1573" s="5"/>
      <c r="S1573" s="5"/>
    </row>
    <row r="1574" spans="1:19" ht="15.75" customHeight="1" x14ac:dyDescent="0.2">
      <c r="A1574" s="3"/>
      <c r="B1574" s="4" t="str">
        <f>IF(A1574="","","PC-"&amp;TEXT(A1574,"mm/yyyy")&amp;"-"&amp;TEXT(COUNTIFS($A$2:A1574,"&gt;="&amp;EOMONTH(A1574,-1)+1,$A$2:A1574,"&lt;="&amp;EOMONTH(A1574,0)),"000"))</f>
        <v/>
      </c>
      <c r="C1574" s="5"/>
      <c r="D1574" s="5"/>
      <c r="E1574" s="5"/>
      <c r="F1574" s="5"/>
      <c r="G1574" s="5"/>
      <c r="H1574" s="5"/>
      <c r="I1574" s="6"/>
      <c r="J1574" s="6">
        <f>IF(D1574="Thu",I1574,0)</f>
        <v>0</v>
      </c>
      <c r="K1574" s="6">
        <f>IF(D1574="Chi",I1574,0)</f>
        <v>0</v>
      </c>
      <c r="L1574" s="6">
        <f>L1573+J1574-K1574</f>
        <v>8050118</v>
      </c>
      <c r="M1574" s="6">
        <f ca="1">IFERROR(__xludf.DUMMYFUNCTION("SUM(FILTER(J:J, H:H=""Tiền mặt"")) - SUM(FILTER(K:K, H:H=""Tiền mặt""))
"),959000)</f>
        <v>959000</v>
      </c>
      <c r="N1574" s="6">
        <f ca="1">IFERROR(__xludf.DUMMYFUNCTION("SUM(FILTER(J:J, H:H=""Chuyển khoản"")) - SUM(FILTER(K:K, H:H=""Chuyển khoản""))
"),4468984)</f>
        <v>4468984</v>
      </c>
      <c r="O1574" s="5"/>
      <c r="P1574" s="5"/>
      <c r="Q1574" s="5"/>
      <c r="R1574" s="5"/>
      <c r="S1574" s="5"/>
    </row>
    <row r="1575" spans="1:19" ht="15.75" customHeight="1" x14ac:dyDescent="0.2">
      <c r="A1575" s="3"/>
      <c r="B1575" s="4" t="str">
        <f>IF(A1575="","","PC-"&amp;TEXT(A1575,"mm/yyyy")&amp;"-"&amp;TEXT(COUNTIFS($A$2:A1575,"&gt;="&amp;EOMONTH(A1575,-1)+1,$A$2:A1575,"&lt;="&amp;EOMONTH(A1575,0)),"000"))</f>
        <v/>
      </c>
      <c r="C1575" s="5"/>
      <c r="D1575" s="5"/>
      <c r="E1575" s="5"/>
      <c r="F1575" s="5"/>
      <c r="G1575" s="5"/>
      <c r="H1575" s="5"/>
      <c r="I1575" s="6"/>
      <c r="J1575" s="6">
        <f>IF(D1575="Thu",I1575,0)</f>
        <v>0</v>
      </c>
      <c r="K1575" s="6">
        <f>IF(D1575="Chi",I1575,0)</f>
        <v>0</v>
      </c>
      <c r="L1575" s="6">
        <f>L1574+J1575-K1575</f>
        <v>8050118</v>
      </c>
      <c r="M1575" s="6">
        <f ca="1">IFERROR(__xludf.DUMMYFUNCTION("SUM(FILTER(J:J, H:H=""Tiền mặt"")) - SUM(FILTER(K:K, H:H=""Tiền mặt""))
"),959000)</f>
        <v>959000</v>
      </c>
      <c r="N1575" s="6">
        <f ca="1">IFERROR(__xludf.DUMMYFUNCTION("SUM(FILTER(J:J, H:H=""Chuyển khoản"")) - SUM(FILTER(K:K, H:H=""Chuyển khoản""))
"),4468984)</f>
        <v>4468984</v>
      </c>
      <c r="O1575" s="5"/>
      <c r="P1575" s="5"/>
      <c r="Q1575" s="5"/>
      <c r="R1575" s="5"/>
      <c r="S1575" s="5"/>
    </row>
    <row r="1576" spans="1:19" ht="15.75" customHeight="1" x14ac:dyDescent="0.2">
      <c r="A1576" s="3"/>
      <c r="B1576" s="4" t="str">
        <f>IF(A1576="","","PC-"&amp;TEXT(A1576,"mm/yyyy")&amp;"-"&amp;TEXT(COUNTIFS($A$2:A1576,"&gt;="&amp;EOMONTH(A1576,-1)+1,$A$2:A1576,"&lt;="&amp;EOMONTH(A1576,0)),"000"))</f>
        <v/>
      </c>
      <c r="C1576" s="5"/>
      <c r="D1576" s="5"/>
      <c r="E1576" s="5"/>
      <c r="F1576" s="5"/>
      <c r="G1576" s="5"/>
      <c r="H1576" s="5"/>
      <c r="I1576" s="6"/>
      <c r="J1576" s="6">
        <f>IF(D1576="Thu",I1576,0)</f>
        <v>0</v>
      </c>
      <c r="K1576" s="6">
        <f>IF(D1576="Chi",I1576,0)</f>
        <v>0</v>
      </c>
      <c r="L1576" s="6">
        <f>L1575+J1576-K1576</f>
        <v>8050118</v>
      </c>
      <c r="M1576" s="6">
        <f ca="1">IFERROR(__xludf.DUMMYFUNCTION("SUM(FILTER(J:J, H:H=""Tiền mặt"")) - SUM(FILTER(K:K, H:H=""Tiền mặt""))
"),959000)</f>
        <v>959000</v>
      </c>
      <c r="N1576" s="6">
        <f ca="1">IFERROR(__xludf.DUMMYFUNCTION("SUM(FILTER(J:J, H:H=""Chuyển khoản"")) - SUM(FILTER(K:K, H:H=""Chuyển khoản""))
"),4468984)</f>
        <v>4468984</v>
      </c>
      <c r="O1576" s="5"/>
      <c r="P1576" s="5"/>
      <c r="Q1576" s="5"/>
      <c r="R1576" s="5"/>
      <c r="S1576" s="5"/>
    </row>
    <row r="1577" spans="1:19" ht="15.75" customHeight="1" x14ac:dyDescent="0.2">
      <c r="A1577" s="3"/>
      <c r="B1577" s="4" t="str">
        <f>IF(A1577="","","PC-"&amp;TEXT(A1577,"mm/yyyy")&amp;"-"&amp;TEXT(COUNTIFS($A$2:A1577,"&gt;="&amp;EOMONTH(A1577,-1)+1,$A$2:A1577,"&lt;="&amp;EOMONTH(A1577,0)),"000"))</f>
        <v/>
      </c>
      <c r="C1577" s="5"/>
      <c r="D1577" s="5"/>
      <c r="E1577" s="5"/>
      <c r="F1577" s="5"/>
      <c r="G1577" s="5"/>
      <c r="H1577" s="5"/>
      <c r="I1577" s="6"/>
      <c r="J1577" s="6">
        <f>IF(D1577="Thu",I1577,0)</f>
        <v>0</v>
      </c>
      <c r="K1577" s="6">
        <f>IF(D1577="Chi",I1577,0)</f>
        <v>0</v>
      </c>
      <c r="L1577" s="6">
        <f>L1576+J1577-K1577</f>
        <v>8050118</v>
      </c>
      <c r="M1577" s="6">
        <f ca="1">IFERROR(__xludf.DUMMYFUNCTION("SUM(FILTER(J:J, H:H=""Tiền mặt"")) - SUM(FILTER(K:K, H:H=""Tiền mặt""))
"),959000)</f>
        <v>959000</v>
      </c>
      <c r="N1577" s="6">
        <f ca="1">IFERROR(__xludf.DUMMYFUNCTION("SUM(FILTER(J:J, H:H=""Chuyển khoản"")) - SUM(FILTER(K:K, H:H=""Chuyển khoản""))
"),4468984)</f>
        <v>4468984</v>
      </c>
      <c r="O1577" s="5"/>
      <c r="P1577" s="5"/>
      <c r="Q1577" s="5"/>
      <c r="R1577" s="5"/>
      <c r="S1577" s="5"/>
    </row>
    <row r="1578" spans="1:19" ht="15.75" customHeight="1" x14ac:dyDescent="0.2">
      <c r="A1578" s="3"/>
      <c r="B1578" s="4" t="str">
        <f>IF(A1578="","","PC-"&amp;TEXT(A1578,"mm/yyyy")&amp;"-"&amp;TEXT(COUNTIFS($A$2:A1578,"&gt;="&amp;EOMONTH(A1578,-1)+1,$A$2:A1578,"&lt;="&amp;EOMONTH(A1578,0)),"000"))</f>
        <v/>
      </c>
      <c r="C1578" s="5"/>
      <c r="D1578" s="5"/>
      <c r="E1578" s="5"/>
      <c r="F1578" s="5"/>
      <c r="G1578" s="5"/>
      <c r="H1578" s="5"/>
      <c r="I1578" s="6"/>
      <c r="J1578" s="6">
        <f>IF(D1578="Thu",I1578,0)</f>
        <v>0</v>
      </c>
      <c r="K1578" s="6">
        <f>IF(D1578="Chi",I1578,0)</f>
        <v>0</v>
      </c>
      <c r="L1578" s="6">
        <f>L1577+J1578-K1578</f>
        <v>8050118</v>
      </c>
      <c r="M1578" s="6">
        <f ca="1">IFERROR(__xludf.DUMMYFUNCTION("SUM(FILTER(J:J, H:H=""Tiền mặt"")) - SUM(FILTER(K:K, H:H=""Tiền mặt""))
"),959000)</f>
        <v>959000</v>
      </c>
      <c r="N1578" s="6">
        <f ca="1">IFERROR(__xludf.DUMMYFUNCTION("SUM(FILTER(J:J, H:H=""Chuyển khoản"")) - SUM(FILTER(K:K, H:H=""Chuyển khoản""))
"),4468984)</f>
        <v>4468984</v>
      </c>
      <c r="O1578" s="5"/>
      <c r="P1578" s="5"/>
      <c r="Q1578" s="5"/>
      <c r="R1578" s="5"/>
      <c r="S1578" s="5"/>
    </row>
    <row r="1579" spans="1:19" ht="15.75" customHeight="1" x14ac:dyDescent="0.2">
      <c r="A1579" s="3"/>
      <c r="B1579" s="4" t="str">
        <f>IF(A1579="","","PC-"&amp;TEXT(A1579,"mm/yyyy")&amp;"-"&amp;TEXT(COUNTIFS($A$2:A1579,"&gt;="&amp;EOMONTH(A1579,-1)+1,$A$2:A1579,"&lt;="&amp;EOMONTH(A1579,0)),"000"))</f>
        <v/>
      </c>
      <c r="C1579" s="5"/>
      <c r="D1579" s="5"/>
      <c r="E1579" s="5"/>
      <c r="F1579" s="5"/>
      <c r="G1579" s="5"/>
      <c r="H1579" s="5"/>
      <c r="I1579" s="6"/>
      <c r="J1579" s="6">
        <f>IF(D1579="Thu",I1579,0)</f>
        <v>0</v>
      </c>
      <c r="K1579" s="6">
        <f>IF(D1579="Chi",I1579,0)</f>
        <v>0</v>
      </c>
      <c r="L1579" s="6">
        <f>L1578+J1579-K1579</f>
        <v>8050118</v>
      </c>
      <c r="M1579" s="6">
        <f ca="1">IFERROR(__xludf.DUMMYFUNCTION("SUM(FILTER(J:J, H:H=""Tiền mặt"")) - SUM(FILTER(K:K, H:H=""Tiền mặt""))
"),959000)</f>
        <v>959000</v>
      </c>
      <c r="N1579" s="6">
        <f ca="1">IFERROR(__xludf.DUMMYFUNCTION("SUM(FILTER(J:J, H:H=""Chuyển khoản"")) - SUM(FILTER(K:K, H:H=""Chuyển khoản""))
"),4468984)</f>
        <v>4468984</v>
      </c>
      <c r="O1579" s="5"/>
      <c r="P1579" s="5"/>
      <c r="Q1579" s="5"/>
      <c r="R1579" s="5"/>
      <c r="S1579" s="5"/>
    </row>
    <row r="1580" spans="1:19" ht="15.75" customHeight="1" x14ac:dyDescent="0.2">
      <c r="A1580" s="3"/>
      <c r="B1580" s="4" t="str">
        <f>IF(A1580="","","PC-"&amp;TEXT(A1580,"mm/yyyy")&amp;"-"&amp;TEXT(COUNTIFS($A$2:A1580,"&gt;="&amp;EOMONTH(A1580,-1)+1,$A$2:A1580,"&lt;="&amp;EOMONTH(A1580,0)),"000"))</f>
        <v/>
      </c>
      <c r="C1580" s="5"/>
      <c r="D1580" s="5"/>
      <c r="E1580" s="5"/>
      <c r="F1580" s="5"/>
      <c r="G1580" s="5"/>
      <c r="H1580" s="5"/>
      <c r="I1580" s="6"/>
      <c r="J1580" s="6">
        <f>IF(D1580="Thu",I1580,0)</f>
        <v>0</v>
      </c>
      <c r="K1580" s="6">
        <f>IF(D1580="Chi",I1580,0)</f>
        <v>0</v>
      </c>
      <c r="L1580" s="6">
        <f>L1579+J1580-K1580</f>
        <v>8050118</v>
      </c>
      <c r="M1580" s="6">
        <f ca="1">IFERROR(__xludf.DUMMYFUNCTION("SUM(FILTER(J:J, H:H=""Tiền mặt"")) - SUM(FILTER(K:K, H:H=""Tiền mặt""))
"),959000)</f>
        <v>959000</v>
      </c>
      <c r="N1580" s="6">
        <f ca="1">IFERROR(__xludf.DUMMYFUNCTION("SUM(FILTER(J:J, H:H=""Chuyển khoản"")) - SUM(FILTER(K:K, H:H=""Chuyển khoản""))
"),4468984)</f>
        <v>4468984</v>
      </c>
      <c r="O1580" s="5"/>
      <c r="P1580" s="5"/>
      <c r="Q1580" s="5"/>
      <c r="R1580" s="5"/>
      <c r="S1580" s="5"/>
    </row>
    <row r="1581" spans="1:19" ht="15.75" customHeight="1" x14ac:dyDescent="0.2">
      <c r="A1581" s="3"/>
      <c r="B1581" s="4" t="str">
        <f>IF(A1581="","","PC-"&amp;TEXT(A1581,"mm/yyyy")&amp;"-"&amp;TEXT(COUNTIFS($A$2:A1581,"&gt;="&amp;EOMONTH(A1581,-1)+1,$A$2:A1581,"&lt;="&amp;EOMONTH(A1581,0)),"000"))</f>
        <v/>
      </c>
      <c r="C1581" s="5"/>
      <c r="D1581" s="5"/>
      <c r="E1581" s="5"/>
      <c r="F1581" s="5"/>
      <c r="G1581" s="5"/>
      <c r="H1581" s="5"/>
      <c r="I1581" s="6"/>
      <c r="J1581" s="6">
        <f>IF(D1581="Thu",I1581,0)</f>
        <v>0</v>
      </c>
      <c r="K1581" s="6">
        <f>IF(D1581="Chi",I1581,0)</f>
        <v>0</v>
      </c>
      <c r="L1581" s="6">
        <f>L1580+J1581-K1581</f>
        <v>8050118</v>
      </c>
      <c r="M1581" s="6">
        <f ca="1">IFERROR(__xludf.DUMMYFUNCTION("SUM(FILTER(J:J, H:H=""Tiền mặt"")) - SUM(FILTER(K:K, H:H=""Tiền mặt""))
"),959000)</f>
        <v>959000</v>
      </c>
      <c r="N1581" s="6">
        <f ca="1">IFERROR(__xludf.DUMMYFUNCTION("SUM(FILTER(J:J, H:H=""Chuyển khoản"")) - SUM(FILTER(K:K, H:H=""Chuyển khoản""))
"),4468984)</f>
        <v>4468984</v>
      </c>
      <c r="O1581" s="5"/>
      <c r="P1581" s="5"/>
      <c r="Q1581" s="5"/>
      <c r="R1581" s="5"/>
      <c r="S1581" s="5"/>
    </row>
    <row r="1582" spans="1:19" ht="15.75" customHeight="1" x14ac:dyDescent="0.2">
      <c r="A1582" s="3"/>
      <c r="B1582" s="4" t="str">
        <f>IF(A1582="","","PC-"&amp;TEXT(A1582,"mm/yyyy")&amp;"-"&amp;TEXT(COUNTIFS($A$2:A1582,"&gt;="&amp;EOMONTH(A1582,-1)+1,$A$2:A1582,"&lt;="&amp;EOMONTH(A1582,0)),"000"))</f>
        <v/>
      </c>
      <c r="C1582" s="5"/>
      <c r="D1582" s="5"/>
      <c r="E1582" s="5"/>
      <c r="F1582" s="5"/>
      <c r="G1582" s="5"/>
      <c r="H1582" s="5"/>
      <c r="I1582" s="6"/>
      <c r="J1582" s="6">
        <f>IF(D1582="Thu",I1582,0)</f>
        <v>0</v>
      </c>
      <c r="K1582" s="6">
        <f>IF(D1582="Chi",I1582,0)</f>
        <v>0</v>
      </c>
      <c r="L1582" s="6">
        <f>L1581+J1582-K1582</f>
        <v>8050118</v>
      </c>
      <c r="M1582" s="6">
        <f ca="1">IFERROR(__xludf.DUMMYFUNCTION("SUM(FILTER(J:J, H:H=""Tiền mặt"")) - SUM(FILTER(K:K, H:H=""Tiền mặt""))
"),959000)</f>
        <v>959000</v>
      </c>
      <c r="N1582" s="6">
        <f ca="1">IFERROR(__xludf.DUMMYFUNCTION("SUM(FILTER(J:J, H:H=""Chuyển khoản"")) - SUM(FILTER(K:K, H:H=""Chuyển khoản""))
"),4468984)</f>
        <v>4468984</v>
      </c>
      <c r="O1582" s="5"/>
      <c r="P1582" s="5"/>
      <c r="Q1582" s="5"/>
      <c r="R1582" s="5"/>
      <c r="S1582" s="5"/>
    </row>
    <row r="1583" spans="1:19" ht="15.75" customHeight="1" x14ac:dyDescent="0.2">
      <c r="A1583" s="3"/>
      <c r="B1583" s="4" t="str">
        <f>IF(A1583="","","PC-"&amp;TEXT(A1583,"mm/yyyy")&amp;"-"&amp;TEXT(COUNTIFS($A$2:A1583,"&gt;="&amp;EOMONTH(A1583,-1)+1,$A$2:A1583,"&lt;="&amp;EOMONTH(A1583,0)),"000"))</f>
        <v/>
      </c>
      <c r="C1583" s="5"/>
      <c r="D1583" s="5"/>
      <c r="E1583" s="5"/>
      <c r="F1583" s="5"/>
      <c r="G1583" s="5"/>
      <c r="H1583" s="5"/>
      <c r="I1583" s="6"/>
      <c r="J1583" s="6">
        <f>IF(D1583="Thu",I1583,0)</f>
        <v>0</v>
      </c>
      <c r="K1583" s="6">
        <f>IF(D1583="Chi",I1583,0)</f>
        <v>0</v>
      </c>
      <c r="L1583" s="6">
        <f>L1582+J1583-K1583</f>
        <v>8050118</v>
      </c>
      <c r="M1583" s="6">
        <f ca="1">IFERROR(__xludf.DUMMYFUNCTION("SUM(FILTER(J:J, H:H=""Tiền mặt"")) - SUM(FILTER(K:K, H:H=""Tiền mặt""))
"),959000)</f>
        <v>959000</v>
      </c>
      <c r="N1583" s="6">
        <f ca="1">IFERROR(__xludf.DUMMYFUNCTION("SUM(FILTER(J:J, H:H=""Chuyển khoản"")) - SUM(FILTER(K:K, H:H=""Chuyển khoản""))
"),4468984)</f>
        <v>4468984</v>
      </c>
      <c r="O1583" s="5"/>
      <c r="P1583" s="5"/>
      <c r="Q1583" s="5"/>
      <c r="R1583" s="5"/>
      <c r="S1583" s="5"/>
    </row>
    <row r="1584" spans="1:19" ht="15.75" customHeight="1" x14ac:dyDescent="0.2">
      <c r="A1584" s="3"/>
      <c r="B1584" s="4" t="str">
        <f>IF(A1584="","","PC-"&amp;TEXT(A1584,"mm/yyyy")&amp;"-"&amp;TEXT(COUNTIFS($A$2:A1584,"&gt;="&amp;EOMONTH(A1584,-1)+1,$A$2:A1584,"&lt;="&amp;EOMONTH(A1584,0)),"000"))</f>
        <v/>
      </c>
      <c r="C1584" s="5"/>
      <c r="D1584" s="5"/>
      <c r="E1584" s="5"/>
      <c r="F1584" s="5"/>
      <c r="G1584" s="5"/>
      <c r="H1584" s="5"/>
      <c r="I1584" s="6"/>
      <c r="J1584" s="6">
        <f>IF(D1584="Thu",I1584,0)</f>
        <v>0</v>
      </c>
      <c r="K1584" s="6">
        <f>IF(D1584="Chi",I1584,0)</f>
        <v>0</v>
      </c>
      <c r="L1584" s="6">
        <f>L1583+J1584-K1584</f>
        <v>8050118</v>
      </c>
      <c r="M1584" s="6">
        <f ca="1">IFERROR(__xludf.DUMMYFUNCTION("SUM(FILTER(J:J, H:H=""Tiền mặt"")) - SUM(FILTER(K:K, H:H=""Tiền mặt""))
"),959000)</f>
        <v>959000</v>
      </c>
      <c r="N1584" s="6">
        <f ca="1">IFERROR(__xludf.DUMMYFUNCTION("SUM(FILTER(J:J, H:H=""Chuyển khoản"")) - SUM(FILTER(K:K, H:H=""Chuyển khoản""))
"),4468984)</f>
        <v>4468984</v>
      </c>
      <c r="O1584" s="5"/>
      <c r="P1584" s="5"/>
      <c r="Q1584" s="5"/>
      <c r="R1584" s="5"/>
      <c r="S1584" s="5"/>
    </row>
    <row r="1585" spans="1:19" ht="15.75" customHeight="1" x14ac:dyDescent="0.2">
      <c r="A1585" s="3"/>
      <c r="B1585" s="4" t="str">
        <f>IF(A1585="","","PC-"&amp;TEXT(A1585,"mm/yyyy")&amp;"-"&amp;TEXT(COUNTIFS($A$2:A1585,"&gt;="&amp;EOMONTH(A1585,-1)+1,$A$2:A1585,"&lt;="&amp;EOMONTH(A1585,0)),"000"))</f>
        <v/>
      </c>
      <c r="C1585" s="5"/>
      <c r="D1585" s="5"/>
      <c r="E1585" s="5"/>
      <c r="F1585" s="5"/>
      <c r="G1585" s="5"/>
      <c r="H1585" s="5"/>
      <c r="I1585" s="6"/>
      <c r="J1585" s="6">
        <f>IF(D1585="Thu",I1585,0)</f>
        <v>0</v>
      </c>
      <c r="K1585" s="6">
        <f>IF(D1585="Chi",I1585,0)</f>
        <v>0</v>
      </c>
      <c r="L1585" s="6">
        <f>L1584+J1585-K1585</f>
        <v>8050118</v>
      </c>
      <c r="M1585" s="6">
        <f ca="1">IFERROR(__xludf.DUMMYFUNCTION("SUM(FILTER(J:J, H:H=""Tiền mặt"")) - SUM(FILTER(K:K, H:H=""Tiền mặt""))
"),959000)</f>
        <v>959000</v>
      </c>
      <c r="N1585" s="6">
        <f ca="1">IFERROR(__xludf.DUMMYFUNCTION("SUM(FILTER(J:J, H:H=""Chuyển khoản"")) - SUM(FILTER(K:K, H:H=""Chuyển khoản""))
"),4468984)</f>
        <v>4468984</v>
      </c>
      <c r="O1585" s="5"/>
      <c r="P1585" s="5"/>
      <c r="Q1585" s="5"/>
      <c r="R1585" s="5"/>
      <c r="S1585" s="5"/>
    </row>
    <row r="1586" spans="1:19" ht="15.75" customHeight="1" x14ac:dyDescent="0.2">
      <c r="A1586" s="3"/>
      <c r="B1586" s="4" t="str">
        <f>IF(A1586="","","PC-"&amp;TEXT(A1586,"mm/yyyy")&amp;"-"&amp;TEXT(COUNTIFS($A$2:A1586,"&gt;="&amp;EOMONTH(A1586,-1)+1,$A$2:A1586,"&lt;="&amp;EOMONTH(A1586,0)),"000"))</f>
        <v/>
      </c>
      <c r="C1586" s="5"/>
      <c r="D1586" s="5"/>
      <c r="E1586" s="5"/>
      <c r="F1586" s="5"/>
      <c r="G1586" s="5"/>
      <c r="H1586" s="5"/>
      <c r="I1586" s="6"/>
      <c r="J1586" s="6">
        <f>IF(D1586="Thu",I1586,0)</f>
        <v>0</v>
      </c>
      <c r="K1586" s="6">
        <f>IF(D1586="Chi",I1586,0)</f>
        <v>0</v>
      </c>
      <c r="L1586" s="6">
        <f>L1585+J1586-K1586</f>
        <v>8050118</v>
      </c>
      <c r="M1586" s="6">
        <f ca="1">IFERROR(__xludf.DUMMYFUNCTION("SUM(FILTER(J:J, H:H=""Tiền mặt"")) - SUM(FILTER(K:K, H:H=""Tiền mặt""))
"),959000)</f>
        <v>959000</v>
      </c>
      <c r="N1586" s="6">
        <f ca="1">IFERROR(__xludf.DUMMYFUNCTION("SUM(FILTER(J:J, H:H=""Chuyển khoản"")) - SUM(FILTER(K:K, H:H=""Chuyển khoản""))
"),4468984)</f>
        <v>4468984</v>
      </c>
      <c r="O1586" s="5"/>
      <c r="P1586" s="5"/>
      <c r="Q1586" s="5"/>
      <c r="R1586" s="5"/>
      <c r="S1586" s="5"/>
    </row>
    <row r="1587" spans="1:19" ht="15.75" customHeight="1" x14ac:dyDescent="0.2">
      <c r="A1587" s="3"/>
      <c r="B1587" s="4" t="str">
        <f>IF(A1587="","","PC-"&amp;TEXT(A1587,"mm/yyyy")&amp;"-"&amp;TEXT(COUNTIFS($A$2:A1587,"&gt;="&amp;EOMONTH(A1587,-1)+1,$A$2:A1587,"&lt;="&amp;EOMONTH(A1587,0)),"000"))</f>
        <v/>
      </c>
      <c r="C1587" s="5"/>
      <c r="D1587" s="5"/>
      <c r="E1587" s="5"/>
      <c r="F1587" s="5"/>
      <c r="G1587" s="5"/>
      <c r="H1587" s="5"/>
      <c r="I1587" s="6"/>
      <c r="J1587" s="6">
        <f>IF(D1587="Thu",I1587,0)</f>
        <v>0</v>
      </c>
      <c r="K1587" s="6">
        <f>IF(D1587="Chi",I1587,0)</f>
        <v>0</v>
      </c>
      <c r="L1587" s="6">
        <f>L1586+J1587-K1587</f>
        <v>8050118</v>
      </c>
      <c r="M1587" s="6">
        <f ca="1">IFERROR(__xludf.DUMMYFUNCTION("SUM(FILTER(J:J, H:H=""Tiền mặt"")) - SUM(FILTER(K:K, H:H=""Tiền mặt""))
"),959000)</f>
        <v>959000</v>
      </c>
      <c r="N1587" s="6">
        <f ca="1">IFERROR(__xludf.DUMMYFUNCTION("SUM(FILTER(J:J, H:H=""Chuyển khoản"")) - SUM(FILTER(K:K, H:H=""Chuyển khoản""))
"),4468984)</f>
        <v>4468984</v>
      </c>
      <c r="O1587" s="5"/>
      <c r="P1587" s="5"/>
      <c r="Q1587" s="5"/>
      <c r="R1587" s="5"/>
      <c r="S1587" s="5"/>
    </row>
    <row r="1588" spans="1:19" ht="15.75" customHeight="1" x14ac:dyDescent="0.2">
      <c r="A1588" s="3"/>
      <c r="B1588" s="4" t="str">
        <f>IF(A1588="","","PC-"&amp;TEXT(A1588,"mm/yyyy")&amp;"-"&amp;TEXT(COUNTIFS($A$2:A1588,"&gt;="&amp;EOMONTH(A1588,-1)+1,$A$2:A1588,"&lt;="&amp;EOMONTH(A1588,0)),"000"))</f>
        <v/>
      </c>
      <c r="C1588" s="5"/>
      <c r="D1588" s="5"/>
      <c r="E1588" s="5"/>
      <c r="F1588" s="5"/>
      <c r="G1588" s="5"/>
      <c r="H1588" s="5"/>
      <c r="I1588" s="6"/>
      <c r="J1588" s="6">
        <f>IF(D1588="Thu",I1588,0)</f>
        <v>0</v>
      </c>
      <c r="K1588" s="6">
        <f>IF(D1588="Chi",I1588,0)</f>
        <v>0</v>
      </c>
      <c r="L1588" s="6">
        <f>L1587+J1588-K1588</f>
        <v>8050118</v>
      </c>
      <c r="M1588" s="6">
        <f ca="1">IFERROR(__xludf.DUMMYFUNCTION("SUM(FILTER(J:J, H:H=""Tiền mặt"")) - SUM(FILTER(K:K, H:H=""Tiền mặt""))
"),959000)</f>
        <v>959000</v>
      </c>
      <c r="N1588" s="6">
        <f ca="1">IFERROR(__xludf.DUMMYFUNCTION("SUM(FILTER(J:J, H:H=""Chuyển khoản"")) - SUM(FILTER(K:K, H:H=""Chuyển khoản""))
"),4468984)</f>
        <v>4468984</v>
      </c>
      <c r="O1588" s="5"/>
      <c r="P1588" s="5"/>
      <c r="Q1588" s="5"/>
      <c r="R1588" s="5"/>
      <c r="S1588" s="5"/>
    </row>
    <row r="1589" spans="1:19" ht="15.75" customHeight="1" x14ac:dyDescent="0.2">
      <c r="A1589" s="3"/>
      <c r="B1589" s="4" t="str">
        <f>IF(A1589="","","PC-"&amp;TEXT(A1589,"mm/yyyy")&amp;"-"&amp;TEXT(COUNTIFS($A$2:A1589,"&gt;="&amp;EOMONTH(A1589,-1)+1,$A$2:A1589,"&lt;="&amp;EOMONTH(A1589,0)),"000"))</f>
        <v/>
      </c>
      <c r="C1589" s="5"/>
      <c r="D1589" s="5"/>
      <c r="E1589" s="5"/>
      <c r="F1589" s="5"/>
      <c r="G1589" s="5"/>
      <c r="H1589" s="5"/>
      <c r="I1589" s="6"/>
      <c r="J1589" s="6">
        <f>IF(D1589="Thu",I1589,0)</f>
        <v>0</v>
      </c>
      <c r="K1589" s="6">
        <f>IF(D1589="Chi",I1589,0)</f>
        <v>0</v>
      </c>
      <c r="L1589" s="6">
        <f>L1588+J1589-K1589</f>
        <v>8050118</v>
      </c>
      <c r="M1589" s="6">
        <f ca="1">IFERROR(__xludf.DUMMYFUNCTION("SUM(FILTER(J:J, H:H=""Tiền mặt"")) - SUM(FILTER(K:K, H:H=""Tiền mặt""))
"),959000)</f>
        <v>959000</v>
      </c>
      <c r="N1589" s="6">
        <f ca="1">IFERROR(__xludf.DUMMYFUNCTION("SUM(FILTER(J:J, H:H=""Chuyển khoản"")) - SUM(FILTER(K:K, H:H=""Chuyển khoản""))
"),4468984)</f>
        <v>4468984</v>
      </c>
      <c r="O1589" s="5"/>
      <c r="P1589" s="5"/>
      <c r="Q1589" s="5"/>
      <c r="R1589" s="5"/>
      <c r="S1589" s="5"/>
    </row>
    <row r="1590" spans="1:19" ht="15.75" customHeight="1" x14ac:dyDescent="0.2">
      <c r="A1590" s="3"/>
      <c r="B1590" s="4" t="str">
        <f>IF(A1590="","","PC-"&amp;TEXT(A1590,"mm/yyyy")&amp;"-"&amp;TEXT(COUNTIFS($A$2:A1590,"&gt;="&amp;EOMONTH(A1590,-1)+1,$A$2:A1590,"&lt;="&amp;EOMONTH(A1590,0)),"000"))</f>
        <v/>
      </c>
      <c r="C1590" s="5"/>
      <c r="D1590" s="5"/>
      <c r="E1590" s="5"/>
      <c r="F1590" s="5"/>
      <c r="G1590" s="5"/>
      <c r="H1590" s="5"/>
      <c r="I1590" s="6"/>
      <c r="J1590" s="6">
        <f>IF(D1590="Thu",I1590,0)</f>
        <v>0</v>
      </c>
      <c r="K1590" s="6">
        <f>IF(D1590="Chi",I1590,0)</f>
        <v>0</v>
      </c>
      <c r="L1590" s="6">
        <f>L1589+J1590-K1590</f>
        <v>8050118</v>
      </c>
      <c r="M1590" s="6">
        <f ca="1">IFERROR(__xludf.DUMMYFUNCTION("SUM(FILTER(J:J, H:H=""Tiền mặt"")) - SUM(FILTER(K:K, H:H=""Tiền mặt""))
"),959000)</f>
        <v>959000</v>
      </c>
      <c r="N1590" s="6">
        <f ca="1">IFERROR(__xludf.DUMMYFUNCTION("SUM(FILTER(J:J, H:H=""Chuyển khoản"")) - SUM(FILTER(K:K, H:H=""Chuyển khoản""))
"),4468984)</f>
        <v>4468984</v>
      </c>
      <c r="O1590" s="5"/>
      <c r="P1590" s="5"/>
      <c r="Q1590" s="5"/>
      <c r="R1590" s="5"/>
      <c r="S1590" s="5"/>
    </row>
    <row r="1591" spans="1:19" ht="15.75" customHeight="1" x14ac:dyDescent="0.2">
      <c r="A1591" s="3"/>
      <c r="B1591" s="4" t="str">
        <f>IF(A1591="","","PC-"&amp;TEXT(A1591,"mm/yyyy")&amp;"-"&amp;TEXT(COUNTIFS($A$2:A1591,"&gt;="&amp;EOMONTH(A1591,-1)+1,$A$2:A1591,"&lt;="&amp;EOMONTH(A1591,0)),"000"))</f>
        <v/>
      </c>
      <c r="C1591" s="5"/>
      <c r="D1591" s="5"/>
      <c r="E1591" s="5"/>
      <c r="F1591" s="5"/>
      <c r="G1591" s="5"/>
      <c r="H1591" s="5"/>
      <c r="I1591" s="6"/>
      <c r="J1591" s="6">
        <f>IF(D1591="Thu",I1591,0)</f>
        <v>0</v>
      </c>
      <c r="K1591" s="6">
        <f>IF(D1591="Chi",I1591,0)</f>
        <v>0</v>
      </c>
      <c r="L1591" s="6">
        <f>L1590+J1591-K1591</f>
        <v>8050118</v>
      </c>
      <c r="M1591" s="6">
        <f ca="1">IFERROR(__xludf.DUMMYFUNCTION("SUM(FILTER(J:J, H:H=""Tiền mặt"")) - SUM(FILTER(K:K, H:H=""Tiền mặt""))
"),959000)</f>
        <v>959000</v>
      </c>
      <c r="N1591" s="6">
        <f ca="1">IFERROR(__xludf.DUMMYFUNCTION("SUM(FILTER(J:J, H:H=""Chuyển khoản"")) - SUM(FILTER(K:K, H:H=""Chuyển khoản""))
"),4468984)</f>
        <v>4468984</v>
      </c>
      <c r="O1591" s="5"/>
      <c r="P1591" s="5"/>
      <c r="Q1591" s="5"/>
      <c r="R1591" s="5"/>
      <c r="S1591" s="5"/>
    </row>
    <row r="1592" spans="1:19" ht="15.75" customHeight="1" x14ac:dyDescent="0.2">
      <c r="A1592" s="3"/>
      <c r="B1592" s="4" t="str">
        <f>IF(A1592="","","PC-"&amp;TEXT(A1592,"mm/yyyy")&amp;"-"&amp;TEXT(COUNTIFS($A$2:A1592,"&gt;="&amp;EOMONTH(A1592,-1)+1,$A$2:A1592,"&lt;="&amp;EOMONTH(A1592,0)),"000"))</f>
        <v/>
      </c>
      <c r="C1592" s="5"/>
      <c r="D1592" s="5"/>
      <c r="E1592" s="5"/>
      <c r="F1592" s="5"/>
      <c r="G1592" s="5"/>
      <c r="H1592" s="5"/>
      <c r="I1592" s="6"/>
      <c r="J1592" s="6">
        <f>IF(D1592="Thu",I1592,0)</f>
        <v>0</v>
      </c>
      <c r="K1592" s="6">
        <f>IF(D1592="Chi",I1592,0)</f>
        <v>0</v>
      </c>
      <c r="L1592" s="6">
        <f>L1591+J1592-K1592</f>
        <v>8050118</v>
      </c>
      <c r="M1592" s="6">
        <f ca="1">IFERROR(__xludf.DUMMYFUNCTION("SUM(FILTER(J:J, H:H=""Tiền mặt"")) - SUM(FILTER(K:K, H:H=""Tiền mặt""))
"),959000)</f>
        <v>959000</v>
      </c>
      <c r="N1592" s="6">
        <f ca="1">IFERROR(__xludf.DUMMYFUNCTION("SUM(FILTER(J:J, H:H=""Chuyển khoản"")) - SUM(FILTER(K:K, H:H=""Chuyển khoản""))
"),4468984)</f>
        <v>4468984</v>
      </c>
      <c r="O1592" s="5"/>
      <c r="P1592" s="5"/>
      <c r="Q1592" s="5"/>
      <c r="R1592" s="5"/>
      <c r="S1592" s="5"/>
    </row>
    <row r="1593" spans="1:19" ht="15.75" customHeight="1" x14ac:dyDescent="0.2">
      <c r="A1593" s="3"/>
      <c r="B1593" s="4" t="str">
        <f>IF(A1593="","","PC-"&amp;TEXT(A1593,"mm/yyyy")&amp;"-"&amp;TEXT(COUNTIFS($A$2:A1593,"&gt;="&amp;EOMONTH(A1593,-1)+1,$A$2:A1593,"&lt;="&amp;EOMONTH(A1593,0)),"000"))</f>
        <v/>
      </c>
      <c r="C1593" s="5"/>
      <c r="D1593" s="5"/>
      <c r="E1593" s="5"/>
      <c r="F1593" s="5"/>
      <c r="G1593" s="5"/>
      <c r="H1593" s="5"/>
      <c r="I1593" s="6"/>
      <c r="J1593" s="6">
        <f>IF(D1593="Thu",I1593,0)</f>
        <v>0</v>
      </c>
      <c r="K1593" s="6">
        <f>IF(D1593="Chi",I1593,0)</f>
        <v>0</v>
      </c>
      <c r="L1593" s="6">
        <f>L1592+J1593-K1593</f>
        <v>8050118</v>
      </c>
      <c r="M1593" s="6">
        <f ca="1">IFERROR(__xludf.DUMMYFUNCTION("SUM(FILTER(J:J, H:H=""Tiền mặt"")) - SUM(FILTER(K:K, H:H=""Tiền mặt""))
"),959000)</f>
        <v>959000</v>
      </c>
      <c r="N1593" s="6">
        <f ca="1">IFERROR(__xludf.DUMMYFUNCTION("SUM(FILTER(J:J, H:H=""Chuyển khoản"")) - SUM(FILTER(K:K, H:H=""Chuyển khoản""))
"),4468984)</f>
        <v>4468984</v>
      </c>
      <c r="O1593" s="5"/>
      <c r="P1593" s="5"/>
      <c r="Q1593" s="5"/>
      <c r="R1593" s="5"/>
      <c r="S1593" s="5"/>
    </row>
    <row r="1594" spans="1:19" ht="15.75" customHeight="1" x14ac:dyDescent="0.2">
      <c r="A1594" s="3"/>
      <c r="B1594" s="4" t="str">
        <f>IF(A1594="","","PC-"&amp;TEXT(A1594,"mm/yyyy")&amp;"-"&amp;TEXT(COUNTIFS($A$2:A1594,"&gt;="&amp;EOMONTH(A1594,-1)+1,$A$2:A1594,"&lt;="&amp;EOMONTH(A1594,0)),"000"))</f>
        <v/>
      </c>
      <c r="C1594" s="5"/>
      <c r="D1594" s="5"/>
      <c r="E1594" s="5"/>
      <c r="F1594" s="5"/>
      <c r="G1594" s="5"/>
      <c r="H1594" s="5"/>
      <c r="I1594" s="6"/>
      <c r="J1594" s="6">
        <f>IF(D1594="Thu",I1594,0)</f>
        <v>0</v>
      </c>
      <c r="K1594" s="6">
        <f>IF(D1594="Chi",I1594,0)</f>
        <v>0</v>
      </c>
      <c r="L1594" s="6">
        <f>L1593+J1594-K1594</f>
        <v>8050118</v>
      </c>
      <c r="M1594" s="6">
        <f ca="1">IFERROR(__xludf.DUMMYFUNCTION("SUM(FILTER(J:J, H:H=""Tiền mặt"")) - SUM(FILTER(K:K, H:H=""Tiền mặt""))
"),959000)</f>
        <v>959000</v>
      </c>
      <c r="N1594" s="6">
        <f ca="1">IFERROR(__xludf.DUMMYFUNCTION("SUM(FILTER(J:J, H:H=""Chuyển khoản"")) - SUM(FILTER(K:K, H:H=""Chuyển khoản""))
"),4468984)</f>
        <v>4468984</v>
      </c>
      <c r="O1594" s="5"/>
      <c r="P1594" s="5"/>
      <c r="Q1594" s="5"/>
      <c r="R1594" s="5"/>
      <c r="S1594" s="5"/>
    </row>
    <row r="1595" spans="1:19" ht="15.75" customHeight="1" x14ac:dyDescent="0.2">
      <c r="A1595" s="3"/>
      <c r="B1595" s="4" t="str">
        <f>IF(A1595="","","PC-"&amp;TEXT(A1595,"mm/yyyy")&amp;"-"&amp;TEXT(COUNTIFS($A$2:A1595,"&gt;="&amp;EOMONTH(A1595,-1)+1,$A$2:A1595,"&lt;="&amp;EOMONTH(A1595,0)),"000"))</f>
        <v/>
      </c>
      <c r="C1595" s="5"/>
      <c r="D1595" s="5"/>
      <c r="E1595" s="5"/>
      <c r="F1595" s="5"/>
      <c r="G1595" s="5"/>
      <c r="H1595" s="5"/>
      <c r="I1595" s="6"/>
      <c r="J1595" s="6">
        <f>IF(D1595="Thu",I1595,0)</f>
        <v>0</v>
      </c>
      <c r="K1595" s="6">
        <f>IF(D1595="Chi",I1595,0)</f>
        <v>0</v>
      </c>
      <c r="L1595" s="6">
        <f>L1594+J1595-K1595</f>
        <v>8050118</v>
      </c>
      <c r="M1595" s="6">
        <f ca="1">IFERROR(__xludf.DUMMYFUNCTION("SUM(FILTER(J:J, H:H=""Tiền mặt"")) - SUM(FILTER(K:K, H:H=""Tiền mặt""))
"),959000)</f>
        <v>959000</v>
      </c>
      <c r="N1595" s="6">
        <f ca="1">IFERROR(__xludf.DUMMYFUNCTION("SUM(FILTER(J:J, H:H=""Chuyển khoản"")) - SUM(FILTER(K:K, H:H=""Chuyển khoản""))
"),4468984)</f>
        <v>4468984</v>
      </c>
      <c r="O1595" s="5"/>
      <c r="P1595" s="5"/>
      <c r="Q1595" s="5"/>
      <c r="R1595" s="5"/>
      <c r="S1595" s="5"/>
    </row>
    <row r="1596" spans="1:19" ht="15.75" customHeight="1" x14ac:dyDescent="0.2">
      <c r="A1596" s="3"/>
      <c r="B1596" s="4" t="str">
        <f>IF(A1596="","","PC-"&amp;TEXT(A1596,"mm/yyyy")&amp;"-"&amp;TEXT(COUNTIFS($A$2:A1596,"&gt;="&amp;EOMONTH(A1596,-1)+1,$A$2:A1596,"&lt;="&amp;EOMONTH(A1596,0)),"000"))</f>
        <v/>
      </c>
      <c r="C1596" s="5"/>
      <c r="D1596" s="5"/>
      <c r="E1596" s="5"/>
      <c r="F1596" s="5"/>
      <c r="G1596" s="5"/>
      <c r="H1596" s="5"/>
      <c r="I1596" s="6"/>
      <c r="J1596" s="6">
        <f>IF(D1596="Thu",I1596,0)</f>
        <v>0</v>
      </c>
      <c r="K1596" s="6">
        <f>IF(D1596="Chi",I1596,0)</f>
        <v>0</v>
      </c>
      <c r="L1596" s="6">
        <f>L1595+J1596-K1596</f>
        <v>8050118</v>
      </c>
      <c r="M1596" s="6">
        <f ca="1">IFERROR(__xludf.DUMMYFUNCTION("SUM(FILTER(J:J, H:H=""Tiền mặt"")) - SUM(FILTER(K:K, H:H=""Tiền mặt""))
"),959000)</f>
        <v>959000</v>
      </c>
      <c r="N1596" s="6">
        <f ca="1">IFERROR(__xludf.DUMMYFUNCTION("SUM(FILTER(J:J, H:H=""Chuyển khoản"")) - SUM(FILTER(K:K, H:H=""Chuyển khoản""))
"),4468984)</f>
        <v>4468984</v>
      </c>
      <c r="O1596" s="5"/>
      <c r="P1596" s="5"/>
      <c r="Q1596" s="5"/>
      <c r="R1596" s="5"/>
      <c r="S1596" s="5"/>
    </row>
    <row r="1597" spans="1:19" ht="15.75" customHeight="1" x14ac:dyDescent="0.2">
      <c r="A1597" s="3"/>
      <c r="B1597" s="4" t="str">
        <f>IF(A1597="","","PC-"&amp;TEXT(A1597,"mm/yyyy")&amp;"-"&amp;TEXT(COUNTIFS($A$2:A1597,"&gt;="&amp;EOMONTH(A1597,-1)+1,$A$2:A1597,"&lt;="&amp;EOMONTH(A1597,0)),"000"))</f>
        <v/>
      </c>
      <c r="C1597" s="5"/>
      <c r="D1597" s="5"/>
      <c r="E1597" s="5"/>
      <c r="F1597" s="5"/>
      <c r="G1597" s="5"/>
      <c r="H1597" s="5"/>
      <c r="I1597" s="6"/>
      <c r="J1597" s="6">
        <f>IF(D1597="Thu",I1597,0)</f>
        <v>0</v>
      </c>
      <c r="K1597" s="6">
        <f>IF(D1597="Chi",I1597,0)</f>
        <v>0</v>
      </c>
      <c r="L1597" s="6">
        <f>L1596+J1597-K1597</f>
        <v>8050118</v>
      </c>
      <c r="M1597" s="6">
        <f ca="1">IFERROR(__xludf.DUMMYFUNCTION("SUM(FILTER(J:J, H:H=""Tiền mặt"")) - SUM(FILTER(K:K, H:H=""Tiền mặt""))
"),959000)</f>
        <v>959000</v>
      </c>
      <c r="N1597" s="6">
        <f ca="1">IFERROR(__xludf.DUMMYFUNCTION("SUM(FILTER(J:J, H:H=""Chuyển khoản"")) - SUM(FILTER(K:K, H:H=""Chuyển khoản""))
"),4468984)</f>
        <v>4468984</v>
      </c>
      <c r="O1597" s="5"/>
      <c r="P1597" s="5"/>
      <c r="Q1597" s="5"/>
      <c r="R1597" s="5"/>
      <c r="S1597" s="5"/>
    </row>
    <row r="1598" spans="1:19" ht="15.75" customHeight="1" x14ac:dyDescent="0.2">
      <c r="A1598" s="3"/>
      <c r="B1598" s="4" t="str">
        <f>IF(A1598="","","PC-"&amp;TEXT(A1598,"mm/yyyy")&amp;"-"&amp;TEXT(COUNTIFS($A$2:A1598,"&gt;="&amp;EOMONTH(A1598,-1)+1,$A$2:A1598,"&lt;="&amp;EOMONTH(A1598,0)),"000"))</f>
        <v/>
      </c>
      <c r="C1598" s="5"/>
      <c r="D1598" s="5"/>
      <c r="E1598" s="5"/>
      <c r="F1598" s="5"/>
      <c r="G1598" s="5"/>
      <c r="H1598" s="5"/>
      <c r="I1598" s="6"/>
      <c r="J1598" s="6">
        <f>IF(D1598="Thu",I1598,0)</f>
        <v>0</v>
      </c>
      <c r="K1598" s="6">
        <f>IF(D1598="Chi",I1598,0)</f>
        <v>0</v>
      </c>
      <c r="L1598" s="6">
        <f>L1597+J1598-K1598</f>
        <v>8050118</v>
      </c>
      <c r="M1598" s="6">
        <f ca="1">IFERROR(__xludf.DUMMYFUNCTION("SUM(FILTER(J:J, H:H=""Tiền mặt"")) - SUM(FILTER(K:K, H:H=""Tiền mặt""))
"),959000)</f>
        <v>959000</v>
      </c>
      <c r="N1598" s="6">
        <f ca="1">IFERROR(__xludf.DUMMYFUNCTION("SUM(FILTER(J:J, H:H=""Chuyển khoản"")) - SUM(FILTER(K:K, H:H=""Chuyển khoản""))
"),4468984)</f>
        <v>4468984</v>
      </c>
      <c r="O1598" s="5"/>
      <c r="P1598" s="5"/>
      <c r="Q1598" s="5"/>
      <c r="R1598" s="5"/>
      <c r="S1598" s="5"/>
    </row>
    <row r="1599" spans="1:19" ht="15.75" customHeight="1" x14ac:dyDescent="0.2">
      <c r="A1599" s="3"/>
      <c r="B1599" s="4" t="str">
        <f>IF(A1599="","","PC-"&amp;TEXT(A1599,"mm/yyyy")&amp;"-"&amp;TEXT(COUNTIFS($A$2:A1599,"&gt;="&amp;EOMONTH(A1599,-1)+1,$A$2:A1599,"&lt;="&amp;EOMONTH(A1599,0)),"000"))</f>
        <v/>
      </c>
      <c r="C1599" s="5"/>
      <c r="D1599" s="5"/>
      <c r="E1599" s="5"/>
      <c r="F1599" s="5"/>
      <c r="G1599" s="5"/>
      <c r="H1599" s="5"/>
      <c r="I1599" s="6"/>
      <c r="J1599" s="6">
        <f>IF(D1599="Thu",I1599,0)</f>
        <v>0</v>
      </c>
      <c r="K1599" s="6">
        <f>IF(D1599="Chi",I1599,0)</f>
        <v>0</v>
      </c>
      <c r="L1599" s="6">
        <f>L1598+J1599-K1599</f>
        <v>8050118</v>
      </c>
      <c r="M1599" s="6">
        <f ca="1">IFERROR(__xludf.DUMMYFUNCTION("SUM(FILTER(J:J, H:H=""Tiền mặt"")) - SUM(FILTER(K:K, H:H=""Tiền mặt""))
"),959000)</f>
        <v>959000</v>
      </c>
      <c r="N1599" s="6">
        <f ca="1">IFERROR(__xludf.DUMMYFUNCTION("SUM(FILTER(J:J, H:H=""Chuyển khoản"")) - SUM(FILTER(K:K, H:H=""Chuyển khoản""))
"),4468984)</f>
        <v>4468984</v>
      </c>
      <c r="O1599" s="5"/>
      <c r="P1599" s="5"/>
      <c r="Q1599" s="5"/>
      <c r="R1599" s="5"/>
      <c r="S1599" s="5"/>
    </row>
    <row r="1600" spans="1:19" ht="15.75" customHeight="1" x14ac:dyDescent="0.2">
      <c r="A1600" s="3"/>
      <c r="B1600" s="4" t="str">
        <f>IF(A1600="","","PC-"&amp;TEXT(A1600,"mm/yyyy")&amp;"-"&amp;TEXT(COUNTIFS($A$2:A1600,"&gt;="&amp;EOMONTH(A1600,-1)+1,$A$2:A1600,"&lt;="&amp;EOMONTH(A1600,0)),"000"))</f>
        <v/>
      </c>
      <c r="C1600" s="5"/>
      <c r="D1600" s="5"/>
      <c r="E1600" s="5"/>
      <c r="F1600" s="5"/>
      <c r="G1600" s="5"/>
      <c r="H1600" s="5"/>
      <c r="I1600" s="6"/>
      <c r="J1600" s="6">
        <f>IF(D1600="Thu",I1600,0)</f>
        <v>0</v>
      </c>
      <c r="K1600" s="6">
        <f>IF(D1600="Chi",I1600,0)</f>
        <v>0</v>
      </c>
      <c r="L1600" s="6">
        <f>L1599+J1600-K1600</f>
        <v>8050118</v>
      </c>
      <c r="M1600" s="6">
        <f ca="1">IFERROR(__xludf.DUMMYFUNCTION("SUM(FILTER(J:J, H:H=""Tiền mặt"")) - SUM(FILTER(K:K, H:H=""Tiền mặt""))
"),959000)</f>
        <v>959000</v>
      </c>
      <c r="N1600" s="6">
        <f ca="1">IFERROR(__xludf.DUMMYFUNCTION("SUM(FILTER(J:J, H:H=""Chuyển khoản"")) - SUM(FILTER(K:K, H:H=""Chuyển khoản""))
"),4468984)</f>
        <v>4468984</v>
      </c>
      <c r="O1600" s="5"/>
      <c r="P1600" s="5"/>
      <c r="Q1600" s="5"/>
      <c r="R1600" s="5"/>
      <c r="S1600" s="5"/>
    </row>
    <row r="1601" spans="1:19" ht="15.75" customHeight="1" x14ac:dyDescent="0.2">
      <c r="A1601" s="3"/>
      <c r="B1601" s="4" t="str">
        <f>IF(A1601="","","PC-"&amp;TEXT(A1601,"mm/yyyy")&amp;"-"&amp;TEXT(COUNTIFS($A$2:A1601,"&gt;="&amp;EOMONTH(A1601,-1)+1,$A$2:A1601,"&lt;="&amp;EOMONTH(A1601,0)),"000"))</f>
        <v/>
      </c>
      <c r="C1601" s="5"/>
      <c r="D1601" s="5"/>
      <c r="E1601" s="5"/>
      <c r="F1601" s="5"/>
      <c r="G1601" s="5"/>
      <c r="H1601" s="5"/>
      <c r="I1601" s="6"/>
      <c r="J1601" s="6">
        <f>IF(D1601="Thu",I1601,0)</f>
        <v>0</v>
      </c>
      <c r="K1601" s="6">
        <f>IF(D1601="Chi",I1601,0)</f>
        <v>0</v>
      </c>
      <c r="L1601" s="6">
        <f>L1600+J1601-K1601</f>
        <v>8050118</v>
      </c>
      <c r="M1601" s="6">
        <f ca="1">IFERROR(__xludf.DUMMYFUNCTION("SUM(FILTER(J:J, H:H=""Tiền mặt"")) - SUM(FILTER(K:K, H:H=""Tiền mặt""))
"),959000)</f>
        <v>959000</v>
      </c>
      <c r="N1601" s="6">
        <f ca="1">IFERROR(__xludf.DUMMYFUNCTION("SUM(FILTER(J:J, H:H=""Chuyển khoản"")) - SUM(FILTER(K:K, H:H=""Chuyển khoản""))
"),4468984)</f>
        <v>4468984</v>
      </c>
      <c r="O1601" s="5"/>
      <c r="P1601" s="5"/>
      <c r="Q1601" s="5"/>
      <c r="R1601" s="5"/>
      <c r="S1601" s="5"/>
    </row>
    <row r="1602" spans="1:19" ht="15.75" customHeight="1" x14ac:dyDescent="0.2">
      <c r="A1602" s="3"/>
      <c r="B1602" s="4" t="str">
        <f>IF(A1602="","","PC-"&amp;TEXT(A1602,"mm/yyyy")&amp;"-"&amp;TEXT(COUNTIFS($A$2:A1602,"&gt;="&amp;EOMONTH(A1602,-1)+1,$A$2:A1602,"&lt;="&amp;EOMONTH(A1602,0)),"000"))</f>
        <v/>
      </c>
      <c r="C1602" s="5"/>
      <c r="D1602" s="5"/>
      <c r="E1602" s="5"/>
      <c r="F1602" s="5"/>
      <c r="G1602" s="5"/>
      <c r="H1602" s="5"/>
      <c r="I1602" s="6"/>
      <c r="J1602" s="6">
        <f>IF(D1602="Thu",I1602,0)</f>
        <v>0</v>
      </c>
      <c r="K1602" s="6">
        <f>IF(D1602="Chi",I1602,0)</f>
        <v>0</v>
      </c>
      <c r="L1602" s="6">
        <f>L1601+J1602-K1602</f>
        <v>8050118</v>
      </c>
      <c r="M1602" s="6">
        <f ca="1">IFERROR(__xludf.DUMMYFUNCTION("SUM(FILTER(J:J, H:H=""Tiền mặt"")) - SUM(FILTER(K:K, H:H=""Tiền mặt""))
"),959000)</f>
        <v>959000</v>
      </c>
      <c r="N1602" s="6">
        <f ca="1">IFERROR(__xludf.DUMMYFUNCTION("SUM(FILTER(J:J, H:H=""Chuyển khoản"")) - SUM(FILTER(K:K, H:H=""Chuyển khoản""))
"),4468984)</f>
        <v>4468984</v>
      </c>
      <c r="O1602" s="5"/>
      <c r="P1602" s="5"/>
      <c r="Q1602" s="5"/>
      <c r="R1602" s="5"/>
      <c r="S1602" s="5"/>
    </row>
    <row r="1603" spans="1:19" ht="15.75" customHeight="1" x14ac:dyDescent="0.2">
      <c r="A1603" s="3"/>
      <c r="B1603" s="4" t="str">
        <f>IF(A1603="","","PC-"&amp;TEXT(A1603,"mm/yyyy")&amp;"-"&amp;TEXT(COUNTIFS($A$2:A1603,"&gt;="&amp;EOMONTH(A1603,-1)+1,$A$2:A1603,"&lt;="&amp;EOMONTH(A1603,0)),"000"))</f>
        <v/>
      </c>
      <c r="C1603" s="5"/>
      <c r="D1603" s="5"/>
      <c r="E1603" s="5"/>
      <c r="F1603" s="5"/>
      <c r="G1603" s="5"/>
      <c r="H1603" s="5"/>
      <c r="I1603" s="6"/>
      <c r="J1603" s="6">
        <f>IF(D1603="Thu",I1603,0)</f>
        <v>0</v>
      </c>
      <c r="K1603" s="6">
        <f>IF(D1603="Chi",I1603,0)</f>
        <v>0</v>
      </c>
      <c r="L1603" s="6">
        <f>L1602+J1603-K1603</f>
        <v>8050118</v>
      </c>
      <c r="M1603" s="6">
        <f ca="1">IFERROR(__xludf.DUMMYFUNCTION("SUM(FILTER(J:J, H:H=""Tiền mặt"")) - SUM(FILTER(K:K, H:H=""Tiền mặt""))
"),959000)</f>
        <v>959000</v>
      </c>
      <c r="N1603" s="6">
        <f ca="1">IFERROR(__xludf.DUMMYFUNCTION("SUM(FILTER(J:J, H:H=""Chuyển khoản"")) - SUM(FILTER(K:K, H:H=""Chuyển khoản""))
"),4468984)</f>
        <v>4468984</v>
      </c>
      <c r="O1603" s="5"/>
      <c r="P1603" s="5"/>
      <c r="Q1603" s="5"/>
      <c r="R1603" s="5"/>
      <c r="S1603" s="5"/>
    </row>
    <row r="1604" spans="1:19" ht="15.75" customHeight="1" x14ac:dyDescent="0.2">
      <c r="A1604" s="3"/>
      <c r="B1604" s="4" t="str">
        <f>IF(A1604="","","PC-"&amp;TEXT(A1604,"mm/yyyy")&amp;"-"&amp;TEXT(COUNTIFS($A$2:A1604,"&gt;="&amp;EOMONTH(A1604,-1)+1,$A$2:A1604,"&lt;="&amp;EOMONTH(A1604,0)),"000"))</f>
        <v/>
      </c>
      <c r="C1604" s="5"/>
      <c r="D1604" s="5"/>
      <c r="E1604" s="5"/>
      <c r="F1604" s="5"/>
      <c r="G1604" s="5"/>
      <c r="H1604" s="5"/>
      <c r="I1604" s="6"/>
      <c r="J1604" s="6">
        <f>IF(D1604="Thu",I1604,0)</f>
        <v>0</v>
      </c>
      <c r="K1604" s="6">
        <f>IF(D1604="Chi",I1604,0)</f>
        <v>0</v>
      </c>
      <c r="L1604" s="6">
        <f>L1603+J1604-K1604</f>
        <v>8050118</v>
      </c>
      <c r="M1604" s="6">
        <f ca="1">IFERROR(__xludf.DUMMYFUNCTION("SUM(FILTER(J:J, H:H=""Tiền mặt"")) - SUM(FILTER(K:K, H:H=""Tiền mặt""))
"),959000)</f>
        <v>959000</v>
      </c>
      <c r="N1604" s="6">
        <f ca="1">IFERROR(__xludf.DUMMYFUNCTION("SUM(FILTER(J:J, H:H=""Chuyển khoản"")) - SUM(FILTER(K:K, H:H=""Chuyển khoản""))
"),4468984)</f>
        <v>4468984</v>
      </c>
      <c r="O1604" s="5"/>
      <c r="P1604" s="5"/>
      <c r="Q1604" s="5"/>
      <c r="R1604" s="5"/>
      <c r="S1604" s="5"/>
    </row>
    <row r="1605" spans="1:19" ht="15.75" customHeight="1" x14ac:dyDescent="0.2">
      <c r="A1605" s="3"/>
      <c r="B1605" s="4" t="str">
        <f>IF(A1605="","","PC-"&amp;TEXT(A1605,"mm/yyyy")&amp;"-"&amp;TEXT(COUNTIFS($A$2:A1605,"&gt;="&amp;EOMONTH(A1605,-1)+1,$A$2:A1605,"&lt;="&amp;EOMONTH(A1605,0)),"000"))</f>
        <v/>
      </c>
      <c r="C1605" s="5"/>
      <c r="D1605" s="5"/>
      <c r="E1605" s="5"/>
      <c r="F1605" s="5"/>
      <c r="G1605" s="5"/>
      <c r="H1605" s="5"/>
      <c r="I1605" s="6"/>
      <c r="J1605" s="6">
        <f>IF(D1605="Thu",I1605,0)</f>
        <v>0</v>
      </c>
      <c r="K1605" s="6">
        <f>IF(D1605="Chi",I1605,0)</f>
        <v>0</v>
      </c>
      <c r="L1605" s="6">
        <f>L1604+J1605-K1605</f>
        <v>8050118</v>
      </c>
      <c r="M1605" s="6">
        <f ca="1">IFERROR(__xludf.DUMMYFUNCTION("SUM(FILTER(J:J, H:H=""Tiền mặt"")) - SUM(FILTER(K:K, H:H=""Tiền mặt""))
"),959000)</f>
        <v>959000</v>
      </c>
      <c r="N1605" s="6">
        <f ca="1">IFERROR(__xludf.DUMMYFUNCTION("SUM(FILTER(J:J, H:H=""Chuyển khoản"")) - SUM(FILTER(K:K, H:H=""Chuyển khoản""))
"),4468984)</f>
        <v>4468984</v>
      </c>
      <c r="O1605" s="5"/>
      <c r="P1605" s="5"/>
      <c r="Q1605" s="5"/>
      <c r="R1605" s="5"/>
      <c r="S1605" s="5"/>
    </row>
    <row r="1606" spans="1:19" ht="15.75" customHeight="1" x14ac:dyDescent="0.2">
      <c r="A1606" s="3"/>
      <c r="B1606" s="4" t="str">
        <f>IF(A1606="","","PC-"&amp;TEXT(A1606,"mm/yyyy")&amp;"-"&amp;TEXT(COUNTIFS($A$2:A1606,"&gt;="&amp;EOMONTH(A1606,-1)+1,$A$2:A1606,"&lt;="&amp;EOMONTH(A1606,0)),"000"))</f>
        <v/>
      </c>
      <c r="C1606" s="5"/>
      <c r="D1606" s="5"/>
      <c r="E1606" s="5"/>
      <c r="F1606" s="5"/>
      <c r="G1606" s="5"/>
      <c r="H1606" s="5"/>
      <c r="I1606" s="6"/>
      <c r="J1606" s="6">
        <f>IF(D1606="Thu",I1606,0)</f>
        <v>0</v>
      </c>
      <c r="K1606" s="6">
        <f>IF(D1606="Chi",I1606,0)</f>
        <v>0</v>
      </c>
      <c r="L1606" s="6">
        <f>L1605+J1606-K1606</f>
        <v>8050118</v>
      </c>
      <c r="M1606" s="6">
        <f ca="1">IFERROR(__xludf.DUMMYFUNCTION("SUM(FILTER(J:J, H:H=""Tiền mặt"")) - SUM(FILTER(K:K, H:H=""Tiền mặt""))
"),959000)</f>
        <v>959000</v>
      </c>
      <c r="N1606" s="6">
        <f ca="1">IFERROR(__xludf.DUMMYFUNCTION("SUM(FILTER(J:J, H:H=""Chuyển khoản"")) - SUM(FILTER(K:K, H:H=""Chuyển khoản""))
"),4468984)</f>
        <v>4468984</v>
      </c>
      <c r="O1606" s="5"/>
      <c r="P1606" s="5"/>
      <c r="Q1606" s="5"/>
      <c r="R1606" s="5"/>
      <c r="S1606" s="5"/>
    </row>
    <row r="1607" spans="1:19" ht="15.75" customHeight="1" x14ac:dyDescent="0.2">
      <c r="A1607" s="3"/>
      <c r="B1607" s="4" t="str">
        <f>IF(A1607="","","PC-"&amp;TEXT(A1607,"mm/yyyy")&amp;"-"&amp;TEXT(COUNTIFS($A$2:A1607,"&gt;="&amp;EOMONTH(A1607,-1)+1,$A$2:A1607,"&lt;="&amp;EOMONTH(A1607,0)),"000"))</f>
        <v/>
      </c>
      <c r="C1607" s="5"/>
      <c r="D1607" s="5"/>
      <c r="E1607" s="5"/>
      <c r="F1607" s="5"/>
      <c r="G1607" s="5"/>
      <c r="H1607" s="5"/>
      <c r="I1607" s="6"/>
      <c r="J1607" s="6">
        <f>IF(D1607="Thu",I1607,0)</f>
        <v>0</v>
      </c>
      <c r="K1607" s="6">
        <f>IF(D1607="Chi",I1607,0)</f>
        <v>0</v>
      </c>
      <c r="L1607" s="6">
        <f>L1606+J1607-K1607</f>
        <v>8050118</v>
      </c>
      <c r="M1607" s="6">
        <f ca="1">IFERROR(__xludf.DUMMYFUNCTION("SUM(FILTER(J:J, H:H=""Tiền mặt"")) - SUM(FILTER(K:K, H:H=""Tiền mặt""))
"),959000)</f>
        <v>959000</v>
      </c>
      <c r="N1607" s="6">
        <f ca="1">IFERROR(__xludf.DUMMYFUNCTION("SUM(FILTER(J:J, H:H=""Chuyển khoản"")) - SUM(FILTER(K:K, H:H=""Chuyển khoản""))
"),4468984)</f>
        <v>4468984</v>
      </c>
      <c r="O1607" s="5"/>
      <c r="P1607" s="5"/>
      <c r="Q1607" s="5"/>
      <c r="R1607" s="5"/>
      <c r="S1607" s="5"/>
    </row>
    <row r="1608" spans="1:19" ht="15.75" customHeight="1" x14ac:dyDescent="0.2">
      <c r="A1608" s="3"/>
      <c r="B1608" s="4" t="str">
        <f>IF(A1608="","","PC-"&amp;TEXT(A1608,"mm/yyyy")&amp;"-"&amp;TEXT(COUNTIFS($A$2:A1608,"&gt;="&amp;EOMONTH(A1608,-1)+1,$A$2:A1608,"&lt;="&amp;EOMONTH(A1608,0)),"000"))</f>
        <v/>
      </c>
      <c r="C1608" s="5"/>
      <c r="D1608" s="5"/>
      <c r="E1608" s="5"/>
      <c r="F1608" s="5"/>
      <c r="G1608" s="5"/>
      <c r="H1608" s="5"/>
      <c r="I1608" s="6"/>
      <c r="J1608" s="6">
        <f>IF(D1608="Thu",I1608,0)</f>
        <v>0</v>
      </c>
      <c r="K1608" s="6">
        <f>IF(D1608="Chi",I1608,0)</f>
        <v>0</v>
      </c>
      <c r="L1608" s="6">
        <f>L1607+J1608-K1608</f>
        <v>8050118</v>
      </c>
      <c r="M1608" s="6">
        <f ca="1">IFERROR(__xludf.DUMMYFUNCTION("SUM(FILTER(J:J, H:H=""Tiền mặt"")) - SUM(FILTER(K:K, H:H=""Tiền mặt""))
"),959000)</f>
        <v>959000</v>
      </c>
      <c r="N1608" s="6">
        <f ca="1">IFERROR(__xludf.DUMMYFUNCTION("SUM(FILTER(J:J, H:H=""Chuyển khoản"")) - SUM(FILTER(K:K, H:H=""Chuyển khoản""))
"),4468984)</f>
        <v>4468984</v>
      </c>
      <c r="O1608" s="5"/>
      <c r="P1608" s="5"/>
      <c r="Q1608" s="5"/>
      <c r="R1608" s="5"/>
      <c r="S1608" s="5"/>
    </row>
    <row r="1609" spans="1:19" ht="15.75" customHeight="1" x14ac:dyDescent="0.2">
      <c r="A1609" s="3"/>
      <c r="B1609" s="4" t="str">
        <f>IF(A1609="","","PC-"&amp;TEXT(A1609,"mm/yyyy")&amp;"-"&amp;TEXT(COUNTIFS($A$2:A1609,"&gt;="&amp;EOMONTH(A1609,-1)+1,$A$2:A1609,"&lt;="&amp;EOMONTH(A1609,0)),"000"))</f>
        <v/>
      </c>
      <c r="C1609" s="5"/>
      <c r="D1609" s="5"/>
      <c r="E1609" s="5"/>
      <c r="F1609" s="5"/>
      <c r="G1609" s="5"/>
      <c r="H1609" s="5"/>
      <c r="I1609" s="6"/>
      <c r="J1609" s="6">
        <f>IF(D1609="Thu",I1609,0)</f>
        <v>0</v>
      </c>
      <c r="K1609" s="6">
        <f>IF(D1609="Chi",I1609,0)</f>
        <v>0</v>
      </c>
      <c r="L1609" s="6">
        <f>L1608+J1609-K1609</f>
        <v>8050118</v>
      </c>
      <c r="M1609" s="6">
        <f ca="1">IFERROR(__xludf.DUMMYFUNCTION("SUM(FILTER(J:J, H:H=""Tiền mặt"")) - SUM(FILTER(K:K, H:H=""Tiền mặt""))
"),959000)</f>
        <v>959000</v>
      </c>
      <c r="N1609" s="6">
        <f ca="1">IFERROR(__xludf.DUMMYFUNCTION("SUM(FILTER(J:J, H:H=""Chuyển khoản"")) - SUM(FILTER(K:K, H:H=""Chuyển khoản""))
"),4468984)</f>
        <v>4468984</v>
      </c>
      <c r="O1609" s="5"/>
      <c r="P1609" s="5"/>
      <c r="Q1609" s="5"/>
      <c r="R1609" s="5"/>
      <c r="S1609" s="5"/>
    </row>
    <row r="1610" spans="1:19" ht="15.75" customHeight="1" x14ac:dyDescent="0.2">
      <c r="A1610" s="3"/>
      <c r="B1610" s="4" t="str">
        <f>IF(A1610="","","PC-"&amp;TEXT(A1610,"mm/yyyy")&amp;"-"&amp;TEXT(COUNTIFS($A$2:A1610,"&gt;="&amp;EOMONTH(A1610,-1)+1,$A$2:A1610,"&lt;="&amp;EOMONTH(A1610,0)),"000"))</f>
        <v/>
      </c>
      <c r="C1610" s="5"/>
      <c r="D1610" s="5"/>
      <c r="E1610" s="5"/>
      <c r="F1610" s="5"/>
      <c r="G1610" s="5"/>
      <c r="H1610" s="5"/>
      <c r="I1610" s="6"/>
      <c r="J1610" s="6">
        <f>IF(D1610="Thu",I1610,0)</f>
        <v>0</v>
      </c>
      <c r="K1610" s="6">
        <f>IF(D1610="Chi",I1610,0)</f>
        <v>0</v>
      </c>
      <c r="L1610" s="6">
        <f>L1609+J1610-K1610</f>
        <v>8050118</v>
      </c>
      <c r="M1610" s="6">
        <f ca="1">IFERROR(__xludf.DUMMYFUNCTION("SUM(FILTER(J:J, H:H=""Tiền mặt"")) - SUM(FILTER(K:K, H:H=""Tiền mặt""))
"),959000)</f>
        <v>959000</v>
      </c>
      <c r="N1610" s="6">
        <f ca="1">IFERROR(__xludf.DUMMYFUNCTION("SUM(FILTER(J:J, H:H=""Chuyển khoản"")) - SUM(FILTER(K:K, H:H=""Chuyển khoản""))
"),4468984)</f>
        <v>4468984</v>
      </c>
      <c r="O1610" s="5"/>
      <c r="P1610" s="5"/>
      <c r="Q1610" s="5"/>
      <c r="R1610" s="5"/>
      <c r="S1610" s="5"/>
    </row>
    <row r="1611" spans="1:19" ht="15.75" customHeight="1" x14ac:dyDescent="0.2">
      <c r="A1611" s="3"/>
      <c r="B1611" s="4" t="str">
        <f>IF(A1611="","","PC-"&amp;TEXT(A1611,"mm/yyyy")&amp;"-"&amp;TEXT(COUNTIFS($A$2:A1611,"&gt;="&amp;EOMONTH(A1611,-1)+1,$A$2:A1611,"&lt;="&amp;EOMONTH(A1611,0)),"000"))</f>
        <v/>
      </c>
      <c r="C1611" s="5"/>
      <c r="D1611" s="5"/>
      <c r="E1611" s="5"/>
      <c r="F1611" s="5"/>
      <c r="G1611" s="5"/>
      <c r="H1611" s="5"/>
      <c r="I1611" s="6"/>
      <c r="J1611" s="6">
        <f>IF(D1611="Thu",I1611,0)</f>
        <v>0</v>
      </c>
      <c r="K1611" s="6">
        <f>IF(D1611="Chi",I1611,0)</f>
        <v>0</v>
      </c>
      <c r="L1611" s="6">
        <f>L1610+J1611-K1611</f>
        <v>8050118</v>
      </c>
      <c r="M1611" s="6">
        <f ca="1">IFERROR(__xludf.DUMMYFUNCTION("SUM(FILTER(J:J, H:H=""Tiền mặt"")) - SUM(FILTER(K:K, H:H=""Tiền mặt""))
"),959000)</f>
        <v>959000</v>
      </c>
      <c r="N1611" s="6">
        <f ca="1">IFERROR(__xludf.DUMMYFUNCTION("SUM(FILTER(J:J, H:H=""Chuyển khoản"")) - SUM(FILTER(K:K, H:H=""Chuyển khoản""))
"),4468984)</f>
        <v>4468984</v>
      </c>
      <c r="O1611" s="5"/>
      <c r="P1611" s="5"/>
      <c r="Q1611" s="5"/>
      <c r="R1611" s="5"/>
      <c r="S1611" s="5"/>
    </row>
    <row r="1612" spans="1:19" ht="15.75" customHeight="1" x14ac:dyDescent="0.2">
      <c r="A1612" s="3"/>
      <c r="B1612" s="4" t="str">
        <f>IF(A1612="","","PC-"&amp;TEXT(A1612,"mm/yyyy")&amp;"-"&amp;TEXT(COUNTIFS($A$2:A1612,"&gt;="&amp;EOMONTH(A1612,-1)+1,$A$2:A1612,"&lt;="&amp;EOMONTH(A1612,0)),"000"))</f>
        <v/>
      </c>
      <c r="C1612" s="5"/>
      <c r="D1612" s="5"/>
      <c r="E1612" s="5"/>
      <c r="F1612" s="5"/>
      <c r="G1612" s="5"/>
      <c r="H1612" s="5"/>
      <c r="I1612" s="6"/>
      <c r="J1612" s="6">
        <f>IF(D1612="Thu",I1612,0)</f>
        <v>0</v>
      </c>
      <c r="K1612" s="6">
        <f>IF(D1612="Chi",I1612,0)</f>
        <v>0</v>
      </c>
      <c r="L1612" s="6">
        <f>L1611+J1612-K1612</f>
        <v>8050118</v>
      </c>
      <c r="M1612" s="6">
        <f ca="1">IFERROR(__xludf.DUMMYFUNCTION("SUM(FILTER(J:J, H:H=""Tiền mặt"")) - SUM(FILTER(K:K, H:H=""Tiền mặt""))
"),959000)</f>
        <v>959000</v>
      </c>
      <c r="N1612" s="6">
        <f ca="1">IFERROR(__xludf.DUMMYFUNCTION("SUM(FILTER(J:J, H:H=""Chuyển khoản"")) - SUM(FILTER(K:K, H:H=""Chuyển khoản""))
"),4468984)</f>
        <v>4468984</v>
      </c>
      <c r="O1612" s="5"/>
      <c r="P1612" s="5"/>
      <c r="Q1612" s="5"/>
      <c r="R1612" s="5"/>
      <c r="S1612" s="5"/>
    </row>
    <row r="1613" spans="1:19" ht="15.75" customHeight="1" x14ac:dyDescent="0.2">
      <c r="A1613" s="3"/>
      <c r="B1613" s="4" t="str">
        <f>IF(A1613="","","PC-"&amp;TEXT(A1613,"mm/yyyy")&amp;"-"&amp;TEXT(COUNTIFS($A$2:A1613,"&gt;="&amp;EOMONTH(A1613,-1)+1,$A$2:A1613,"&lt;="&amp;EOMONTH(A1613,0)),"000"))</f>
        <v/>
      </c>
      <c r="C1613" s="5"/>
      <c r="D1613" s="5"/>
      <c r="E1613" s="5"/>
      <c r="F1613" s="5"/>
      <c r="G1613" s="5"/>
      <c r="H1613" s="5"/>
      <c r="I1613" s="6"/>
      <c r="J1613" s="6">
        <f>IF(D1613="Thu",I1613,0)</f>
        <v>0</v>
      </c>
      <c r="K1613" s="6">
        <f>IF(D1613="Chi",I1613,0)</f>
        <v>0</v>
      </c>
      <c r="L1613" s="6">
        <f>L1612+J1613-K1613</f>
        <v>8050118</v>
      </c>
      <c r="M1613" s="6">
        <f ca="1">IFERROR(__xludf.DUMMYFUNCTION("SUM(FILTER(J:J, H:H=""Tiền mặt"")) - SUM(FILTER(K:K, H:H=""Tiền mặt""))
"),959000)</f>
        <v>959000</v>
      </c>
      <c r="N1613" s="6">
        <f ca="1">IFERROR(__xludf.DUMMYFUNCTION("SUM(FILTER(J:J, H:H=""Chuyển khoản"")) - SUM(FILTER(K:K, H:H=""Chuyển khoản""))
"),4468984)</f>
        <v>4468984</v>
      </c>
      <c r="O1613" s="5"/>
      <c r="P1613" s="5"/>
      <c r="Q1613" s="5"/>
      <c r="R1613" s="5"/>
      <c r="S1613" s="5"/>
    </row>
    <row r="1614" spans="1:19" ht="15.75" customHeight="1" x14ac:dyDescent="0.2">
      <c r="A1614" s="3"/>
      <c r="B1614" s="4" t="str">
        <f>IF(A1614="","","PC-"&amp;TEXT(A1614,"mm/yyyy")&amp;"-"&amp;TEXT(COUNTIFS($A$2:A1614,"&gt;="&amp;EOMONTH(A1614,-1)+1,$A$2:A1614,"&lt;="&amp;EOMONTH(A1614,0)),"000"))</f>
        <v/>
      </c>
      <c r="C1614" s="5"/>
      <c r="D1614" s="5"/>
      <c r="E1614" s="5"/>
      <c r="F1614" s="5"/>
      <c r="G1614" s="5"/>
      <c r="H1614" s="5"/>
      <c r="I1614" s="6"/>
      <c r="J1614" s="6">
        <f>IF(D1614="Thu",I1614,0)</f>
        <v>0</v>
      </c>
      <c r="K1614" s="6">
        <f>IF(D1614="Chi",I1614,0)</f>
        <v>0</v>
      </c>
      <c r="L1614" s="6">
        <f>L1613+J1614-K1614</f>
        <v>8050118</v>
      </c>
      <c r="M1614" s="6">
        <f ca="1">IFERROR(__xludf.DUMMYFUNCTION("SUM(FILTER(J:J, H:H=""Tiền mặt"")) - SUM(FILTER(K:K, H:H=""Tiền mặt""))
"),959000)</f>
        <v>959000</v>
      </c>
      <c r="N1614" s="6">
        <f ca="1">IFERROR(__xludf.DUMMYFUNCTION("SUM(FILTER(J:J, H:H=""Chuyển khoản"")) - SUM(FILTER(K:K, H:H=""Chuyển khoản""))
"),4468984)</f>
        <v>4468984</v>
      </c>
      <c r="O1614" s="5"/>
      <c r="P1614" s="5"/>
      <c r="Q1614" s="5"/>
      <c r="R1614" s="5"/>
      <c r="S1614" s="5"/>
    </row>
    <row r="1615" spans="1:19" ht="15.75" customHeight="1" x14ac:dyDescent="0.2">
      <c r="A1615" s="3"/>
      <c r="B1615" s="4" t="str">
        <f>IF(A1615="","","PC-"&amp;TEXT(A1615,"mm/yyyy")&amp;"-"&amp;TEXT(COUNTIFS($A$2:A1615,"&gt;="&amp;EOMONTH(A1615,-1)+1,$A$2:A1615,"&lt;="&amp;EOMONTH(A1615,0)),"000"))</f>
        <v/>
      </c>
      <c r="C1615" s="5"/>
      <c r="D1615" s="5"/>
      <c r="E1615" s="5"/>
      <c r="F1615" s="5"/>
      <c r="G1615" s="5"/>
      <c r="H1615" s="5"/>
      <c r="I1615" s="6"/>
      <c r="J1615" s="6">
        <f>IF(D1615="Thu",I1615,0)</f>
        <v>0</v>
      </c>
      <c r="K1615" s="6">
        <f>IF(D1615="Chi",I1615,0)</f>
        <v>0</v>
      </c>
      <c r="L1615" s="6">
        <f>L1614+J1615-K1615</f>
        <v>8050118</v>
      </c>
      <c r="M1615" s="6">
        <f ca="1">IFERROR(__xludf.DUMMYFUNCTION("SUM(FILTER(J:J, H:H=""Tiền mặt"")) - SUM(FILTER(K:K, H:H=""Tiền mặt""))
"),959000)</f>
        <v>959000</v>
      </c>
      <c r="N1615" s="6">
        <f ca="1">IFERROR(__xludf.DUMMYFUNCTION("SUM(FILTER(J:J, H:H=""Chuyển khoản"")) - SUM(FILTER(K:K, H:H=""Chuyển khoản""))
"),4468984)</f>
        <v>4468984</v>
      </c>
      <c r="O1615" s="5"/>
      <c r="P1615" s="5"/>
      <c r="Q1615" s="5"/>
      <c r="R1615" s="5"/>
      <c r="S1615" s="5"/>
    </row>
    <row r="1616" spans="1:19" ht="15.75" customHeight="1" x14ac:dyDescent="0.2">
      <c r="A1616" s="3"/>
      <c r="B1616" s="4" t="str">
        <f>IF(A1616="","","PC-"&amp;TEXT(A1616,"mm/yyyy")&amp;"-"&amp;TEXT(COUNTIFS($A$2:A1616,"&gt;="&amp;EOMONTH(A1616,-1)+1,$A$2:A1616,"&lt;="&amp;EOMONTH(A1616,0)),"000"))</f>
        <v/>
      </c>
      <c r="C1616" s="5"/>
      <c r="D1616" s="5"/>
      <c r="E1616" s="5"/>
      <c r="F1616" s="5"/>
      <c r="G1616" s="5"/>
      <c r="H1616" s="5"/>
      <c r="I1616" s="6"/>
      <c r="J1616" s="6">
        <f>IF(D1616="Thu",I1616,0)</f>
        <v>0</v>
      </c>
      <c r="K1616" s="6">
        <f>IF(D1616="Chi",I1616,0)</f>
        <v>0</v>
      </c>
      <c r="L1616" s="6">
        <f>L1615+J1616-K1616</f>
        <v>8050118</v>
      </c>
      <c r="M1616" s="6">
        <f ca="1">IFERROR(__xludf.DUMMYFUNCTION("SUM(FILTER(J:J, H:H=""Tiền mặt"")) - SUM(FILTER(K:K, H:H=""Tiền mặt""))
"),959000)</f>
        <v>959000</v>
      </c>
      <c r="N1616" s="6">
        <f ca="1">IFERROR(__xludf.DUMMYFUNCTION("SUM(FILTER(J:J, H:H=""Chuyển khoản"")) - SUM(FILTER(K:K, H:H=""Chuyển khoản""))
"),4468984)</f>
        <v>4468984</v>
      </c>
      <c r="O1616" s="5"/>
      <c r="P1616" s="5"/>
      <c r="Q1616" s="5"/>
      <c r="R1616" s="5"/>
      <c r="S1616" s="5"/>
    </row>
    <row r="1617" spans="1:19" ht="15.75" customHeight="1" x14ac:dyDescent="0.2">
      <c r="A1617" s="3"/>
      <c r="B1617" s="4" t="str">
        <f>IF(A1617="","","PC-"&amp;TEXT(A1617,"mm/yyyy")&amp;"-"&amp;TEXT(COUNTIFS($A$2:A1617,"&gt;="&amp;EOMONTH(A1617,-1)+1,$A$2:A1617,"&lt;="&amp;EOMONTH(A1617,0)),"000"))</f>
        <v/>
      </c>
      <c r="C1617" s="5"/>
      <c r="D1617" s="5"/>
      <c r="E1617" s="5"/>
      <c r="F1617" s="5"/>
      <c r="G1617" s="5"/>
      <c r="H1617" s="5"/>
      <c r="I1617" s="6"/>
      <c r="J1617" s="6">
        <f>IF(D1617="Thu",I1617,0)</f>
        <v>0</v>
      </c>
      <c r="K1617" s="6">
        <f>IF(D1617="Chi",I1617,0)</f>
        <v>0</v>
      </c>
      <c r="L1617" s="6">
        <f>L1616+J1617-K1617</f>
        <v>8050118</v>
      </c>
      <c r="M1617" s="6">
        <f ca="1">IFERROR(__xludf.DUMMYFUNCTION("SUM(FILTER(J:J, H:H=""Tiền mặt"")) - SUM(FILTER(K:K, H:H=""Tiền mặt""))
"),959000)</f>
        <v>959000</v>
      </c>
      <c r="N1617" s="6">
        <f ca="1">IFERROR(__xludf.DUMMYFUNCTION("SUM(FILTER(J:J, H:H=""Chuyển khoản"")) - SUM(FILTER(K:K, H:H=""Chuyển khoản""))
"),4468984)</f>
        <v>4468984</v>
      </c>
      <c r="O1617" s="5"/>
      <c r="P1617" s="5"/>
      <c r="Q1617" s="5"/>
      <c r="R1617" s="5"/>
      <c r="S1617" s="5"/>
    </row>
    <row r="1618" spans="1:19" ht="15.75" customHeight="1" x14ac:dyDescent="0.2">
      <c r="A1618" s="3"/>
      <c r="B1618" s="4" t="str">
        <f>IF(A1618="","","PC-"&amp;TEXT(A1618,"mm/yyyy")&amp;"-"&amp;TEXT(COUNTIFS($A$2:A1618,"&gt;="&amp;EOMONTH(A1618,-1)+1,$A$2:A1618,"&lt;="&amp;EOMONTH(A1618,0)),"000"))</f>
        <v/>
      </c>
      <c r="C1618" s="5"/>
      <c r="D1618" s="5"/>
      <c r="E1618" s="5"/>
      <c r="F1618" s="5"/>
      <c r="G1618" s="5"/>
      <c r="H1618" s="5"/>
      <c r="I1618" s="6"/>
      <c r="J1618" s="6">
        <f>IF(D1618="Thu",I1618,0)</f>
        <v>0</v>
      </c>
      <c r="K1618" s="6">
        <f>IF(D1618="Chi",I1618,0)</f>
        <v>0</v>
      </c>
      <c r="L1618" s="6">
        <f>L1617+J1618-K1618</f>
        <v>8050118</v>
      </c>
      <c r="M1618" s="6">
        <f ca="1">IFERROR(__xludf.DUMMYFUNCTION("SUM(FILTER(J:J, H:H=""Tiền mặt"")) - SUM(FILTER(K:K, H:H=""Tiền mặt""))
"),959000)</f>
        <v>959000</v>
      </c>
      <c r="N1618" s="6">
        <f ca="1">IFERROR(__xludf.DUMMYFUNCTION("SUM(FILTER(J:J, H:H=""Chuyển khoản"")) - SUM(FILTER(K:K, H:H=""Chuyển khoản""))
"),4468984)</f>
        <v>4468984</v>
      </c>
      <c r="O1618" s="5"/>
      <c r="P1618" s="5"/>
      <c r="Q1618" s="5"/>
      <c r="R1618" s="5"/>
      <c r="S1618" s="5"/>
    </row>
    <row r="1619" spans="1:19" ht="15.75" customHeight="1" x14ac:dyDescent="0.2">
      <c r="A1619" s="3"/>
      <c r="B1619" s="4" t="str">
        <f>IF(A1619="","","PC-"&amp;TEXT(A1619,"mm/yyyy")&amp;"-"&amp;TEXT(COUNTIFS($A$2:A1619,"&gt;="&amp;EOMONTH(A1619,-1)+1,$A$2:A1619,"&lt;="&amp;EOMONTH(A1619,0)),"000"))</f>
        <v/>
      </c>
      <c r="C1619" s="5"/>
      <c r="D1619" s="5"/>
      <c r="E1619" s="5"/>
      <c r="F1619" s="5"/>
      <c r="G1619" s="5"/>
      <c r="H1619" s="5"/>
      <c r="I1619" s="6"/>
      <c r="J1619" s="6">
        <f>IF(D1619="Thu",I1619,0)</f>
        <v>0</v>
      </c>
      <c r="K1619" s="6">
        <f>IF(D1619="Chi",I1619,0)</f>
        <v>0</v>
      </c>
      <c r="L1619" s="6">
        <f>L1618+J1619-K1619</f>
        <v>8050118</v>
      </c>
      <c r="M1619" s="6">
        <f ca="1">IFERROR(__xludf.DUMMYFUNCTION("SUM(FILTER(J:J, H:H=""Tiền mặt"")) - SUM(FILTER(K:K, H:H=""Tiền mặt""))
"),959000)</f>
        <v>959000</v>
      </c>
      <c r="N1619" s="6">
        <f ca="1">IFERROR(__xludf.DUMMYFUNCTION("SUM(FILTER(J:J, H:H=""Chuyển khoản"")) - SUM(FILTER(K:K, H:H=""Chuyển khoản""))
"),4468984)</f>
        <v>4468984</v>
      </c>
      <c r="O1619" s="5"/>
      <c r="P1619" s="5"/>
      <c r="Q1619" s="5"/>
      <c r="R1619" s="5"/>
      <c r="S1619" s="5"/>
    </row>
    <row r="1620" spans="1:19" ht="15.75" customHeight="1" x14ac:dyDescent="0.2">
      <c r="A1620" s="3"/>
      <c r="B1620" s="4" t="str">
        <f>IF(A1620="","","PC-"&amp;TEXT(A1620,"mm/yyyy")&amp;"-"&amp;TEXT(COUNTIFS($A$2:A1620,"&gt;="&amp;EOMONTH(A1620,-1)+1,$A$2:A1620,"&lt;="&amp;EOMONTH(A1620,0)),"000"))</f>
        <v/>
      </c>
      <c r="C1620" s="5"/>
      <c r="D1620" s="5"/>
      <c r="E1620" s="5"/>
      <c r="F1620" s="5"/>
      <c r="G1620" s="5"/>
      <c r="H1620" s="5"/>
      <c r="I1620" s="6"/>
      <c r="J1620" s="6">
        <f>IF(D1620="Thu",I1620,0)</f>
        <v>0</v>
      </c>
      <c r="K1620" s="6">
        <f>IF(D1620="Chi",I1620,0)</f>
        <v>0</v>
      </c>
      <c r="L1620" s="6">
        <f>L1619+J1620-K1620</f>
        <v>8050118</v>
      </c>
      <c r="M1620" s="6">
        <f ca="1">IFERROR(__xludf.DUMMYFUNCTION("SUM(FILTER(J:J, H:H=""Tiền mặt"")) - SUM(FILTER(K:K, H:H=""Tiền mặt""))
"),959000)</f>
        <v>959000</v>
      </c>
      <c r="N1620" s="6">
        <f ca="1">IFERROR(__xludf.DUMMYFUNCTION("SUM(FILTER(J:J, H:H=""Chuyển khoản"")) - SUM(FILTER(K:K, H:H=""Chuyển khoản""))
"),4468984)</f>
        <v>4468984</v>
      </c>
      <c r="O1620" s="5"/>
      <c r="P1620" s="5"/>
      <c r="Q1620" s="5"/>
      <c r="R1620" s="5"/>
      <c r="S1620" s="5"/>
    </row>
    <row r="1621" spans="1:19" ht="15.75" customHeight="1" x14ac:dyDescent="0.2">
      <c r="A1621" s="3"/>
      <c r="B1621" s="4" t="str">
        <f>IF(A1621="","","PC-"&amp;TEXT(A1621,"mm/yyyy")&amp;"-"&amp;TEXT(COUNTIFS($A$2:A1621,"&gt;="&amp;EOMONTH(A1621,-1)+1,$A$2:A1621,"&lt;="&amp;EOMONTH(A1621,0)),"000"))</f>
        <v/>
      </c>
      <c r="C1621" s="5"/>
      <c r="D1621" s="5"/>
      <c r="E1621" s="5"/>
      <c r="F1621" s="5"/>
      <c r="G1621" s="5"/>
      <c r="H1621" s="5"/>
      <c r="I1621" s="6"/>
      <c r="J1621" s="6">
        <f>IF(D1621="Thu",I1621,0)</f>
        <v>0</v>
      </c>
      <c r="K1621" s="6">
        <f>IF(D1621="Chi",I1621,0)</f>
        <v>0</v>
      </c>
      <c r="L1621" s="6">
        <f>L1620+J1621-K1621</f>
        <v>8050118</v>
      </c>
      <c r="M1621" s="6">
        <f ca="1">IFERROR(__xludf.DUMMYFUNCTION("SUM(FILTER(J:J, H:H=""Tiền mặt"")) - SUM(FILTER(K:K, H:H=""Tiền mặt""))
"),959000)</f>
        <v>959000</v>
      </c>
      <c r="N1621" s="6">
        <f ca="1">IFERROR(__xludf.DUMMYFUNCTION("SUM(FILTER(J:J, H:H=""Chuyển khoản"")) - SUM(FILTER(K:K, H:H=""Chuyển khoản""))
"),4468984)</f>
        <v>4468984</v>
      </c>
      <c r="O1621" s="5"/>
      <c r="P1621" s="5"/>
      <c r="Q1621" s="5"/>
      <c r="R1621" s="5"/>
      <c r="S1621" s="5"/>
    </row>
    <row r="1622" spans="1:19" ht="15.75" customHeight="1" x14ac:dyDescent="0.2">
      <c r="A1622" s="3"/>
      <c r="B1622" s="4" t="str">
        <f>IF(A1622="","","PC-"&amp;TEXT(A1622,"mm/yyyy")&amp;"-"&amp;TEXT(COUNTIFS($A$2:A1622,"&gt;="&amp;EOMONTH(A1622,-1)+1,$A$2:A1622,"&lt;="&amp;EOMONTH(A1622,0)),"000"))</f>
        <v/>
      </c>
      <c r="C1622" s="5"/>
      <c r="D1622" s="5"/>
      <c r="E1622" s="5"/>
      <c r="F1622" s="5"/>
      <c r="G1622" s="5"/>
      <c r="H1622" s="5"/>
      <c r="I1622" s="6"/>
      <c r="J1622" s="6">
        <f>IF(D1622="Thu",I1622,0)</f>
        <v>0</v>
      </c>
      <c r="K1622" s="6">
        <f>IF(D1622="Chi",I1622,0)</f>
        <v>0</v>
      </c>
      <c r="L1622" s="6">
        <f>L1621+J1622-K1622</f>
        <v>8050118</v>
      </c>
      <c r="M1622" s="6">
        <f ca="1">IFERROR(__xludf.DUMMYFUNCTION("SUM(FILTER(J:J, H:H=""Tiền mặt"")) - SUM(FILTER(K:K, H:H=""Tiền mặt""))
"),959000)</f>
        <v>959000</v>
      </c>
      <c r="N1622" s="6">
        <f ca="1">IFERROR(__xludf.DUMMYFUNCTION("SUM(FILTER(J:J, H:H=""Chuyển khoản"")) - SUM(FILTER(K:K, H:H=""Chuyển khoản""))
"),4468984)</f>
        <v>4468984</v>
      </c>
      <c r="O1622" s="5"/>
      <c r="P1622" s="5"/>
      <c r="Q1622" s="5"/>
      <c r="R1622" s="5"/>
      <c r="S1622" s="5"/>
    </row>
    <row r="1623" spans="1:19" ht="15.75" customHeight="1" x14ac:dyDescent="0.2">
      <c r="A1623" s="3"/>
      <c r="B1623" s="4" t="str">
        <f>IF(A1623="","","PC-"&amp;TEXT(A1623,"mm/yyyy")&amp;"-"&amp;TEXT(COUNTIFS($A$2:A1623,"&gt;="&amp;EOMONTH(A1623,-1)+1,$A$2:A1623,"&lt;="&amp;EOMONTH(A1623,0)),"000"))</f>
        <v/>
      </c>
      <c r="C1623" s="5"/>
      <c r="D1623" s="5"/>
      <c r="E1623" s="5"/>
      <c r="F1623" s="5"/>
      <c r="G1623" s="5"/>
      <c r="H1623" s="5"/>
      <c r="I1623" s="6"/>
      <c r="J1623" s="6">
        <f>IF(D1623="Thu",I1623,0)</f>
        <v>0</v>
      </c>
      <c r="K1623" s="6">
        <f>IF(D1623="Chi",I1623,0)</f>
        <v>0</v>
      </c>
      <c r="L1623" s="6">
        <f>L1622+J1623-K1623</f>
        <v>8050118</v>
      </c>
      <c r="M1623" s="6">
        <f ca="1">IFERROR(__xludf.DUMMYFUNCTION("SUM(FILTER(J:J, H:H=""Tiền mặt"")) - SUM(FILTER(K:K, H:H=""Tiền mặt""))
"),959000)</f>
        <v>959000</v>
      </c>
      <c r="N1623" s="6">
        <f ca="1">IFERROR(__xludf.DUMMYFUNCTION("SUM(FILTER(J:J, H:H=""Chuyển khoản"")) - SUM(FILTER(K:K, H:H=""Chuyển khoản""))
"),4468984)</f>
        <v>4468984</v>
      </c>
      <c r="O1623" s="5"/>
      <c r="P1623" s="5"/>
      <c r="Q1623" s="5"/>
      <c r="R1623" s="5"/>
      <c r="S1623" s="5"/>
    </row>
    <row r="1624" spans="1:19" ht="15.75" customHeight="1" x14ac:dyDescent="0.2">
      <c r="A1624" s="3"/>
      <c r="B1624" s="4" t="str">
        <f>IF(A1624="","","PC-"&amp;TEXT(A1624,"mm/yyyy")&amp;"-"&amp;TEXT(COUNTIFS($A$2:A1624,"&gt;="&amp;EOMONTH(A1624,-1)+1,$A$2:A1624,"&lt;="&amp;EOMONTH(A1624,0)),"000"))</f>
        <v/>
      </c>
      <c r="C1624" s="5"/>
      <c r="D1624" s="5"/>
      <c r="E1624" s="5"/>
      <c r="F1624" s="5"/>
      <c r="G1624" s="5"/>
      <c r="H1624" s="5"/>
      <c r="I1624" s="6"/>
      <c r="J1624" s="6">
        <f>IF(D1624="Thu",I1624,0)</f>
        <v>0</v>
      </c>
      <c r="K1624" s="6">
        <f>IF(D1624="Chi",I1624,0)</f>
        <v>0</v>
      </c>
      <c r="L1624" s="6">
        <f>L1623+J1624-K1624</f>
        <v>8050118</v>
      </c>
      <c r="M1624" s="6">
        <f ca="1">IFERROR(__xludf.DUMMYFUNCTION("SUM(FILTER(J:J, H:H=""Tiền mặt"")) - SUM(FILTER(K:K, H:H=""Tiền mặt""))
"),959000)</f>
        <v>959000</v>
      </c>
      <c r="N1624" s="6">
        <f ca="1">IFERROR(__xludf.DUMMYFUNCTION("SUM(FILTER(J:J, H:H=""Chuyển khoản"")) - SUM(FILTER(K:K, H:H=""Chuyển khoản""))
"),4468984)</f>
        <v>4468984</v>
      </c>
      <c r="O1624" s="5"/>
      <c r="P1624" s="5"/>
      <c r="Q1624" s="5"/>
      <c r="R1624" s="5"/>
      <c r="S1624" s="5"/>
    </row>
    <row r="1625" spans="1:19" ht="15.75" customHeight="1" x14ac:dyDescent="0.2">
      <c r="A1625" s="3"/>
      <c r="B1625" s="4" t="str">
        <f>IF(A1625="","","PC-"&amp;TEXT(A1625,"mm/yyyy")&amp;"-"&amp;TEXT(COUNTIFS($A$2:A1625,"&gt;="&amp;EOMONTH(A1625,-1)+1,$A$2:A1625,"&lt;="&amp;EOMONTH(A1625,0)),"000"))</f>
        <v/>
      </c>
      <c r="C1625" s="5"/>
      <c r="D1625" s="5"/>
      <c r="E1625" s="5"/>
      <c r="F1625" s="5"/>
      <c r="G1625" s="5"/>
      <c r="H1625" s="5"/>
      <c r="I1625" s="6"/>
      <c r="J1625" s="6">
        <f>IF(D1625="Thu",I1625,0)</f>
        <v>0</v>
      </c>
      <c r="K1625" s="6">
        <f>IF(D1625="Chi",I1625,0)</f>
        <v>0</v>
      </c>
      <c r="L1625" s="6">
        <f>L1624+J1625-K1625</f>
        <v>8050118</v>
      </c>
      <c r="M1625" s="6">
        <f ca="1">IFERROR(__xludf.DUMMYFUNCTION("SUM(FILTER(J:J, H:H=""Tiền mặt"")) - SUM(FILTER(K:K, H:H=""Tiền mặt""))
"),959000)</f>
        <v>959000</v>
      </c>
      <c r="N1625" s="6">
        <f ca="1">IFERROR(__xludf.DUMMYFUNCTION("SUM(FILTER(J:J, H:H=""Chuyển khoản"")) - SUM(FILTER(K:K, H:H=""Chuyển khoản""))
"),4468984)</f>
        <v>4468984</v>
      </c>
      <c r="O1625" s="5"/>
      <c r="P1625" s="5"/>
      <c r="Q1625" s="5"/>
      <c r="R1625" s="5"/>
      <c r="S1625" s="5"/>
    </row>
    <row r="1626" spans="1:19" ht="15.75" customHeight="1" x14ac:dyDescent="0.2">
      <c r="A1626" s="3"/>
      <c r="B1626" s="4" t="str">
        <f>IF(A1626="","","PC-"&amp;TEXT(A1626,"mm/yyyy")&amp;"-"&amp;TEXT(COUNTIFS($A$2:A1626,"&gt;="&amp;EOMONTH(A1626,-1)+1,$A$2:A1626,"&lt;="&amp;EOMONTH(A1626,0)),"000"))</f>
        <v/>
      </c>
      <c r="C1626" s="5"/>
      <c r="D1626" s="5"/>
      <c r="E1626" s="5"/>
      <c r="F1626" s="5"/>
      <c r="G1626" s="5"/>
      <c r="H1626" s="5"/>
      <c r="I1626" s="6"/>
      <c r="J1626" s="6">
        <f>IF(D1626="Thu",I1626,0)</f>
        <v>0</v>
      </c>
      <c r="K1626" s="6">
        <f>IF(D1626="Chi",I1626,0)</f>
        <v>0</v>
      </c>
      <c r="L1626" s="6">
        <f>L1625+J1626-K1626</f>
        <v>8050118</v>
      </c>
      <c r="M1626" s="6">
        <f ca="1">IFERROR(__xludf.DUMMYFUNCTION("SUM(FILTER(J:J, H:H=""Tiền mặt"")) - SUM(FILTER(K:K, H:H=""Tiền mặt""))
"),959000)</f>
        <v>959000</v>
      </c>
      <c r="N1626" s="6">
        <f ca="1">IFERROR(__xludf.DUMMYFUNCTION("SUM(FILTER(J:J, H:H=""Chuyển khoản"")) - SUM(FILTER(K:K, H:H=""Chuyển khoản""))
"),4468984)</f>
        <v>4468984</v>
      </c>
      <c r="O1626" s="5"/>
      <c r="P1626" s="5"/>
      <c r="Q1626" s="5"/>
      <c r="R1626" s="5"/>
      <c r="S1626" s="5"/>
    </row>
    <row r="1627" spans="1:19" ht="15.75" customHeight="1" x14ac:dyDescent="0.2">
      <c r="A1627" s="3"/>
      <c r="B1627" s="4" t="str">
        <f>IF(A1627="","","PC-"&amp;TEXT(A1627,"mm/yyyy")&amp;"-"&amp;TEXT(COUNTIFS($A$2:A1627,"&gt;="&amp;EOMONTH(A1627,-1)+1,$A$2:A1627,"&lt;="&amp;EOMONTH(A1627,0)),"000"))</f>
        <v/>
      </c>
      <c r="C1627" s="5"/>
      <c r="D1627" s="5"/>
      <c r="E1627" s="5"/>
      <c r="F1627" s="5"/>
      <c r="G1627" s="5"/>
      <c r="H1627" s="5"/>
      <c r="I1627" s="6"/>
      <c r="J1627" s="6">
        <f>IF(D1627="Thu",I1627,0)</f>
        <v>0</v>
      </c>
      <c r="K1627" s="6">
        <f>IF(D1627="Chi",I1627,0)</f>
        <v>0</v>
      </c>
      <c r="L1627" s="6">
        <f>L1626+J1627-K1627</f>
        <v>8050118</v>
      </c>
      <c r="M1627" s="6">
        <f ca="1">IFERROR(__xludf.DUMMYFUNCTION("SUM(FILTER(J:J, H:H=""Tiền mặt"")) - SUM(FILTER(K:K, H:H=""Tiền mặt""))
"),959000)</f>
        <v>959000</v>
      </c>
      <c r="N1627" s="6">
        <f ca="1">IFERROR(__xludf.DUMMYFUNCTION("SUM(FILTER(J:J, H:H=""Chuyển khoản"")) - SUM(FILTER(K:K, H:H=""Chuyển khoản""))
"),4468984)</f>
        <v>4468984</v>
      </c>
      <c r="O1627" s="5"/>
      <c r="P1627" s="5"/>
      <c r="Q1627" s="5"/>
      <c r="R1627" s="5"/>
      <c r="S1627" s="5"/>
    </row>
    <row r="1628" spans="1:19" ht="15.75" customHeight="1" x14ac:dyDescent="0.2">
      <c r="A1628" s="3"/>
      <c r="B1628" s="4" t="str">
        <f>IF(A1628="","","PC-"&amp;TEXT(A1628,"mm/yyyy")&amp;"-"&amp;TEXT(COUNTIFS($A$2:A1628,"&gt;="&amp;EOMONTH(A1628,-1)+1,$A$2:A1628,"&lt;="&amp;EOMONTH(A1628,0)),"000"))</f>
        <v/>
      </c>
      <c r="C1628" s="5"/>
      <c r="D1628" s="5"/>
      <c r="E1628" s="5"/>
      <c r="F1628" s="5"/>
      <c r="G1628" s="5"/>
      <c r="H1628" s="5"/>
      <c r="I1628" s="6"/>
      <c r="J1628" s="6">
        <f>IF(D1628="Thu",I1628,0)</f>
        <v>0</v>
      </c>
      <c r="K1628" s="6">
        <f>IF(D1628="Chi",I1628,0)</f>
        <v>0</v>
      </c>
      <c r="L1628" s="6">
        <f>L1627+J1628-K1628</f>
        <v>8050118</v>
      </c>
      <c r="M1628" s="6">
        <f ca="1">IFERROR(__xludf.DUMMYFUNCTION("SUM(FILTER(J:J, H:H=""Tiền mặt"")) - SUM(FILTER(K:K, H:H=""Tiền mặt""))
"),959000)</f>
        <v>959000</v>
      </c>
      <c r="N1628" s="6">
        <f ca="1">IFERROR(__xludf.DUMMYFUNCTION("SUM(FILTER(J:J, H:H=""Chuyển khoản"")) - SUM(FILTER(K:K, H:H=""Chuyển khoản""))
"),4468984)</f>
        <v>4468984</v>
      </c>
      <c r="O1628" s="5"/>
      <c r="P1628" s="5"/>
      <c r="Q1628" s="5"/>
      <c r="R1628" s="5"/>
      <c r="S1628" s="5"/>
    </row>
    <row r="1629" spans="1:19" ht="15.75" customHeight="1" x14ac:dyDescent="0.2">
      <c r="A1629" s="3"/>
      <c r="B1629" s="4" t="str">
        <f>IF(A1629="","","PC-"&amp;TEXT(A1629,"mm/yyyy")&amp;"-"&amp;TEXT(COUNTIFS($A$2:A1629,"&gt;="&amp;EOMONTH(A1629,-1)+1,$A$2:A1629,"&lt;="&amp;EOMONTH(A1629,0)),"000"))</f>
        <v/>
      </c>
      <c r="C1629" s="5"/>
      <c r="D1629" s="5"/>
      <c r="E1629" s="5"/>
      <c r="F1629" s="5"/>
      <c r="G1629" s="5"/>
      <c r="H1629" s="5"/>
      <c r="I1629" s="6"/>
      <c r="J1629" s="6">
        <f>IF(D1629="Thu",I1629,0)</f>
        <v>0</v>
      </c>
      <c r="K1629" s="6">
        <f>IF(D1629="Chi",I1629,0)</f>
        <v>0</v>
      </c>
      <c r="L1629" s="6">
        <f>L1628+J1629-K1629</f>
        <v>8050118</v>
      </c>
      <c r="M1629" s="6">
        <f ca="1">IFERROR(__xludf.DUMMYFUNCTION("SUM(FILTER(J:J, H:H=""Tiền mặt"")) - SUM(FILTER(K:K, H:H=""Tiền mặt""))
"),959000)</f>
        <v>959000</v>
      </c>
      <c r="N1629" s="6">
        <f ca="1">IFERROR(__xludf.DUMMYFUNCTION("SUM(FILTER(J:J, H:H=""Chuyển khoản"")) - SUM(FILTER(K:K, H:H=""Chuyển khoản""))
"),4468984)</f>
        <v>4468984</v>
      </c>
      <c r="O1629" s="5"/>
      <c r="P1629" s="5"/>
      <c r="Q1629" s="5"/>
      <c r="R1629" s="5"/>
      <c r="S1629" s="5"/>
    </row>
    <row r="1630" spans="1:19" ht="15.75" customHeight="1" x14ac:dyDescent="0.2">
      <c r="A1630" s="3"/>
      <c r="B1630" s="4" t="str">
        <f>IF(A1630="","","PC-"&amp;TEXT(A1630,"mm/yyyy")&amp;"-"&amp;TEXT(COUNTIFS($A$2:A1630,"&gt;="&amp;EOMONTH(A1630,-1)+1,$A$2:A1630,"&lt;="&amp;EOMONTH(A1630,0)),"000"))</f>
        <v/>
      </c>
      <c r="C1630" s="5"/>
      <c r="D1630" s="5"/>
      <c r="E1630" s="5"/>
      <c r="F1630" s="5"/>
      <c r="G1630" s="5"/>
      <c r="H1630" s="5"/>
      <c r="I1630" s="6"/>
      <c r="J1630" s="6">
        <f>IF(D1630="Thu",I1630,0)</f>
        <v>0</v>
      </c>
      <c r="K1630" s="6">
        <f>IF(D1630="Chi",I1630,0)</f>
        <v>0</v>
      </c>
      <c r="L1630" s="6">
        <f>L1629+J1630-K1630</f>
        <v>8050118</v>
      </c>
      <c r="M1630" s="6">
        <f ca="1">IFERROR(__xludf.DUMMYFUNCTION("SUM(FILTER(J:J, H:H=""Tiền mặt"")) - SUM(FILTER(K:K, H:H=""Tiền mặt""))
"),959000)</f>
        <v>959000</v>
      </c>
      <c r="N1630" s="6">
        <f ca="1">IFERROR(__xludf.DUMMYFUNCTION("SUM(FILTER(J:J, H:H=""Chuyển khoản"")) - SUM(FILTER(K:K, H:H=""Chuyển khoản""))
"),4468984)</f>
        <v>4468984</v>
      </c>
      <c r="O1630" s="5"/>
      <c r="P1630" s="5"/>
      <c r="Q1630" s="5"/>
      <c r="R1630" s="5"/>
      <c r="S1630" s="5"/>
    </row>
    <row r="1631" spans="1:19" ht="15.75" customHeight="1" x14ac:dyDescent="0.2">
      <c r="A1631" s="3"/>
      <c r="B1631" s="4" t="str">
        <f>IF(A1631="","","PC-"&amp;TEXT(A1631,"mm/yyyy")&amp;"-"&amp;TEXT(COUNTIFS($A$2:A1631,"&gt;="&amp;EOMONTH(A1631,-1)+1,$A$2:A1631,"&lt;="&amp;EOMONTH(A1631,0)),"000"))</f>
        <v/>
      </c>
      <c r="C1631" s="5"/>
      <c r="D1631" s="5"/>
      <c r="E1631" s="5"/>
      <c r="F1631" s="5"/>
      <c r="G1631" s="5"/>
      <c r="H1631" s="5"/>
      <c r="I1631" s="6"/>
      <c r="J1631" s="6">
        <f>IF(D1631="Thu",I1631,0)</f>
        <v>0</v>
      </c>
      <c r="K1631" s="6">
        <f>IF(D1631="Chi",I1631,0)</f>
        <v>0</v>
      </c>
      <c r="L1631" s="6">
        <f>L1630+J1631-K1631</f>
        <v>8050118</v>
      </c>
      <c r="M1631" s="6">
        <f ca="1">IFERROR(__xludf.DUMMYFUNCTION("SUM(FILTER(J:J, H:H=""Tiền mặt"")) - SUM(FILTER(K:K, H:H=""Tiền mặt""))
"),959000)</f>
        <v>959000</v>
      </c>
      <c r="N1631" s="6">
        <f ca="1">IFERROR(__xludf.DUMMYFUNCTION("SUM(FILTER(J:J, H:H=""Chuyển khoản"")) - SUM(FILTER(K:K, H:H=""Chuyển khoản""))
"),4468984)</f>
        <v>4468984</v>
      </c>
      <c r="O1631" s="5"/>
      <c r="P1631" s="5"/>
      <c r="Q1631" s="5"/>
      <c r="R1631" s="5"/>
      <c r="S1631" s="5"/>
    </row>
    <row r="1632" spans="1:19" ht="15.75" customHeight="1" x14ac:dyDescent="0.2">
      <c r="A1632" s="3"/>
      <c r="B1632" s="4" t="str">
        <f>IF(A1632="","","PC-"&amp;TEXT(A1632,"mm/yyyy")&amp;"-"&amp;TEXT(COUNTIFS($A$2:A1632,"&gt;="&amp;EOMONTH(A1632,-1)+1,$A$2:A1632,"&lt;="&amp;EOMONTH(A1632,0)),"000"))</f>
        <v/>
      </c>
      <c r="C1632" s="5"/>
      <c r="D1632" s="5"/>
      <c r="E1632" s="5"/>
      <c r="F1632" s="5"/>
      <c r="G1632" s="5"/>
      <c r="H1632" s="5"/>
      <c r="I1632" s="6"/>
      <c r="J1632" s="6">
        <f>IF(D1632="Thu",I1632,0)</f>
        <v>0</v>
      </c>
      <c r="K1632" s="6">
        <f>IF(D1632="Chi",I1632,0)</f>
        <v>0</v>
      </c>
      <c r="L1632" s="6">
        <f>L1631+J1632-K1632</f>
        <v>8050118</v>
      </c>
      <c r="M1632" s="6">
        <f ca="1">IFERROR(__xludf.DUMMYFUNCTION("SUM(FILTER(J:J, H:H=""Tiền mặt"")) - SUM(FILTER(K:K, H:H=""Tiền mặt""))
"),959000)</f>
        <v>959000</v>
      </c>
      <c r="N1632" s="6">
        <f ca="1">IFERROR(__xludf.DUMMYFUNCTION("SUM(FILTER(J:J, H:H=""Chuyển khoản"")) - SUM(FILTER(K:K, H:H=""Chuyển khoản""))
"),4468984)</f>
        <v>4468984</v>
      </c>
      <c r="O1632" s="5"/>
      <c r="P1632" s="5"/>
      <c r="Q1632" s="5"/>
      <c r="R1632" s="5"/>
      <c r="S1632" s="5"/>
    </row>
    <row r="1633" spans="1:19" ht="15.75" customHeight="1" x14ac:dyDescent="0.2">
      <c r="A1633" s="3"/>
      <c r="B1633" s="4" t="str">
        <f>IF(A1633="","","PC-"&amp;TEXT(A1633,"mm/yyyy")&amp;"-"&amp;TEXT(COUNTIFS($A$2:A1633,"&gt;="&amp;EOMONTH(A1633,-1)+1,$A$2:A1633,"&lt;="&amp;EOMONTH(A1633,0)),"000"))</f>
        <v/>
      </c>
      <c r="C1633" s="5"/>
      <c r="D1633" s="5"/>
      <c r="E1633" s="5"/>
      <c r="F1633" s="5"/>
      <c r="G1633" s="5"/>
      <c r="H1633" s="5"/>
      <c r="I1633" s="6"/>
      <c r="J1633" s="6">
        <f>IF(D1633="Thu",I1633,0)</f>
        <v>0</v>
      </c>
      <c r="K1633" s="6">
        <f>IF(D1633="Chi",I1633,0)</f>
        <v>0</v>
      </c>
      <c r="L1633" s="6">
        <f>L1632+J1633-K1633</f>
        <v>8050118</v>
      </c>
      <c r="M1633" s="6">
        <f ca="1">IFERROR(__xludf.DUMMYFUNCTION("SUM(FILTER(J:J, H:H=""Tiền mặt"")) - SUM(FILTER(K:K, H:H=""Tiền mặt""))
"),959000)</f>
        <v>959000</v>
      </c>
      <c r="N1633" s="6">
        <f ca="1">IFERROR(__xludf.DUMMYFUNCTION("SUM(FILTER(J:J, H:H=""Chuyển khoản"")) - SUM(FILTER(K:K, H:H=""Chuyển khoản""))
"),4468984)</f>
        <v>4468984</v>
      </c>
      <c r="O1633" s="5"/>
      <c r="P1633" s="5"/>
      <c r="Q1633" s="5"/>
      <c r="R1633" s="5"/>
      <c r="S1633" s="5"/>
    </row>
    <row r="1634" spans="1:19" ht="15.75" customHeight="1" x14ac:dyDescent="0.2">
      <c r="A1634" s="3"/>
      <c r="B1634" s="4" t="str">
        <f>IF(A1634="","","PC-"&amp;TEXT(A1634,"mm/yyyy")&amp;"-"&amp;TEXT(COUNTIFS($A$2:A1634,"&gt;="&amp;EOMONTH(A1634,-1)+1,$A$2:A1634,"&lt;="&amp;EOMONTH(A1634,0)),"000"))</f>
        <v/>
      </c>
      <c r="C1634" s="5"/>
      <c r="D1634" s="5"/>
      <c r="E1634" s="5"/>
      <c r="F1634" s="5"/>
      <c r="G1634" s="5"/>
      <c r="H1634" s="5"/>
      <c r="I1634" s="6"/>
      <c r="J1634" s="6">
        <f>IF(D1634="Thu",I1634,0)</f>
        <v>0</v>
      </c>
      <c r="K1634" s="6">
        <f>IF(D1634="Chi",I1634,0)</f>
        <v>0</v>
      </c>
      <c r="L1634" s="6">
        <f>L1633+J1634-K1634</f>
        <v>8050118</v>
      </c>
      <c r="M1634" s="6">
        <f ca="1">IFERROR(__xludf.DUMMYFUNCTION("SUM(FILTER(J:J, H:H=""Tiền mặt"")) - SUM(FILTER(K:K, H:H=""Tiền mặt""))
"),959000)</f>
        <v>959000</v>
      </c>
      <c r="N1634" s="6">
        <f ca="1">IFERROR(__xludf.DUMMYFUNCTION("SUM(FILTER(J:J, H:H=""Chuyển khoản"")) - SUM(FILTER(K:K, H:H=""Chuyển khoản""))
"),4468984)</f>
        <v>4468984</v>
      </c>
      <c r="O1634" s="5"/>
      <c r="P1634" s="5"/>
      <c r="Q1634" s="5"/>
      <c r="R1634" s="5"/>
      <c r="S1634" s="5"/>
    </row>
    <row r="1635" spans="1:19" ht="15.75" customHeight="1" x14ac:dyDescent="0.2">
      <c r="A1635" s="3"/>
      <c r="B1635" s="4" t="str">
        <f>IF(A1635="","","PC-"&amp;TEXT(A1635,"mm/yyyy")&amp;"-"&amp;TEXT(COUNTIFS($A$2:A1635,"&gt;="&amp;EOMONTH(A1635,-1)+1,$A$2:A1635,"&lt;="&amp;EOMONTH(A1635,0)),"000"))</f>
        <v/>
      </c>
      <c r="C1635" s="5"/>
      <c r="D1635" s="5"/>
      <c r="E1635" s="5"/>
      <c r="F1635" s="5"/>
      <c r="G1635" s="5"/>
      <c r="H1635" s="5"/>
      <c r="I1635" s="6"/>
      <c r="J1635" s="6">
        <f>IF(D1635="Thu",I1635,0)</f>
        <v>0</v>
      </c>
      <c r="K1635" s="6">
        <f>IF(D1635="Chi",I1635,0)</f>
        <v>0</v>
      </c>
      <c r="L1635" s="6">
        <f>L1634+J1635-K1635</f>
        <v>8050118</v>
      </c>
      <c r="M1635" s="6">
        <f ca="1">IFERROR(__xludf.DUMMYFUNCTION("SUM(FILTER(J:J, H:H=""Tiền mặt"")) - SUM(FILTER(K:K, H:H=""Tiền mặt""))
"),959000)</f>
        <v>959000</v>
      </c>
      <c r="N1635" s="6">
        <f ca="1">IFERROR(__xludf.DUMMYFUNCTION("SUM(FILTER(J:J, H:H=""Chuyển khoản"")) - SUM(FILTER(K:K, H:H=""Chuyển khoản""))
"),4468984)</f>
        <v>4468984</v>
      </c>
      <c r="O1635" s="5"/>
      <c r="P1635" s="5"/>
      <c r="Q1635" s="5"/>
      <c r="R1635" s="5"/>
      <c r="S1635" s="5"/>
    </row>
    <row r="1636" spans="1:19" ht="15.75" customHeight="1" x14ac:dyDescent="0.2">
      <c r="A1636" s="3"/>
      <c r="B1636" s="4" t="str">
        <f>IF(A1636="","","PC-"&amp;TEXT(A1636,"mm/yyyy")&amp;"-"&amp;TEXT(COUNTIFS($A$2:A1636,"&gt;="&amp;EOMONTH(A1636,-1)+1,$A$2:A1636,"&lt;="&amp;EOMONTH(A1636,0)),"000"))</f>
        <v/>
      </c>
      <c r="C1636" s="5"/>
      <c r="D1636" s="5"/>
      <c r="E1636" s="5"/>
      <c r="F1636" s="5"/>
      <c r="G1636" s="5"/>
      <c r="H1636" s="5"/>
      <c r="I1636" s="6"/>
      <c r="J1636" s="6">
        <f>IF(D1636="Thu",I1636,0)</f>
        <v>0</v>
      </c>
      <c r="K1636" s="6">
        <f>IF(D1636="Chi",I1636,0)</f>
        <v>0</v>
      </c>
      <c r="L1636" s="6">
        <f>L1635+J1636-K1636</f>
        <v>8050118</v>
      </c>
      <c r="M1636" s="6">
        <f ca="1">IFERROR(__xludf.DUMMYFUNCTION("SUM(FILTER(J:J, H:H=""Tiền mặt"")) - SUM(FILTER(K:K, H:H=""Tiền mặt""))
"),959000)</f>
        <v>959000</v>
      </c>
      <c r="N1636" s="6">
        <f ca="1">IFERROR(__xludf.DUMMYFUNCTION("SUM(FILTER(J:J, H:H=""Chuyển khoản"")) - SUM(FILTER(K:K, H:H=""Chuyển khoản""))
"),4468984)</f>
        <v>4468984</v>
      </c>
      <c r="O1636" s="5"/>
      <c r="P1636" s="5"/>
      <c r="Q1636" s="5"/>
      <c r="R1636" s="5"/>
      <c r="S1636" s="5"/>
    </row>
    <row r="1637" spans="1:19" ht="15.75" customHeight="1" x14ac:dyDescent="0.2">
      <c r="A1637" s="3"/>
      <c r="B1637" s="4" t="str">
        <f>IF(A1637="","","PC-"&amp;TEXT(A1637,"mm/yyyy")&amp;"-"&amp;TEXT(COUNTIFS($A$2:A1637,"&gt;="&amp;EOMONTH(A1637,-1)+1,$A$2:A1637,"&lt;="&amp;EOMONTH(A1637,0)),"000"))</f>
        <v/>
      </c>
      <c r="C1637" s="5"/>
      <c r="D1637" s="5"/>
      <c r="E1637" s="5"/>
      <c r="F1637" s="5"/>
      <c r="G1637" s="5"/>
      <c r="H1637" s="5"/>
      <c r="I1637" s="6"/>
      <c r="J1637" s="6">
        <f>IF(D1637="Thu",I1637,0)</f>
        <v>0</v>
      </c>
      <c r="K1637" s="6">
        <f>IF(D1637="Chi",I1637,0)</f>
        <v>0</v>
      </c>
      <c r="L1637" s="6">
        <f>L1636+J1637-K1637</f>
        <v>8050118</v>
      </c>
      <c r="M1637" s="6">
        <f ca="1">IFERROR(__xludf.DUMMYFUNCTION("SUM(FILTER(J:J, H:H=""Tiền mặt"")) - SUM(FILTER(K:K, H:H=""Tiền mặt""))
"),959000)</f>
        <v>959000</v>
      </c>
      <c r="N1637" s="6">
        <f ca="1">IFERROR(__xludf.DUMMYFUNCTION("SUM(FILTER(J:J, H:H=""Chuyển khoản"")) - SUM(FILTER(K:K, H:H=""Chuyển khoản""))
"),4468984)</f>
        <v>4468984</v>
      </c>
      <c r="O1637" s="5"/>
      <c r="P1637" s="5"/>
      <c r="Q1637" s="5"/>
      <c r="R1637" s="5"/>
      <c r="S1637" s="5"/>
    </row>
    <row r="1638" spans="1:19" ht="15.75" customHeight="1" x14ac:dyDescent="0.2">
      <c r="A1638" s="3"/>
      <c r="B1638" s="4" t="str">
        <f>IF(A1638="","","PC-"&amp;TEXT(A1638,"mm/yyyy")&amp;"-"&amp;TEXT(COUNTIFS($A$2:A1638,"&gt;="&amp;EOMONTH(A1638,-1)+1,$A$2:A1638,"&lt;="&amp;EOMONTH(A1638,0)),"000"))</f>
        <v/>
      </c>
      <c r="C1638" s="5"/>
      <c r="D1638" s="5"/>
      <c r="E1638" s="5"/>
      <c r="F1638" s="5"/>
      <c r="G1638" s="5"/>
      <c r="H1638" s="5"/>
      <c r="I1638" s="6"/>
      <c r="J1638" s="6">
        <f>IF(D1638="Thu",I1638,0)</f>
        <v>0</v>
      </c>
      <c r="K1638" s="6">
        <f>IF(D1638="Chi",I1638,0)</f>
        <v>0</v>
      </c>
      <c r="L1638" s="6">
        <f>L1637+J1638-K1638</f>
        <v>8050118</v>
      </c>
      <c r="M1638" s="6">
        <f ca="1">IFERROR(__xludf.DUMMYFUNCTION("SUM(FILTER(J:J, H:H=""Tiền mặt"")) - SUM(FILTER(K:K, H:H=""Tiền mặt""))
"),959000)</f>
        <v>959000</v>
      </c>
      <c r="N1638" s="6">
        <f ca="1">IFERROR(__xludf.DUMMYFUNCTION("SUM(FILTER(J:J, H:H=""Chuyển khoản"")) - SUM(FILTER(K:K, H:H=""Chuyển khoản""))
"),4468984)</f>
        <v>4468984</v>
      </c>
      <c r="O1638" s="5"/>
      <c r="P1638" s="5"/>
      <c r="Q1638" s="5"/>
      <c r="R1638" s="5"/>
      <c r="S1638" s="5"/>
    </row>
    <row r="1639" spans="1:19" ht="15.75" customHeight="1" x14ac:dyDescent="0.2">
      <c r="A1639" s="3"/>
      <c r="B1639" s="4" t="str">
        <f>IF(A1639="","","PC-"&amp;TEXT(A1639,"mm/yyyy")&amp;"-"&amp;TEXT(COUNTIFS($A$2:A1639,"&gt;="&amp;EOMONTH(A1639,-1)+1,$A$2:A1639,"&lt;="&amp;EOMONTH(A1639,0)),"000"))</f>
        <v/>
      </c>
      <c r="C1639" s="5"/>
      <c r="D1639" s="5"/>
      <c r="E1639" s="5"/>
      <c r="F1639" s="5"/>
      <c r="G1639" s="5"/>
      <c r="H1639" s="5"/>
      <c r="I1639" s="6"/>
      <c r="J1639" s="6">
        <f>IF(D1639="Thu",I1639,0)</f>
        <v>0</v>
      </c>
      <c r="K1639" s="6">
        <f>IF(D1639="Chi",I1639,0)</f>
        <v>0</v>
      </c>
      <c r="L1639" s="6">
        <f>L1638+J1639-K1639</f>
        <v>8050118</v>
      </c>
      <c r="M1639" s="6">
        <f ca="1">IFERROR(__xludf.DUMMYFUNCTION("SUM(FILTER(J:J, H:H=""Tiền mặt"")) - SUM(FILTER(K:K, H:H=""Tiền mặt""))
"),959000)</f>
        <v>959000</v>
      </c>
      <c r="N1639" s="6">
        <f ca="1">IFERROR(__xludf.DUMMYFUNCTION("SUM(FILTER(J:J, H:H=""Chuyển khoản"")) - SUM(FILTER(K:K, H:H=""Chuyển khoản""))
"),4468984)</f>
        <v>4468984</v>
      </c>
      <c r="O1639" s="5"/>
      <c r="P1639" s="5"/>
      <c r="Q1639" s="5"/>
      <c r="R1639" s="5"/>
      <c r="S1639" s="5"/>
    </row>
    <row r="1640" spans="1:19" ht="15.75" customHeight="1" x14ac:dyDescent="0.2">
      <c r="A1640" s="3"/>
      <c r="B1640" s="4" t="str">
        <f>IF(A1640="","","PC-"&amp;TEXT(A1640,"mm/yyyy")&amp;"-"&amp;TEXT(COUNTIFS($A$2:A1640,"&gt;="&amp;EOMONTH(A1640,-1)+1,$A$2:A1640,"&lt;="&amp;EOMONTH(A1640,0)),"000"))</f>
        <v/>
      </c>
      <c r="C1640" s="5"/>
      <c r="D1640" s="5"/>
      <c r="E1640" s="5"/>
      <c r="F1640" s="5"/>
      <c r="G1640" s="5"/>
      <c r="H1640" s="5"/>
      <c r="I1640" s="6"/>
      <c r="J1640" s="6">
        <f>IF(D1640="Thu",I1640,0)</f>
        <v>0</v>
      </c>
      <c r="K1640" s="6">
        <f>IF(D1640="Chi",I1640,0)</f>
        <v>0</v>
      </c>
      <c r="L1640" s="6">
        <f>L1639+J1640-K1640</f>
        <v>8050118</v>
      </c>
      <c r="M1640" s="6">
        <f ca="1">IFERROR(__xludf.DUMMYFUNCTION("SUM(FILTER(J:J, H:H=""Tiền mặt"")) - SUM(FILTER(K:K, H:H=""Tiền mặt""))
"),959000)</f>
        <v>959000</v>
      </c>
      <c r="N1640" s="6">
        <f ca="1">IFERROR(__xludf.DUMMYFUNCTION("SUM(FILTER(J:J, H:H=""Chuyển khoản"")) - SUM(FILTER(K:K, H:H=""Chuyển khoản""))
"),4468984)</f>
        <v>4468984</v>
      </c>
      <c r="O1640" s="5"/>
      <c r="P1640" s="5"/>
      <c r="Q1640" s="5"/>
      <c r="R1640" s="5"/>
      <c r="S1640" s="5"/>
    </row>
    <row r="1641" spans="1:19" ht="15.75" customHeight="1" x14ac:dyDescent="0.2">
      <c r="A1641" s="3"/>
      <c r="B1641" s="4" t="str">
        <f>IF(A1641="","","PC-"&amp;TEXT(A1641,"mm/yyyy")&amp;"-"&amp;TEXT(COUNTIFS($A$2:A1641,"&gt;="&amp;EOMONTH(A1641,-1)+1,$A$2:A1641,"&lt;="&amp;EOMONTH(A1641,0)),"000"))</f>
        <v/>
      </c>
      <c r="C1641" s="5"/>
      <c r="D1641" s="5"/>
      <c r="E1641" s="5"/>
      <c r="F1641" s="5"/>
      <c r="G1641" s="5"/>
      <c r="H1641" s="5"/>
      <c r="I1641" s="6"/>
      <c r="J1641" s="6">
        <f>IF(D1641="Thu",I1641,0)</f>
        <v>0</v>
      </c>
      <c r="K1641" s="6">
        <f>IF(D1641="Chi",I1641,0)</f>
        <v>0</v>
      </c>
      <c r="L1641" s="6">
        <f>L1640+J1641-K1641</f>
        <v>8050118</v>
      </c>
      <c r="M1641" s="6">
        <f ca="1">IFERROR(__xludf.DUMMYFUNCTION("SUM(FILTER(J:J, H:H=""Tiền mặt"")) - SUM(FILTER(K:K, H:H=""Tiền mặt""))
"),959000)</f>
        <v>959000</v>
      </c>
      <c r="N1641" s="6">
        <f ca="1">IFERROR(__xludf.DUMMYFUNCTION("SUM(FILTER(J:J, H:H=""Chuyển khoản"")) - SUM(FILTER(K:K, H:H=""Chuyển khoản""))
"),4468984)</f>
        <v>4468984</v>
      </c>
      <c r="O1641" s="5"/>
      <c r="P1641" s="5"/>
      <c r="Q1641" s="5"/>
      <c r="R1641" s="5"/>
      <c r="S1641" s="5"/>
    </row>
    <row r="1642" spans="1:19" ht="15.75" customHeight="1" x14ac:dyDescent="0.2">
      <c r="A1642" s="3"/>
      <c r="B1642" s="4" t="str">
        <f>IF(A1642="","","PC-"&amp;TEXT(A1642,"mm/yyyy")&amp;"-"&amp;TEXT(COUNTIFS($A$2:A1642,"&gt;="&amp;EOMONTH(A1642,-1)+1,$A$2:A1642,"&lt;="&amp;EOMONTH(A1642,0)),"000"))</f>
        <v/>
      </c>
      <c r="C1642" s="5"/>
      <c r="D1642" s="5"/>
      <c r="E1642" s="5"/>
      <c r="F1642" s="5"/>
      <c r="G1642" s="5"/>
      <c r="H1642" s="5"/>
      <c r="I1642" s="6"/>
      <c r="J1642" s="6">
        <f>IF(D1642="Thu",I1642,0)</f>
        <v>0</v>
      </c>
      <c r="K1642" s="6">
        <f>IF(D1642="Chi",I1642,0)</f>
        <v>0</v>
      </c>
      <c r="L1642" s="6">
        <f>L1641+J1642-K1642</f>
        <v>8050118</v>
      </c>
      <c r="M1642" s="6">
        <f ca="1">IFERROR(__xludf.DUMMYFUNCTION("SUM(FILTER(J:J, H:H=""Tiền mặt"")) - SUM(FILTER(K:K, H:H=""Tiền mặt""))
"),959000)</f>
        <v>959000</v>
      </c>
      <c r="N1642" s="6">
        <f ca="1">IFERROR(__xludf.DUMMYFUNCTION("SUM(FILTER(J:J, H:H=""Chuyển khoản"")) - SUM(FILTER(K:K, H:H=""Chuyển khoản""))
"),4468984)</f>
        <v>4468984</v>
      </c>
      <c r="O1642" s="5"/>
      <c r="P1642" s="5"/>
      <c r="Q1642" s="5"/>
      <c r="R1642" s="5"/>
      <c r="S1642" s="5"/>
    </row>
    <row r="1643" spans="1:19" ht="15.75" customHeight="1" x14ac:dyDescent="0.2">
      <c r="A1643" s="3"/>
      <c r="B1643" s="4" t="str">
        <f>IF(A1643="","","PC-"&amp;TEXT(A1643,"mm/yyyy")&amp;"-"&amp;TEXT(COUNTIFS($A$2:A1643,"&gt;="&amp;EOMONTH(A1643,-1)+1,$A$2:A1643,"&lt;="&amp;EOMONTH(A1643,0)),"000"))</f>
        <v/>
      </c>
      <c r="C1643" s="5"/>
      <c r="D1643" s="5"/>
      <c r="E1643" s="5"/>
      <c r="F1643" s="5"/>
      <c r="G1643" s="5"/>
      <c r="H1643" s="5"/>
      <c r="I1643" s="6"/>
      <c r="J1643" s="6">
        <f>IF(D1643="Thu",I1643,0)</f>
        <v>0</v>
      </c>
      <c r="K1643" s="6">
        <f>IF(D1643="Chi",I1643,0)</f>
        <v>0</v>
      </c>
      <c r="L1643" s="6">
        <f>L1642+J1643-K1643</f>
        <v>8050118</v>
      </c>
      <c r="M1643" s="6">
        <f ca="1">IFERROR(__xludf.DUMMYFUNCTION("SUM(FILTER(J:J, H:H=""Tiền mặt"")) - SUM(FILTER(K:K, H:H=""Tiền mặt""))
"),959000)</f>
        <v>959000</v>
      </c>
      <c r="N1643" s="6">
        <f ca="1">IFERROR(__xludf.DUMMYFUNCTION("SUM(FILTER(J:J, H:H=""Chuyển khoản"")) - SUM(FILTER(K:K, H:H=""Chuyển khoản""))
"),4468984)</f>
        <v>4468984</v>
      </c>
      <c r="O1643" s="5"/>
      <c r="P1643" s="5"/>
      <c r="Q1643" s="5"/>
      <c r="R1643" s="5"/>
      <c r="S1643" s="5"/>
    </row>
    <row r="1644" spans="1:19" ht="15.75" customHeight="1" x14ac:dyDescent="0.2">
      <c r="A1644" s="3"/>
      <c r="B1644" s="4" t="str">
        <f>IF(A1644="","","PC-"&amp;TEXT(A1644,"mm/yyyy")&amp;"-"&amp;TEXT(COUNTIFS($A$2:A1644,"&gt;="&amp;EOMONTH(A1644,-1)+1,$A$2:A1644,"&lt;="&amp;EOMONTH(A1644,0)),"000"))</f>
        <v/>
      </c>
      <c r="C1644" s="5"/>
      <c r="D1644" s="5"/>
      <c r="E1644" s="5"/>
      <c r="F1644" s="5"/>
      <c r="G1644" s="5"/>
      <c r="H1644" s="5"/>
      <c r="I1644" s="6"/>
      <c r="J1644" s="6">
        <f>IF(D1644="Thu",I1644,0)</f>
        <v>0</v>
      </c>
      <c r="K1644" s="6">
        <f>IF(D1644="Chi",I1644,0)</f>
        <v>0</v>
      </c>
      <c r="L1644" s="6">
        <f>L1643+J1644-K1644</f>
        <v>8050118</v>
      </c>
      <c r="M1644" s="6">
        <f ca="1">IFERROR(__xludf.DUMMYFUNCTION("SUM(FILTER(J:J, H:H=""Tiền mặt"")) - SUM(FILTER(K:K, H:H=""Tiền mặt""))
"),959000)</f>
        <v>959000</v>
      </c>
      <c r="N1644" s="6">
        <f ca="1">IFERROR(__xludf.DUMMYFUNCTION("SUM(FILTER(J:J, H:H=""Chuyển khoản"")) - SUM(FILTER(K:K, H:H=""Chuyển khoản""))
"),4468984)</f>
        <v>4468984</v>
      </c>
      <c r="O1644" s="5"/>
      <c r="P1644" s="5"/>
      <c r="Q1644" s="5"/>
      <c r="R1644" s="5"/>
      <c r="S1644" s="5"/>
    </row>
    <row r="1645" spans="1:19" ht="15.75" customHeight="1" x14ac:dyDescent="0.2">
      <c r="A1645" s="3"/>
      <c r="B1645" s="4" t="str">
        <f>IF(A1645="","","PC-"&amp;TEXT(A1645,"mm/yyyy")&amp;"-"&amp;TEXT(COUNTIFS($A$2:A1645,"&gt;="&amp;EOMONTH(A1645,-1)+1,$A$2:A1645,"&lt;="&amp;EOMONTH(A1645,0)),"000"))</f>
        <v/>
      </c>
      <c r="C1645" s="5"/>
      <c r="D1645" s="5"/>
      <c r="E1645" s="5"/>
      <c r="F1645" s="5"/>
      <c r="G1645" s="5"/>
      <c r="H1645" s="5"/>
      <c r="I1645" s="6"/>
      <c r="J1645" s="6">
        <f>IF(D1645="Thu",I1645,0)</f>
        <v>0</v>
      </c>
      <c r="K1645" s="6">
        <f>IF(D1645="Chi",I1645,0)</f>
        <v>0</v>
      </c>
      <c r="L1645" s="6">
        <f>L1644+J1645-K1645</f>
        <v>8050118</v>
      </c>
      <c r="M1645" s="6">
        <f ca="1">IFERROR(__xludf.DUMMYFUNCTION("SUM(FILTER(J:J, H:H=""Tiền mặt"")) - SUM(FILTER(K:K, H:H=""Tiền mặt""))
"),959000)</f>
        <v>959000</v>
      </c>
      <c r="N1645" s="6">
        <f ca="1">IFERROR(__xludf.DUMMYFUNCTION("SUM(FILTER(J:J, H:H=""Chuyển khoản"")) - SUM(FILTER(K:K, H:H=""Chuyển khoản""))
"),4468984)</f>
        <v>4468984</v>
      </c>
      <c r="O1645" s="5"/>
      <c r="P1645" s="5"/>
      <c r="Q1645" s="5"/>
      <c r="R1645" s="5"/>
      <c r="S1645" s="5"/>
    </row>
    <row r="1646" spans="1:19" ht="15.75" customHeight="1" x14ac:dyDescent="0.2">
      <c r="A1646" s="3"/>
      <c r="B1646" s="4" t="str">
        <f>IF(A1646="","","PC-"&amp;TEXT(A1646,"mm/yyyy")&amp;"-"&amp;TEXT(COUNTIFS($A$2:A1646,"&gt;="&amp;EOMONTH(A1646,-1)+1,$A$2:A1646,"&lt;="&amp;EOMONTH(A1646,0)),"000"))</f>
        <v/>
      </c>
      <c r="C1646" s="5"/>
      <c r="D1646" s="5"/>
      <c r="E1646" s="5"/>
      <c r="F1646" s="5"/>
      <c r="G1646" s="5"/>
      <c r="H1646" s="5"/>
      <c r="I1646" s="6"/>
      <c r="J1646" s="6">
        <f>IF(D1646="Thu",I1646,0)</f>
        <v>0</v>
      </c>
      <c r="K1646" s="6">
        <f>IF(D1646="Chi",I1646,0)</f>
        <v>0</v>
      </c>
      <c r="L1646" s="6">
        <f>L1645+J1646-K1646</f>
        <v>8050118</v>
      </c>
      <c r="M1646" s="6">
        <f ca="1">IFERROR(__xludf.DUMMYFUNCTION("SUM(FILTER(J:J, H:H=""Tiền mặt"")) - SUM(FILTER(K:K, H:H=""Tiền mặt""))
"),959000)</f>
        <v>959000</v>
      </c>
      <c r="N1646" s="6">
        <f ca="1">IFERROR(__xludf.DUMMYFUNCTION("SUM(FILTER(J:J, H:H=""Chuyển khoản"")) - SUM(FILTER(K:K, H:H=""Chuyển khoản""))
"),4468984)</f>
        <v>4468984</v>
      </c>
      <c r="O1646" s="5"/>
      <c r="P1646" s="5"/>
      <c r="Q1646" s="5"/>
      <c r="R1646" s="5"/>
      <c r="S1646" s="5"/>
    </row>
    <row r="1647" spans="1:19" ht="15.75" customHeight="1" x14ac:dyDescent="0.2">
      <c r="A1647" s="3"/>
      <c r="B1647" s="4" t="str">
        <f>IF(A1647="","","PC-"&amp;TEXT(A1647,"mm/yyyy")&amp;"-"&amp;TEXT(COUNTIFS($A$2:A1647,"&gt;="&amp;EOMONTH(A1647,-1)+1,$A$2:A1647,"&lt;="&amp;EOMONTH(A1647,0)),"000"))</f>
        <v/>
      </c>
      <c r="C1647" s="5"/>
      <c r="D1647" s="5"/>
      <c r="E1647" s="5"/>
      <c r="F1647" s="5"/>
      <c r="G1647" s="5"/>
      <c r="H1647" s="5"/>
      <c r="I1647" s="6"/>
      <c r="J1647" s="6">
        <f>IF(D1647="Thu",I1647,0)</f>
        <v>0</v>
      </c>
      <c r="K1647" s="6">
        <f>IF(D1647="Chi",I1647,0)</f>
        <v>0</v>
      </c>
      <c r="L1647" s="6">
        <f>L1646+J1647-K1647</f>
        <v>8050118</v>
      </c>
      <c r="M1647" s="6">
        <f ca="1">IFERROR(__xludf.DUMMYFUNCTION("SUM(FILTER(J:J, H:H=""Tiền mặt"")) - SUM(FILTER(K:K, H:H=""Tiền mặt""))
"),959000)</f>
        <v>959000</v>
      </c>
      <c r="N1647" s="6">
        <f ca="1">IFERROR(__xludf.DUMMYFUNCTION("SUM(FILTER(J:J, H:H=""Chuyển khoản"")) - SUM(FILTER(K:K, H:H=""Chuyển khoản""))
"),4468984)</f>
        <v>4468984</v>
      </c>
      <c r="O1647" s="5"/>
      <c r="P1647" s="5"/>
      <c r="Q1647" s="5"/>
      <c r="R1647" s="5"/>
      <c r="S1647" s="5"/>
    </row>
    <row r="1648" spans="1:19" ht="15.75" customHeight="1" x14ac:dyDescent="0.2">
      <c r="A1648" s="3"/>
      <c r="B1648" s="4" t="str">
        <f>IF(A1648="","","PC-"&amp;TEXT(A1648,"mm/yyyy")&amp;"-"&amp;TEXT(COUNTIFS($A$2:A1648,"&gt;="&amp;EOMONTH(A1648,-1)+1,$A$2:A1648,"&lt;="&amp;EOMONTH(A1648,0)),"000"))</f>
        <v/>
      </c>
      <c r="C1648" s="5"/>
      <c r="D1648" s="5"/>
      <c r="E1648" s="5"/>
      <c r="F1648" s="5"/>
      <c r="G1648" s="5"/>
      <c r="H1648" s="5"/>
      <c r="I1648" s="6"/>
      <c r="J1648" s="6">
        <f>IF(D1648="Thu",I1648,0)</f>
        <v>0</v>
      </c>
      <c r="K1648" s="6">
        <f>IF(D1648="Chi",I1648,0)</f>
        <v>0</v>
      </c>
      <c r="L1648" s="6">
        <f>L1647+J1648-K1648</f>
        <v>8050118</v>
      </c>
      <c r="M1648" s="6">
        <f ca="1">IFERROR(__xludf.DUMMYFUNCTION("SUM(FILTER(J:J, H:H=""Tiền mặt"")) - SUM(FILTER(K:K, H:H=""Tiền mặt""))
"),959000)</f>
        <v>959000</v>
      </c>
      <c r="N1648" s="6">
        <f ca="1">IFERROR(__xludf.DUMMYFUNCTION("SUM(FILTER(J:J, H:H=""Chuyển khoản"")) - SUM(FILTER(K:K, H:H=""Chuyển khoản""))
"),4468984)</f>
        <v>4468984</v>
      </c>
      <c r="O1648" s="5"/>
      <c r="P1648" s="5"/>
      <c r="Q1648" s="5"/>
      <c r="R1648" s="5"/>
      <c r="S1648" s="5"/>
    </row>
    <row r="1649" spans="1:19" ht="15.75" customHeight="1" x14ac:dyDescent="0.2">
      <c r="A1649" s="3"/>
      <c r="B1649" s="4" t="str">
        <f>IF(A1649="","","PC-"&amp;TEXT(A1649,"mm/yyyy")&amp;"-"&amp;TEXT(COUNTIFS($A$2:A1649,"&gt;="&amp;EOMONTH(A1649,-1)+1,$A$2:A1649,"&lt;="&amp;EOMONTH(A1649,0)),"000"))</f>
        <v/>
      </c>
      <c r="C1649" s="5"/>
      <c r="D1649" s="5"/>
      <c r="E1649" s="5"/>
      <c r="F1649" s="5"/>
      <c r="G1649" s="5"/>
      <c r="H1649" s="5"/>
      <c r="I1649" s="6"/>
      <c r="J1649" s="6">
        <f>IF(D1649="Thu",I1649,0)</f>
        <v>0</v>
      </c>
      <c r="K1649" s="6">
        <f>IF(D1649="Chi",I1649,0)</f>
        <v>0</v>
      </c>
      <c r="L1649" s="6">
        <f>L1648+J1649-K1649</f>
        <v>8050118</v>
      </c>
      <c r="M1649" s="6">
        <f ca="1">IFERROR(__xludf.DUMMYFUNCTION("SUM(FILTER(J:J, H:H=""Tiền mặt"")) - SUM(FILTER(K:K, H:H=""Tiền mặt""))
"),959000)</f>
        <v>959000</v>
      </c>
      <c r="N1649" s="6">
        <f ca="1">IFERROR(__xludf.DUMMYFUNCTION("SUM(FILTER(J:J, H:H=""Chuyển khoản"")) - SUM(FILTER(K:K, H:H=""Chuyển khoản""))
"),4468984)</f>
        <v>4468984</v>
      </c>
      <c r="O1649" s="5"/>
      <c r="P1649" s="5"/>
      <c r="Q1649" s="5"/>
      <c r="R1649" s="5"/>
      <c r="S1649" s="5"/>
    </row>
    <row r="1650" spans="1:19" ht="15.75" customHeight="1" x14ac:dyDescent="0.2">
      <c r="A1650" s="3"/>
      <c r="B1650" s="4" t="str">
        <f>IF(A1650="","","PC-"&amp;TEXT(A1650,"mm/yyyy")&amp;"-"&amp;TEXT(COUNTIFS($A$2:A1650,"&gt;="&amp;EOMONTH(A1650,-1)+1,$A$2:A1650,"&lt;="&amp;EOMONTH(A1650,0)),"000"))</f>
        <v/>
      </c>
      <c r="C1650" s="5"/>
      <c r="D1650" s="5"/>
      <c r="E1650" s="5"/>
      <c r="F1650" s="5"/>
      <c r="G1650" s="5"/>
      <c r="H1650" s="5"/>
      <c r="I1650" s="6"/>
      <c r="J1650" s="6">
        <f>IF(D1650="Thu",I1650,0)</f>
        <v>0</v>
      </c>
      <c r="K1650" s="6">
        <f>IF(D1650="Chi",I1650,0)</f>
        <v>0</v>
      </c>
      <c r="L1650" s="6">
        <f>L1649+J1650-K1650</f>
        <v>8050118</v>
      </c>
      <c r="M1650" s="6">
        <f ca="1">IFERROR(__xludf.DUMMYFUNCTION("SUM(FILTER(J:J, H:H=""Tiền mặt"")) - SUM(FILTER(K:K, H:H=""Tiền mặt""))
"),959000)</f>
        <v>959000</v>
      </c>
      <c r="N1650" s="6">
        <f ca="1">IFERROR(__xludf.DUMMYFUNCTION("SUM(FILTER(J:J, H:H=""Chuyển khoản"")) - SUM(FILTER(K:K, H:H=""Chuyển khoản""))
"),4468984)</f>
        <v>4468984</v>
      </c>
      <c r="O1650" s="5"/>
      <c r="P1650" s="5"/>
      <c r="Q1650" s="5"/>
      <c r="R1650" s="5"/>
      <c r="S1650" s="5"/>
    </row>
    <row r="1651" spans="1:19" ht="15.75" customHeight="1" x14ac:dyDescent="0.2">
      <c r="A1651" s="3"/>
      <c r="B1651" s="4" t="str">
        <f>IF(A1651="","","PC-"&amp;TEXT(A1651,"mm/yyyy")&amp;"-"&amp;TEXT(COUNTIFS($A$2:A1651,"&gt;="&amp;EOMONTH(A1651,-1)+1,$A$2:A1651,"&lt;="&amp;EOMONTH(A1651,0)),"000"))</f>
        <v/>
      </c>
      <c r="C1651" s="5"/>
      <c r="D1651" s="5"/>
      <c r="E1651" s="5"/>
      <c r="F1651" s="5"/>
      <c r="G1651" s="5"/>
      <c r="H1651" s="5"/>
      <c r="I1651" s="6"/>
      <c r="J1651" s="6">
        <f>IF(D1651="Thu",I1651,0)</f>
        <v>0</v>
      </c>
      <c r="K1651" s="6">
        <f>IF(D1651="Chi",I1651,0)</f>
        <v>0</v>
      </c>
      <c r="L1651" s="6">
        <f>L1650+J1651-K1651</f>
        <v>8050118</v>
      </c>
      <c r="M1651" s="6">
        <f ca="1">IFERROR(__xludf.DUMMYFUNCTION("SUM(FILTER(J:J, H:H=""Tiền mặt"")) - SUM(FILTER(K:K, H:H=""Tiền mặt""))
"),959000)</f>
        <v>959000</v>
      </c>
      <c r="N1651" s="6">
        <f ca="1">IFERROR(__xludf.DUMMYFUNCTION("SUM(FILTER(J:J, H:H=""Chuyển khoản"")) - SUM(FILTER(K:K, H:H=""Chuyển khoản""))
"),4468984)</f>
        <v>4468984</v>
      </c>
      <c r="O1651" s="5"/>
      <c r="P1651" s="5"/>
      <c r="Q1651" s="5"/>
      <c r="R1651" s="5"/>
      <c r="S1651" s="5"/>
    </row>
    <row r="1652" spans="1:19" ht="15.75" customHeight="1" x14ac:dyDescent="0.2">
      <c r="A1652" s="3"/>
      <c r="B1652" s="4" t="str">
        <f>IF(A1652="","","PC-"&amp;TEXT(A1652,"mm/yyyy")&amp;"-"&amp;TEXT(COUNTIFS($A$2:A1652,"&gt;="&amp;EOMONTH(A1652,-1)+1,$A$2:A1652,"&lt;="&amp;EOMONTH(A1652,0)),"000"))</f>
        <v/>
      </c>
      <c r="C1652" s="5"/>
      <c r="D1652" s="5"/>
      <c r="E1652" s="5"/>
      <c r="F1652" s="5"/>
      <c r="G1652" s="5"/>
      <c r="H1652" s="5"/>
      <c r="I1652" s="6"/>
      <c r="J1652" s="6">
        <f>IF(D1652="Thu",I1652,0)</f>
        <v>0</v>
      </c>
      <c r="K1652" s="6">
        <f>IF(D1652="Chi",I1652,0)</f>
        <v>0</v>
      </c>
      <c r="L1652" s="6">
        <f>L1651+J1652-K1652</f>
        <v>8050118</v>
      </c>
      <c r="M1652" s="6">
        <f ca="1">IFERROR(__xludf.DUMMYFUNCTION("SUM(FILTER(J:J, H:H=""Tiền mặt"")) - SUM(FILTER(K:K, H:H=""Tiền mặt""))
"),959000)</f>
        <v>959000</v>
      </c>
      <c r="N1652" s="6">
        <f ca="1">IFERROR(__xludf.DUMMYFUNCTION("SUM(FILTER(J:J, H:H=""Chuyển khoản"")) - SUM(FILTER(K:K, H:H=""Chuyển khoản""))
"),4468984)</f>
        <v>4468984</v>
      </c>
      <c r="O1652" s="5"/>
      <c r="P1652" s="5"/>
      <c r="Q1652" s="5"/>
      <c r="R1652" s="5"/>
      <c r="S1652" s="5"/>
    </row>
    <row r="1653" spans="1:19" ht="15.75" customHeight="1" x14ac:dyDescent="0.2">
      <c r="A1653" s="3"/>
      <c r="B1653" s="4" t="str">
        <f>IF(A1653="","","PC-"&amp;TEXT(A1653,"mm/yyyy")&amp;"-"&amp;TEXT(COUNTIFS($A$2:A1653,"&gt;="&amp;EOMONTH(A1653,-1)+1,$A$2:A1653,"&lt;="&amp;EOMONTH(A1653,0)),"000"))</f>
        <v/>
      </c>
      <c r="C1653" s="5"/>
      <c r="D1653" s="5"/>
      <c r="E1653" s="5"/>
      <c r="F1653" s="5"/>
      <c r="G1653" s="5"/>
      <c r="H1653" s="5"/>
      <c r="I1653" s="6"/>
      <c r="J1653" s="6">
        <f>IF(D1653="Thu",I1653,0)</f>
        <v>0</v>
      </c>
      <c r="K1653" s="6">
        <f>IF(D1653="Chi",I1653,0)</f>
        <v>0</v>
      </c>
      <c r="L1653" s="6">
        <f>L1652+J1653-K1653</f>
        <v>8050118</v>
      </c>
      <c r="M1653" s="6">
        <f ca="1">IFERROR(__xludf.DUMMYFUNCTION("SUM(FILTER(J:J, H:H=""Tiền mặt"")) - SUM(FILTER(K:K, H:H=""Tiền mặt""))
"),959000)</f>
        <v>959000</v>
      </c>
      <c r="N1653" s="6">
        <f ca="1">IFERROR(__xludf.DUMMYFUNCTION("SUM(FILTER(J:J, H:H=""Chuyển khoản"")) - SUM(FILTER(K:K, H:H=""Chuyển khoản""))
"),4468984)</f>
        <v>4468984</v>
      </c>
      <c r="O1653" s="5"/>
      <c r="P1653" s="5"/>
      <c r="Q1653" s="5"/>
      <c r="R1653" s="5"/>
      <c r="S1653" s="5"/>
    </row>
    <row r="1654" spans="1:19" ht="15.75" customHeight="1" x14ac:dyDescent="0.2">
      <c r="A1654" s="3"/>
      <c r="B1654" s="4" t="str">
        <f>IF(A1654="","","PC-"&amp;TEXT(A1654,"mm/yyyy")&amp;"-"&amp;TEXT(COUNTIFS($A$2:A1654,"&gt;="&amp;EOMONTH(A1654,-1)+1,$A$2:A1654,"&lt;="&amp;EOMONTH(A1654,0)),"000"))</f>
        <v/>
      </c>
      <c r="C1654" s="5"/>
      <c r="D1654" s="5"/>
      <c r="E1654" s="5"/>
      <c r="F1654" s="5"/>
      <c r="G1654" s="5"/>
      <c r="H1654" s="5"/>
      <c r="I1654" s="6"/>
      <c r="J1654" s="6">
        <f>IF(D1654="Thu",I1654,0)</f>
        <v>0</v>
      </c>
      <c r="K1654" s="6">
        <f>IF(D1654="Chi",I1654,0)</f>
        <v>0</v>
      </c>
      <c r="L1654" s="6">
        <f>L1653+J1654-K1654</f>
        <v>8050118</v>
      </c>
      <c r="M1654" s="6">
        <f ca="1">IFERROR(__xludf.DUMMYFUNCTION("SUM(FILTER(J:J, H:H=""Tiền mặt"")) - SUM(FILTER(K:K, H:H=""Tiền mặt""))
"),959000)</f>
        <v>959000</v>
      </c>
      <c r="N1654" s="6">
        <f ca="1">IFERROR(__xludf.DUMMYFUNCTION("SUM(FILTER(J:J, H:H=""Chuyển khoản"")) - SUM(FILTER(K:K, H:H=""Chuyển khoản""))
"),4468984)</f>
        <v>4468984</v>
      </c>
      <c r="O1654" s="5"/>
      <c r="P1654" s="5"/>
      <c r="Q1654" s="5"/>
      <c r="R1654" s="5"/>
      <c r="S1654" s="5"/>
    </row>
    <row r="1655" spans="1:19" ht="15.75" customHeight="1" x14ac:dyDescent="0.2">
      <c r="A1655" s="3"/>
      <c r="B1655" s="4" t="str">
        <f>IF(A1655="","","PC-"&amp;TEXT(A1655,"mm/yyyy")&amp;"-"&amp;TEXT(COUNTIFS($A$2:A1655,"&gt;="&amp;EOMONTH(A1655,-1)+1,$A$2:A1655,"&lt;="&amp;EOMONTH(A1655,0)),"000"))</f>
        <v/>
      </c>
      <c r="C1655" s="5"/>
      <c r="D1655" s="5"/>
      <c r="E1655" s="5"/>
      <c r="F1655" s="5"/>
      <c r="G1655" s="5"/>
      <c r="H1655" s="5"/>
      <c r="I1655" s="6"/>
      <c r="J1655" s="6">
        <f>IF(D1655="Thu",I1655,0)</f>
        <v>0</v>
      </c>
      <c r="K1655" s="6">
        <f>IF(D1655="Chi",I1655,0)</f>
        <v>0</v>
      </c>
      <c r="L1655" s="6">
        <f>L1654+J1655-K1655</f>
        <v>8050118</v>
      </c>
      <c r="M1655" s="6">
        <f ca="1">IFERROR(__xludf.DUMMYFUNCTION("SUM(FILTER(J:J, H:H=""Tiền mặt"")) - SUM(FILTER(K:K, H:H=""Tiền mặt""))
"),959000)</f>
        <v>959000</v>
      </c>
      <c r="N1655" s="6">
        <f ca="1">IFERROR(__xludf.DUMMYFUNCTION("SUM(FILTER(J:J, H:H=""Chuyển khoản"")) - SUM(FILTER(K:K, H:H=""Chuyển khoản""))
"),4468984)</f>
        <v>4468984</v>
      </c>
      <c r="O1655" s="5"/>
      <c r="P1655" s="5"/>
      <c r="Q1655" s="5"/>
      <c r="R1655" s="5"/>
      <c r="S1655" s="5"/>
    </row>
    <row r="1656" spans="1:19" ht="15.75" customHeight="1" x14ac:dyDescent="0.2">
      <c r="A1656" s="3"/>
      <c r="B1656" s="4" t="str">
        <f>IF(A1656="","","PC-"&amp;TEXT(A1656,"mm/yyyy")&amp;"-"&amp;TEXT(COUNTIFS($A$2:A1656,"&gt;="&amp;EOMONTH(A1656,-1)+1,$A$2:A1656,"&lt;="&amp;EOMONTH(A1656,0)),"000"))</f>
        <v/>
      </c>
      <c r="C1656" s="5"/>
      <c r="D1656" s="5"/>
      <c r="E1656" s="5"/>
      <c r="F1656" s="5"/>
      <c r="G1656" s="5"/>
      <c r="H1656" s="5"/>
      <c r="I1656" s="6"/>
      <c r="J1656" s="6">
        <f>IF(D1656="Thu",I1656,0)</f>
        <v>0</v>
      </c>
      <c r="K1656" s="6">
        <f>IF(D1656="Chi",I1656,0)</f>
        <v>0</v>
      </c>
      <c r="L1656" s="6">
        <f>L1655+J1656-K1656</f>
        <v>8050118</v>
      </c>
      <c r="M1656" s="6">
        <f ca="1">IFERROR(__xludf.DUMMYFUNCTION("SUM(FILTER(J:J, H:H=""Tiền mặt"")) - SUM(FILTER(K:K, H:H=""Tiền mặt""))
"),959000)</f>
        <v>959000</v>
      </c>
      <c r="N1656" s="6">
        <f ca="1">IFERROR(__xludf.DUMMYFUNCTION("SUM(FILTER(J:J, H:H=""Chuyển khoản"")) - SUM(FILTER(K:K, H:H=""Chuyển khoản""))
"),4468984)</f>
        <v>4468984</v>
      </c>
      <c r="O1656" s="5"/>
      <c r="P1656" s="5"/>
      <c r="Q1656" s="5"/>
      <c r="R1656" s="5"/>
      <c r="S1656" s="5"/>
    </row>
    <row r="1657" spans="1:19" ht="15.75" customHeight="1" x14ac:dyDescent="0.2">
      <c r="A1657" s="3"/>
      <c r="B1657" s="4" t="str">
        <f>IF(A1657="","","PC-"&amp;TEXT(A1657,"mm/yyyy")&amp;"-"&amp;TEXT(COUNTIFS($A$2:A1657,"&gt;="&amp;EOMONTH(A1657,-1)+1,$A$2:A1657,"&lt;="&amp;EOMONTH(A1657,0)),"000"))</f>
        <v/>
      </c>
      <c r="C1657" s="5"/>
      <c r="D1657" s="5"/>
      <c r="E1657" s="5"/>
      <c r="F1657" s="5"/>
      <c r="G1657" s="5"/>
      <c r="H1657" s="5"/>
      <c r="I1657" s="6"/>
      <c r="J1657" s="6">
        <f>IF(D1657="Thu",I1657,0)</f>
        <v>0</v>
      </c>
      <c r="K1657" s="6">
        <f>IF(D1657="Chi",I1657,0)</f>
        <v>0</v>
      </c>
      <c r="L1657" s="6">
        <f>L1656+J1657-K1657</f>
        <v>8050118</v>
      </c>
      <c r="M1657" s="6">
        <f ca="1">IFERROR(__xludf.DUMMYFUNCTION("SUM(FILTER(J:J, H:H=""Tiền mặt"")) - SUM(FILTER(K:K, H:H=""Tiền mặt""))
"),959000)</f>
        <v>959000</v>
      </c>
      <c r="N1657" s="6">
        <f ca="1">IFERROR(__xludf.DUMMYFUNCTION("SUM(FILTER(J:J, H:H=""Chuyển khoản"")) - SUM(FILTER(K:K, H:H=""Chuyển khoản""))
"),4468984)</f>
        <v>4468984</v>
      </c>
      <c r="O1657" s="5"/>
      <c r="P1657" s="5"/>
      <c r="Q1657" s="5"/>
      <c r="R1657" s="5"/>
      <c r="S1657" s="5"/>
    </row>
    <row r="1658" spans="1:19" ht="15.75" customHeight="1" x14ac:dyDescent="0.2">
      <c r="A1658" s="3"/>
      <c r="B1658" s="4" t="str">
        <f>IF(A1658="","","PC-"&amp;TEXT(A1658,"mm/yyyy")&amp;"-"&amp;TEXT(COUNTIFS($A$2:A1658,"&gt;="&amp;EOMONTH(A1658,-1)+1,$A$2:A1658,"&lt;="&amp;EOMONTH(A1658,0)),"000"))</f>
        <v/>
      </c>
      <c r="C1658" s="5"/>
      <c r="D1658" s="5"/>
      <c r="E1658" s="5"/>
      <c r="F1658" s="5"/>
      <c r="G1658" s="5"/>
      <c r="H1658" s="5"/>
      <c r="I1658" s="6"/>
      <c r="J1658" s="6">
        <f>IF(D1658="Thu",I1658,0)</f>
        <v>0</v>
      </c>
      <c r="K1658" s="6">
        <f>IF(D1658="Chi",I1658,0)</f>
        <v>0</v>
      </c>
      <c r="L1658" s="6">
        <f>L1657+J1658-K1658</f>
        <v>8050118</v>
      </c>
      <c r="M1658" s="6">
        <f ca="1">IFERROR(__xludf.DUMMYFUNCTION("SUM(FILTER(J:J, H:H=""Tiền mặt"")) - SUM(FILTER(K:K, H:H=""Tiền mặt""))
"),959000)</f>
        <v>959000</v>
      </c>
      <c r="N1658" s="6">
        <f ca="1">IFERROR(__xludf.DUMMYFUNCTION("SUM(FILTER(J:J, H:H=""Chuyển khoản"")) - SUM(FILTER(K:K, H:H=""Chuyển khoản""))
"),4468984)</f>
        <v>4468984</v>
      </c>
      <c r="O1658" s="5"/>
      <c r="P1658" s="5"/>
      <c r="Q1658" s="5"/>
      <c r="R1658" s="5"/>
      <c r="S1658" s="5"/>
    </row>
    <row r="1659" spans="1:19" ht="15.75" customHeight="1" x14ac:dyDescent="0.2">
      <c r="A1659" s="3"/>
      <c r="B1659" s="4" t="str">
        <f>IF(A1659="","","PC-"&amp;TEXT(A1659,"mm/yyyy")&amp;"-"&amp;TEXT(COUNTIFS($A$2:A1659,"&gt;="&amp;EOMONTH(A1659,-1)+1,$A$2:A1659,"&lt;="&amp;EOMONTH(A1659,0)),"000"))</f>
        <v/>
      </c>
      <c r="C1659" s="5"/>
      <c r="D1659" s="5"/>
      <c r="E1659" s="5"/>
      <c r="F1659" s="5"/>
      <c r="G1659" s="5"/>
      <c r="H1659" s="5"/>
      <c r="I1659" s="6"/>
      <c r="J1659" s="6">
        <f>IF(D1659="Thu",I1659,0)</f>
        <v>0</v>
      </c>
      <c r="K1659" s="6">
        <f>IF(D1659="Chi",I1659,0)</f>
        <v>0</v>
      </c>
      <c r="L1659" s="6">
        <f>L1658+J1659-K1659</f>
        <v>8050118</v>
      </c>
      <c r="M1659" s="6">
        <f ca="1">IFERROR(__xludf.DUMMYFUNCTION("SUM(FILTER(J:J, H:H=""Tiền mặt"")) - SUM(FILTER(K:K, H:H=""Tiền mặt""))
"),959000)</f>
        <v>959000</v>
      </c>
      <c r="N1659" s="6">
        <f ca="1">IFERROR(__xludf.DUMMYFUNCTION("SUM(FILTER(J:J, H:H=""Chuyển khoản"")) - SUM(FILTER(K:K, H:H=""Chuyển khoản""))
"),4468984)</f>
        <v>4468984</v>
      </c>
      <c r="O1659" s="5"/>
      <c r="P1659" s="5"/>
      <c r="Q1659" s="5"/>
      <c r="R1659" s="5"/>
      <c r="S1659" s="5"/>
    </row>
    <row r="1660" spans="1:19" ht="15.75" customHeight="1" x14ac:dyDescent="0.2">
      <c r="A1660" s="3"/>
      <c r="B1660" s="4" t="str">
        <f>IF(A1660="","","PC-"&amp;TEXT(A1660,"mm/yyyy")&amp;"-"&amp;TEXT(COUNTIFS($A$2:A1660,"&gt;="&amp;EOMONTH(A1660,-1)+1,$A$2:A1660,"&lt;="&amp;EOMONTH(A1660,0)),"000"))</f>
        <v/>
      </c>
      <c r="C1660" s="5"/>
      <c r="D1660" s="5"/>
      <c r="E1660" s="5"/>
      <c r="F1660" s="5"/>
      <c r="G1660" s="5"/>
      <c r="H1660" s="5"/>
      <c r="I1660" s="6"/>
      <c r="J1660" s="6">
        <f>IF(D1660="Thu",I1660,0)</f>
        <v>0</v>
      </c>
      <c r="K1660" s="6">
        <f>IF(D1660="Chi",I1660,0)</f>
        <v>0</v>
      </c>
      <c r="L1660" s="6">
        <f>L1659+J1660-K1660</f>
        <v>8050118</v>
      </c>
      <c r="M1660" s="6">
        <f ca="1">IFERROR(__xludf.DUMMYFUNCTION("SUM(FILTER(J:J, H:H=""Tiền mặt"")) - SUM(FILTER(K:K, H:H=""Tiền mặt""))
"),959000)</f>
        <v>959000</v>
      </c>
      <c r="N1660" s="6">
        <f ca="1">IFERROR(__xludf.DUMMYFUNCTION("SUM(FILTER(J:J, H:H=""Chuyển khoản"")) - SUM(FILTER(K:K, H:H=""Chuyển khoản""))
"),4468984)</f>
        <v>4468984</v>
      </c>
      <c r="O1660" s="5"/>
      <c r="P1660" s="5"/>
      <c r="Q1660" s="5"/>
      <c r="R1660" s="5"/>
      <c r="S1660" s="5"/>
    </row>
    <row r="1661" spans="1:19" ht="15.75" customHeight="1" x14ac:dyDescent="0.2">
      <c r="A1661" s="3"/>
      <c r="B1661" s="4" t="str">
        <f>IF(A1661="","","PC-"&amp;TEXT(A1661,"mm/yyyy")&amp;"-"&amp;TEXT(COUNTIFS($A$2:A1661,"&gt;="&amp;EOMONTH(A1661,-1)+1,$A$2:A1661,"&lt;="&amp;EOMONTH(A1661,0)),"000"))</f>
        <v/>
      </c>
      <c r="C1661" s="5"/>
      <c r="D1661" s="5"/>
      <c r="E1661" s="5"/>
      <c r="F1661" s="5"/>
      <c r="G1661" s="5"/>
      <c r="H1661" s="5"/>
      <c r="I1661" s="6"/>
      <c r="J1661" s="6">
        <f>IF(D1661="Thu",I1661,0)</f>
        <v>0</v>
      </c>
      <c r="K1661" s="6">
        <f>IF(D1661="Chi",I1661,0)</f>
        <v>0</v>
      </c>
      <c r="L1661" s="6">
        <f>L1660+J1661-K1661</f>
        <v>8050118</v>
      </c>
      <c r="M1661" s="6">
        <f ca="1">IFERROR(__xludf.DUMMYFUNCTION("SUM(FILTER(J:J, H:H=""Tiền mặt"")) - SUM(FILTER(K:K, H:H=""Tiền mặt""))
"),959000)</f>
        <v>959000</v>
      </c>
      <c r="N1661" s="6">
        <f ca="1">IFERROR(__xludf.DUMMYFUNCTION("SUM(FILTER(J:J, H:H=""Chuyển khoản"")) - SUM(FILTER(K:K, H:H=""Chuyển khoản""))
"),4468984)</f>
        <v>4468984</v>
      </c>
      <c r="O1661" s="5"/>
      <c r="P1661" s="5"/>
      <c r="Q1661" s="5"/>
      <c r="R1661" s="5"/>
      <c r="S1661" s="5"/>
    </row>
    <row r="1662" spans="1:19" ht="15.75" customHeight="1" x14ac:dyDescent="0.2">
      <c r="A1662" s="3"/>
      <c r="B1662" s="4" t="str">
        <f>IF(A1662="","","PC-"&amp;TEXT(A1662,"mm/yyyy")&amp;"-"&amp;TEXT(COUNTIFS($A$2:A1662,"&gt;="&amp;EOMONTH(A1662,-1)+1,$A$2:A1662,"&lt;="&amp;EOMONTH(A1662,0)),"000"))</f>
        <v/>
      </c>
      <c r="C1662" s="5"/>
      <c r="D1662" s="5"/>
      <c r="E1662" s="5"/>
      <c r="F1662" s="5"/>
      <c r="G1662" s="5"/>
      <c r="H1662" s="5"/>
      <c r="I1662" s="6"/>
      <c r="J1662" s="6">
        <f>IF(D1662="Thu",I1662,0)</f>
        <v>0</v>
      </c>
      <c r="K1662" s="6">
        <f>IF(D1662="Chi",I1662,0)</f>
        <v>0</v>
      </c>
      <c r="L1662" s="6">
        <f>L1661+J1662-K1662</f>
        <v>8050118</v>
      </c>
      <c r="M1662" s="6">
        <f ca="1">IFERROR(__xludf.DUMMYFUNCTION("SUM(FILTER(J:J, H:H=""Tiền mặt"")) - SUM(FILTER(K:K, H:H=""Tiền mặt""))
"),959000)</f>
        <v>959000</v>
      </c>
      <c r="N1662" s="6">
        <f ca="1">IFERROR(__xludf.DUMMYFUNCTION("SUM(FILTER(J:J, H:H=""Chuyển khoản"")) - SUM(FILTER(K:K, H:H=""Chuyển khoản""))
"),4468984)</f>
        <v>4468984</v>
      </c>
      <c r="O1662" s="5"/>
      <c r="P1662" s="5"/>
      <c r="Q1662" s="5"/>
      <c r="R1662" s="5"/>
      <c r="S1662" s="5"/>
    </row>
    <row r="1663" spans="1:19" ht="15.75" customHeight="1" x14ac:dyDescent="0.2">
      <c r="A1663" s="3"/>
      <c r="B1663" s="4" t="str">
        <f>IF(A1663="","","PC-"&amp;TEXT(A1663,"mm/yyyy")&amp;"-"&amp;TEXT(COUNTIFS($A$2:A1663,"&gt;="&amp;EOMONTH(A1663,-1)+1,$A$2:A1663,"&lt;="&amp;EOMONTH(A1663,0)),"000"))</f>
        <v/>
      </c>
      <c r="C1663" s="5"/>
      <c r="D1663" s="5"/>
      <c r="E1663" s="5"/>
      <c r="F1663" s="5"/>
      <c r="G1663" s="5"/>
      <c r="H1663" s="5"/>
      <c r="I1663" s="6"/>
      <c r="J1663" s="6">
        <f>IF(D1663="Thu",I1663,0)</f>
        <v>0</v>
      </c>
      <c r="K1663" s="6">
        <f>IF(D1663="Chi",I1663,0)</f>
        <v>0</v>
      </c>
      <c r="L1663" s="6">
        <f>L1662+J1663-K1663</f>
        <v>8050118</v>
      </c>
      <c r="M1663" s="6">
        <f ca="1">IFERROR(__xludf.DUMMYFUNCTION("SUM(FILTER(J:J, H:H=""Tiền mặt"")) - SUM(FILTER(K:K, H:H=""Tiền mặt""))
"),959000)</f>
        <v>959000</v>
      </c>
      <c r="N1663" s="6">
        <f ca="1">IFERROR(__xludf.DUMMYFUNCTION("SUM(FILTER(J:J, H:H=""Chuyển khoản"")) - SUM(FILTER(K:K, H:H=""Chuyển khoản""))
"),4468984)</f>
        <v>4468984</v>
      </c>
      <c r="O1663" s="5"/>
      <c r="P1663" s="5"/>
      <c r="Q1663" s="5"/>
      <c r="R1663" s="5"/>
      <c r="S1663" s="5"/>
    </row>
    <row r="1664" spans="1:19" ht="15.75" customHeight="1" x14ac:dyDescent="0.2">
      <c r="A1664" s="3"/>
      <c r="B1664" s="4" t="str">
        <f>IF(A1664="","","PC-"&amp;TEXT(A1664,"mm/yyyy")&amp;"-"&amp;TEXT(COUNTIFS($A$2:A1664,"&gt;="&amp;EOMONTH(A1664,-1)+1,$A$2:A1664,"&lt;="&amp;EOMONTH(A1664,0)),"000"))</f>
        <v/>
      </c>
      <c r="C1664" s="5"/>
      <c r="D1664" s="5"/>
      <c r="E1664" s="5"/>
      <c r="F1664" s="5"/>
      <c r="G1664" s="5"/>
      <c r="H1664" s="5"/>
      <c r="I1664" s="6"/>
      <c r="J1664" s="6">
        <f>IF(D1664="Thu",I1664,0)</f>
        <v>0</v>
      </c>
      <c r="K1664" s="6">
        <f>IF(D1664="Chi",I1664,0)</f>
        <v>0</v>
      </c>
      <c r="L1664" s="6">
        <f>L1663+J1664-K1664</f>
        <v>8050118</v>
      </c>
      <c r="M1664" s="6">
        <f ca="1">IFERROR(__xludf.DUMMYFUNCTION("SUM(FILTER(J:J, H:H=""Tiền mặt"")) - SUM(FILTER(K:K, H:H=""Tiền mặt""))
"),959000)</f>
        <v>959000</v>
      </c>
      <c r="N1664" s="6">
        <f ca="1">IFERROR(__xludf.DUMMYFUNCTION("SUM(FILTER(J:J, H:H=""Chuyển khoản"")) - SUM(FILTER(K:K, H:H=""Chuyển khoản""))
"),4468984)</f>
        <v>4468984</v>
      </c>
      <c r="O1664" s="5"/>
      <c r="P1664" s="5"/>
      <c r="Q1664" s="5"/>
      <c r="R1664" s="5"/>
      <c r="S1664" s="5"/>
    </row>
    <row r="1665" spans="1:19" ht="15.75" customHeight="1" x14ac:dyDescent="0.2">
      <c r="A1665" s="3"/>
      <c r="B1665" s="4" t="str">
        <f>IF(A1665="","","PC-"&amp;TEXT(A1665,"mm/yyyy")&amp;"-"&amp;TEXT(COUNTIFS($A$2:A1665,"&gt;="&amp;EOMONTH(A1665,-1)+1,$A$2:A1665,"&lt;="&amp;EOMONTH(A1665,0)),"000"))</f>
        <v/>
      </c>
      <c r="C1665" s="5"/>
      <c r="D1665" s="5"/>
      <c r="E1665" s="5"/>
      <c r="F1665" s="5"/>
      <c r="G1665" s="5"/>
      <c r="H1665" s="5"/>
      <c r="I1665" s="6"/>
      <c r="J1665" s="6">
        <f>IF(D1665="Thu",I1665,0)</f>
        <v>0</v>
      </c>
      <c r="K1665" s="6">
        <f>IF(D1665="Chi",I1665,0)</f>
        <v>0</v>
      </c>
      <c r="L1665" s="6">
        <f>L1664+J1665-K1665</f>
        <v>8050118</v>
      </c>
      <c r="M1665" s="6">
        <f ca="1">IFERROR(__xludf.DUMMYFUNCTION("SUM(FILTER(J:J, H:H=""Tiền mặt"")) - SUM(FILTER(K:K, H:H=""Tiền mặt""))
"),959000)</f>
        <v>959000</v>
      </c>
      <c r="N1665" s="6">
        <f ca="1">IFERROR(__xludf.DUMMYFUNCTION("SUM(FILTER(J:J, H:H=""Chuyển khoản"")) - SUM(FILTER(K:K, H:H=""Chuyển khoản""))
"),4468984)</f>
        <v>4468984</v>
      </c>
      <c r="O1665" s="5"/>
      <c r="P1665" s="5"/>
      <c r="Q1665" s="5"/>
      <c r="R1665" s="5"/>
      <c r="S1665" s="5"/>
    </row>
    <row r="1666" spans="1:19" ht="15.75" customHeight="1" x14ac:dyDescent="0.2">
      <c r="A1666" s="3"/>
      <c r="B1666" s="4" t="str">
        <f>IF(A1666="","","PC-"&amp;TEXT(A1666,"mm/yyyy")&amp;"-"&amp;TEXT(COUNTIFS($A$2:A1666,"&gt;="&amp;EOMONTH(A1666,-1)+1,$A$2:A1666,"&lt;="&amp;EOMONTH(A1666,0)),"000"))</f>
        <v/>
      </c>
      <c r="C1666" s="5"/>
      <c r="D1666" s="5"/>
      <c r="E1666" s="5"/>
      <c r="F1666" s="5"/>
      <c r="G1666" s="5"/>
      <c r="H1666" s="5"/>
      <c r="I1666" s="6"/>
      <c r="J1666" s="6">
        <f>IF(D1666="Thu",I1666,0)</f>
        <v>0</v>
      </c>
      <c r="K1666" s="6">
        <f>IF(D1666="Chi",I1666,0)</f>
        <v>0</v>
      </c>
      <c r="L1666" s="6">
        <f>L1665+J1666-K1666</f>
        <v>8050118</v>
      </c>
      <c r="M1666" s="6">
        <f ca="1">IFERROR(__xludf.DUMMYFUNCTION("SUM(FILTER(J:J, H:H=""Tiền mặt"")) - SUM(FILTER(K:K, H:H=""Tiền mặt""))
"),959000)</f>
        <v>959000</v>
      </c>
      <c r="N1666" s="6">
        <f ca="1">IFERROR(__xludf.DUMMYFUNCTION("SUM(FILTER(J:J, H:H=""Chuyển khoản"")) - SUM(FILTER(K:K, H:H=""Chuyển khoản""))
"),4468984)</f>
        <v>4468984</v>
      </c>
      <c r="O1666" s="5"/>
      <c r="P1666" s="5"/>
      <c r="Q1666" s="5"/>
      <c r="R1666" s="5"/>
      <c r="S1666" s="5"/>
    </row>
    <row r="1667" spans="1:19" ht="15.75" customHeight="1" x14ac:dyDescent="0.2">
      <c r="A1667" s="3"/>
      <c r="B1667" s="4" t="str">
        <f>IF(A1667="","","PC-"&amp;TEXT(A1667,"mm/yyyy")&amp;"-"&amp;TEXT(COUNTIFS($A$2:A1667,"&gt;="&amp;EOMONTH(A1667,-1)+1,$A$2:A1667,"&lt;="&amp;EOMONTH(A1667,0)),"000"))</f>
        <v/>
      </c>
      <c r="C1667" s="5"/>
      <c r="D1667" s="5"/>
      <c r="E1667" s="5"/>
      <c r="F1667" s="5"/>
      <c r="G1667" s="5"/>
      <c r="H1667" s="5"/>
      <c r="I1667" s="6"/>
      <c r="J1667" s="6">
        <f>IF(D1667="Thu",I1667,0)</f>
        <v>0</v>
      </c>
      <c r="K1667" s="6">
        <f>IF(D1667="Chi",I1667,0)</f>
        <v>0</v>
      </c>
      <c r="L1667" s="6">
        <f>L1666+J1667-K1667</f>
        <v>8050118</v>
      </c>
      <c r="M1667" s="6">
        <f ca="1">IFERROR(__xludf.DUMMYFUNCTION("SUM(FILTER(J:J, H:H=""Tiền mặt"")) - SUM(FILTER(K:K, H:H=""Tiền mặt""))
"),959000)</f>
        <v>959000</v>
      </c>
      <c r="N1667" s="6">
        <f ca="1">IFERROR(__xludf.DUMMYFUNCTION("SUM(FILTER(J:J, H:H=""Chuyển khoản"")) - SUM(FILTER(K:K, H:H=""Chuyển khoản""))
"),4468984)</f>
        <v>4468984</v>
      </c>
      <c r="O1667" s="5"/>
      <c r="P1667" s="5"/>
      <c r="Q1667" s="5"/>
      <c r="R1667" s="5"/>
      <c r="S1667" s="5"/>
    </row>
    <row r="1668" spans="1:19" ht="15.75" customHeight="1" x14ac:dyDescent="0.2">
      <c r="A1668" s="3"/>
      <c r="B1668" s="4" t="str">
        <f>IF(A1668="","","PC-"&amp;TEXT(A1668,"mm/yyyy")&amp;"-"&amp;TEXT(COUNTIFS($A$2:A1668,"&gt;="&amp;EOMONTH(A1668,-1)+1,$A$2:A1668,"&lt;="&amp;EOMONTH(A1668,0)),"000"))</f>
        <v/>
      </c>
      <c r="C1668" s="5"/>
      <c r="D1668" s="5"/>
      <c r="E1668" s="5"/>
      <c r="F1668" s="5"/>
      <c r="G1668" s="5"/>
      <c r="H1668" s="5"/>
      <c r="I1668" s="6"/>
      <c r="J1668" s="6">
        <f>IF(D1668="Thu",I1668,0)</f>
        <v>0</v>
      </c>
      <c r="K1668" s="6">
        <f>IF(D1668="Chi",I1668,0)</f>
        <v>0</v>
      </c>
      <c r="L1668" s="6">
        <f>L1667+J1668-K1668</f>
        <v>8050118</v>
      </c>
      <c r="M1668" s="6">
        <f ca="1">IFERROR(__xludf.DUMMYFUNCTION("SUM(FILTER(J:J, H:H=""Tiền mặt"")) - SUM(FILTER(K:K, H:H=""Tiền mặt""))
"),959000)</f>
        <v>959000</v>
      </c>
      <c r="N1668" s="6">
        <f ca="1">IFERROR(__xludf.DUMMYFUNCTION("SUM(FILTER(J:J, H:H=""Chuyển khoản"")) - SUM(FILTER(K:K, H:H=""Chuyển khoản""))
"),4468984)</f>
        <v>4468984</v>
      </c>
      <c r="O1668" s="5"/>
      <c r="P1668" s="5"/>
      <c r="Q1668" s="5"/>
      <c r="R1668" s="5"/>
      <c r="S1668" s="5"/>
    </row>
    <row r="1669" spans="1:19" ht="15.75" customHeight="1" x14ac:dyDescent="0.2">
      <c r="A1669" s="3"/>
      <c r="B1669" s="4" t="str">
        <f>IF(A1669="","","PC-"&amp;TEXT(A1669,"mm/yyyy")&amp;"-"&amp;TEXT(COUNTIFS($A$2:A1669,"&gt;="&amp;EOMONTH(A1669,-1)+1,$A$2:A1669,"&lt;="&amp;EOMONTH(A1669,0)),"000"))</f>
        <v/>
      </c>
      <c r="C1669" s="5"/>
      <c r="D1669" s="5"/>
      <c r="E1669" s="5"/>
      <c r="F1669" s="5"/>
      <c r="G1669" s="5"/>
      <c r="H1669" s="5"/>
      <c r="I1669" s="6"/>
      <c r="J1669" s="6">
        <f>IF(D1669="Thu",I1669,0)</f>
        <v>0</v>
      </c>
      <c r="K1669" s="6">
        <f>IF(D1669="Chi",I1669,0)</f>
        <v>0</v>
      </c>
      <c r="L1669" s="6">
        <f>L1668+J1669-K1669</f>
        <v>8050118</v>
      </c>
      <c r="M1669" s="6">
        <f ca="1">IFERROR(__xludf.DUMMYFUNCTION("SUM(FILTER(J:J, H:H=""Tiền mặt"")) - SUM(FILTER(K:K, H:H=""Tiền mặt""))
"),959000)</f>
        <v>959000</v>
      </c>
      <c r="N1669" s="6">
        <f ca="1">IFERROR(__xludf.DUMMYFUNCTION("SUM(FILTER(J:J, H:H=""Chuyển khoản"")) - SUM(FILTER(K:K, H:H=""Chuyển khoản""))
"),4468984)</f>
        <v>4468984</v>
      </c>
      <c r="O1669" s="5"/>
      <c r="P1669" s="5"/>
      <c r="Q1669" s="5"/>
      <c r="R1669" s="5"/>
      <c r="S1669" s="5"/>
    </row>
    <row r="1670" spans="1:19" ht="15.75" customHeight="1" x14ac:dyDescent="0.2">
      <c r="A1670" s="3"/>
      <c r="B1670" s="4" t="str">
        <f>IF(A1670="","","PC-"&amp;TEXT(A1670,"mm/yyyy")&amp;"-"&amp;TEXT(COUNTIFS($A$2:A1670,"&gt;="&amp;EOMONTH(A1670,-1)+1,$A$2:A1670,"&lt;="&amp;EOMONTH(A1670,0)),"000"))</f>
        <v/>
      </c>
      <c r="C1670" s="5"/>
      <c r="D1670" s="5"/>
      <c r="E1670" s="5"/>
      <c r="F1670" s="5"/>
      <c r="G1670" s="5"/>
      <c r="H1670" s="5"/>
      <c r="I1670" s="6"/>
      <c r="J1670" s="6">
        <f>IF(D1670="Thu",I1670,0)</f>
        <v>0</v>
      </c>
      <c r="K1670" s="6">
        <f>IF(D1670="Chi",I1670,0)</f>
        <v>0</v>
      </c>
      <c r="L1670" s="6">
        <f>L1669+J1670-K1670</f>
        <v>8050118</v>
      </c>
      <c r="M1670" s="6">
        <f ca="1">IFERROR(__xludf.DUMMYFUNCTION("SUM(FILTER(J:J, H:H=""Tiền mặt"")) - SUM(FILTER(K:K, H:H=""Tiền mặt""))
"),959000)</f>
        <v>959000</v>
      </c>
      <c r="N1670" s="6">
        <f ca="1">IFERROR(__xludf.DUMMYFUNCTION("SUM(FILTER(J:J, H:H=""Chuyển khoản"")) - SUM(FILTER(K:K, H:H=""Chuyển khoản""))
"),4468984)</f>
        <v>4468984</v>
      </c>
      <c r="O1670" s="5"/>
      <c r="P1670" s="5"/>
      <c r="Q1670" s="5"/>
      <c r="R1670" s="5"/>
      <c r="S1670" s="5"/>
    </row>
    <row r="1671" spans="1:19" ht="15.75" customHeight="1" x14ac:dyDescent="0.2">
      <c r="A1671" s="3"/>
      <c r="B1671" s="4" t="str">
        <f>IF(A1671="","","PC-"&amp;TEXT(A1671,"mm/yyyy")&amp;"-"&amp;TEXT(COUNTIFS($A$2:A1671,"&gt;="&amp;EOMONTH(A1671,-1)+1,$A$2:A1671,"&lt;="&amp;EOMONTH(A1671,0)),"000"))</f>
        <v/>
      </c>
      <c r="C1671" s="5"/>
      <c r="D1671" s="5"/>
      <c r="E1671" s="5"/>
      <c r="F1671" s="5"/>
      <c r="G1671" s="5"/>
      <c r="H1671" s="5"/>
      <c r="I1671" s="6"/>
      <c r="J1671" s="6">
        <f>IF(D1671="Thu",I1671,0)</f>
        <v>0</v>
      </c>
      <c r="K1671" s="6">
        <f>IF(D1671="Chi",I1671,0)</f>
        <v>0</v>
      </c>
      <c r="L1671" s="6">
        <f>L1670+J1671-K1671</f>
        <v>8050118</v>
      </c>
      <c r="M1671" s="6">
        <f ca="1">IFERROR(__xludf.DUMMYFUNCTION("SUM(FILTER(J:J, H:H=""Tiền mặt"")) - SUM(FILTER(K:K, H:H=""Tiền mặt""))
"),959000)</f>
        <v>959000</v>
      </c>
      <c r="N1671" s="6">
        <f ca="1">IFERROR(__xludf.DUMMYFUNCTION("SUM(FILTER(J:J, H:H=""Chuyển khoản"")) - SUM(FILTER(K:K, H:H=""Chuyển khoản""))
"),4468984)</f>
        <v>4468984</v>
      </c>
      <c r="O1671" s="5"/>
      <c r="P1671" s="5"/>
      <c r="Q1671" s="5"/>
      <c r="R1671" s="5"/>
      <c r="S1671" s="5"/>
    </row>
    <row r="1672" spans="1:19" ht="15.75" customHeight="1" x14ac:dyDescent="0.2">
      <c r="A1672" s="3"/>
      <c r="B1672" s="4" t="str">
        <f>IF(A1672="","","PC-"&amp;TEXT(A1672,"mm/yyyy")&amp;"-"&amp;TEXT(COUNTIFS($A$2:A1672,"&gt;="&amp;EOMONTH(A1672,-1)+1,$A$2:A1672,"&lt;="&amp;EOMONTH(A1672,0)),"000"))</f>
        <v/>
      </c>
      <c r="C1672" s="5"/>
      <c r="D1672" s="5"/>
      <c r="E1672" s="5"/>
      <c r="F1672" s="5"/>
      <c r="G1672" s="5"/>
      <c r="H1672" s="5"/>
      <c r="I1672" s="6"/>
      <c r="J1672" s="6">
        <f>IF(D1672="Thu",I1672,0)</f>
        <v>0</v>
      </c>
      <c r="K1672" s="6">
        <f>IF(D1672="Chi",I1672,0)</f>
        <v>0</v>
      </c>
      <c r="L1672" s="6">
        <f>L1671+J1672-K1672</f>
        <v>8050118</v>
      </c>
      <c r="M1672" s="6">
        <f ca="1">IFERROR(__xludf.DUMMYFUNCTION("SUM(FILTER(J:J, H:H=""Tiền mặt"")) - SUM(FILTER(K:K, H:H=""Tiền mặt""))
"),959000)</f>
        <v>959000</v>
      </c>
      <c r="N1672" s="6">
        <f ca="1">IFERROR(__xludf.DUMMYFUNCTION("SUM(FILTER(J:J, H:H=""Chuyển khoản"")) - SUM(FILTER(K:K, H:H=""Chuyển khoản""))
"),4468984)</f>
        <v>4468984</v>
      </c>
      <c r="O1672" s="5"/>
      <c r="P1672" s="5"/>
      <c r="Q1672" s="5"/>
      <c r="R1672" s="5"/>
      <c r="S1672" s="5"/>
    </row>
    <row r="1673" spans="1:19" ht="15.75" customHeight="1" x14ac:dyDescent="0.2">
      <c r="A1673" s="3"/>
      <c r="B1673" s="4" t="str">
        <f>IF(A1673="","","PC-"&amp;TEXT(A1673,"mm/yyyy")&amp;"-"&amp;TEXT(COUNTIFS($A$2:A1673,"&gt;="&amp;EOMONTH(A1673,-1)+1,$A$2:A1673,"&lt;="&amp;EOMONTH(A1673,0)),"000"))</f>
        <v/>
      </c>
      <c r="C1673" s="5"/>
      <c r="D1673" s="5"/>
      <c r="E1673" s="5"/>
      <c r="F1673" s="5"/>
      <c r="G1673" s="5"/>
      <c r="H1673" s="5"/>
      <c r="I1673" s="6"/>
      <c r="J1673" s="6">
        <f>IF(D1673="Thu",I1673,0)</f>
        <v>0</v>
      </c>
      <c r="K1673" s="6">
        <f>IF(D1673="Chi",I1673,0)</f>
        <v>0</v>
      </c>
      <c r="L1673" s="6">
        <f>L1672+J1673-K1673</f>
        <v>8050118</v>
      </c>
      <c r="M1673" s="6">
        <f ca="1">IFERROR(__xludf.DUMMYFUNCTION("SUM(FILTER(J:J, H:H=""Tiền mặt"")) - SUM(FILTER(K:K, H:H=""Tiền mặt""))
"),959000)</f>
        <v>959000</v>
      </c>
      <c r="N1673" s="6">
        <f ca="1">IFERROR(__xludf.DUMMYFUNCTION("SUM(FILTER(J:J, H:H=""Chuyển khoản"")) - SUM(FILTER(K:K, H:H=""Chuyển khoản""))
"),4468984)</f>
        <v>4468984</v>
      </c>
      <c r="O1673" s="5"/>
      <c r="P1673" s="5"/>
      <c r="Q1673" s="5"/>
      <c r="R1673" s="5"/>
      <c r="S1673" s="5"/>
    </row>
    <row r="1674" spans="1:19" ht="15.75" customHeight="1" x14ac:dyDescent="0.2">
      <c r="A1674" s="3"/>
      <c r="B1674" s="4" t="str">
        <f>IF(A1674="","","PC-"&amp;TEXT(A1674,"mm/yyyy")&amp;"-"&amp;TEXT(COUNTIFS($A$2:A1674,"&gt;="&amp;EOMONTH(A1674,-1)+1,$A$2:A1674,"&lt;="&amp;EOMONTH(A1674,0)),"000"))</f>
        <v/>
      </c>
      <c r="C1674" s="5"/>
      <c r="D1674" s="5"/>
      <c r="E1674" s="5"/>
      <c r="F1674" s="5"/>
      <c r="G1674" s="5"/>
      <c r="H1674" s="5"/>
      <c r="I1674" s="6"/>
      <c r="J1674" s="6">
        <f>IF(D1674="Thu",I1674,0)</f>
        <v>0</v>
      </c>
      <c r="K1674" s="6">
        <f>IF(D1674="Chi",I1674,0)</f>
        <v>0</v>
      </c>
      <c r="L1674" s="6">
        <f>L1673+J1674-K1674</f>
        <v>8050118</v>
      </c>
      <c r="M1674" s="6">
        <f ca="1">IFERROR(__xludf.DUMMYFUNCTION("SUM(FILTER(J:J, H:H=""Tiền mặt"")) - SUM(FILTER(K:K, H:H=""Tiền mặt""))
"),959000)</f>
        <v>959000</v>
      </c>
      <c r="N1674" s="6">
        <f ca="1">IFERROR(__xludf.DUMMYFUNCTION("SUM(FILTER(J:J, H:H=""Chuyển khoản"")) - SUM(FILTER(K:K, H:H=""Chuyển khoản""))
"),4468984)</f>
        <v>4468984</v>
      </c>
      <c r="O1674" s="5"/>
      <c r="P1674" s="5"/>
      <c r="Q1674" s="5"/>
      <c r="R1674" s="5"/>
      <c r="S1674" s="5"/>
    </row>
    <row r="1675" spans="1:19" ht="15.75" customHeight="1" x14ac:dyDescent="0.2">
      <c r="A1675" s="3"/>
      <c r="B1675" s="4" t="str">
        <f>IF(A1675="","","PC-"&amp;TEXT(A1675,"mm/yyyy")&amp;"-"&amp;TEXT(COUNTIFS($A$2:A1675,"&gt;="&amp;EOMONTH(A1675,-1)+1,$A$2:A1675,"&lt;="&amp;EOMONTH(A1675,0)),"000"))</f>
        <v/>
      </c>
      <c r="C1675" s="5"/>
      <c r="D1675" s="5"/>
      <c r="E1675" s="5"/>
      <c r="F1675" s="5"/>
      <c r="G1675" s="5"/>
      <c r="H1675" s="5"/>
      <c r="I1675" s="6"/>
      <c r="J1675" s="6">
        <f>IF(D1675="Thu",I1675,0)</f>
        <v>0</v>
      </c>
      <c r="K1675" s="6">
        <f>IF(D1675="Chi",I1675,0)</f>
        <v>0</v>
      </c>
      <c r="L1675" s="6">
        <f>L1674+J1675-K1675</f>
        <v>8050118</v>
      </c>
      <c r="M1675" s="6">
        <f ca="1">IFERROR(__xludf.DUMMYFUNCTION("SUM(FILTER(J:J, H:H=""Tiền mặt"")) - SUM(FILTER(K:K, H:H=""Tiền mặt""))
"),959000)</f>
        <v>959000</v>
      </c>
      <c r="N1675" s="6">
        <f ca="1">IFERROR(__xludf.DUMMYFUNCTION("SUM(FILTER(J:J, H:H=""Chuyển khoản"")) - SUM(FILTER(K:K, H:H=""Chuyển khoản""))
"),4468984)</f>
        <v>4468984</v>
      </c>
      <c r="O1675" s="5"/>
      <c r="P1675" s="5"/>
      <c r="Q1675" s="5"/>
      <c r="R1675" s="5"/>
      <c r="S1675" s="5"/>
    </row>
    <row r="1676" spans="1:19" ht="15.75" customHeight="1" x14ac:dyDescent="0.2">
      <c r="A1676" s="3"/>
      <c r="B1676" s="4" t="str">
        <f>IF(A1676="","","PC-"&amp;TEXT(A1676,"mm/yyyy")&amp;"-"&amp;TEXT(COUNTIFS($A$2:A1676,"&gt;="&amp;EOMONTH(A1676,-1)+1,$A$2:A1676,"&lt;="&amp;EOMONTH(A1676,0)),"000"))</f>
        <v/>
      </c>
      <c r="C1676" s="5"/>
      <c r="D1676" s="5"/>
      <c r="E1676" s="5"/>
      <c r="F1676" s="5"/>
      <c r="G1676" s="5"/>
      <c r="H1676" s="5"/>
      <c r="I1676" s="6"/>
      <c r="J1676" s="6">
        <f>IF(D1676="Thu",I1676,0)</f>
        <v>0</v>
      </c>
      <c r="K1676" s="6">
        <f>IF(D1676="Chi",I1676,0)</f>
        <v>0</v>
      </c>
      <c r="L1676" s="6">
        <f>L1675+J1676-K1676</f>
        <v>8050118</v>
      </c>
      <c r="M1676" s="6">
        <f ca="1">IFERROR(__xludf.DUMMYFUNCTION("SUM(FILTER(J:J, H:H=""Tiền mặt"")) - SUM(FILTER(K:K, H:H=""Tiền mặt""))
"),959000)</f>
        <v>959000</v>
      </c>
      <c r="N1676" s="6">
        <f ca="1">IFERROR(__xludf.DUMMYFUNCTION("SUM(FILTER(J:J, H:H=""Chuyển khoản"")) - SUM(FILTER(K:K, H:H=""Chuyển khoản""))
"),4468984)</f>
        <v>4468984</v>
      </c>
      <c r="O1676" s="5"/>
      <c r="P1676" s="5"/>
      <c r="Q1676" s="5"/>
      <c r="R1676" s="5"/>
      <c r="S1676" s="5"/>
    </row>
    <row r="1677" spans="1:19" ht="15.75" customHeight="1" x14ac:dyDescent="0.2">
      <c r="A1677" s="3"/>
      <c r="B1677" s="4" t="str">
        <f>IF(A1677="","","PC-"&amp;TEXT(A1677,"mm/yyyy")&amp;"-"&amp;TEXT(COUNTIFS($A$2:A1677,"&gt;="&amp;EOMONTH(A1677,-1)+1,$A$2:A1677,"&lt;="&amp;EOMONTH(A1677,0)),"000"))</f>
        <v/>
      </c>
      <c r="C1677" s="5"/>
      <c r="D1677" s="5"/>
      <c r="E1677" s="5"/>
      <c r="F1677" s="5"/>
      <c r="G1677" s="5"/>
      <c r="H1677" s="5"/>
      <c r="I1677" s="6"/>
      <c r="J1677" s="6">
        <f>IF(D1677="Thu",I1677,0)</f>
        <v>0</v>
      </c>
      <c r="K1677" s="6">
        <f>IF(D1677="Chi",I1677,0)</f>
        <v>0</v>
      </c>
      <c r="L1677" s="6">
        <f>L1676+J1677-K1677</f>
        <v>8050118</v>
      </c>
      <c r="M1677" s="6">
        <f ca="1">IFERROR(__xludf.DUMMYFUNCTION("SUM(FILTER(J:J, H:H=""Tiền mặt"")) - SUM(FILTER(K:K, H:H=""Tiền mặt""))
"),959000)</f>
        <v>959000</v>
      </c>
      <c r="N1677" s="6">
        <f ca="1">IFERROR(__xludf.DUMMYFUNCTION("SUM(FILTER(J:J, H:H=""Chuyển khoản"")) - SUM(FILTER(K:K, H:H=""Chuyển khoản""))
"),4468984)</f>
        <v>4468984</v>
      </c>
      <c r="O1677" s="5"/>
      <c r="P1677" s="5"/>
      <c r="Q1677" s="5"/>
      <c r="R1677" s="5"/>
      <c r="S1677" s="5"/>
    </row>
    <row r="1678" spans="1:19" ht="15.75" customHeight="1" x14ac:dyDescent="0.2">
      <c r="A1678" s="3"/>
      <c r="B1678" s="4" t="str">
        <f>IF(A1678="","","PC-"&amp;TEXT(A1678,"mm/yyyy")&amp;"-"&amp;TEXT(COUNTIFS($A$2:A1678,"&gt;="&amp;EOMONTH(A1678,-1)+1,$A$2:A1678,"&lt;="&amp;EOMONTH(A1678,0)),"000"))</f>
        <v/>
      </c>
      <c r="C1678" s="5"/>
      <c r="D1678" s="5"/>
      <c r="E1678" s="5"/>
      <c r="F1678" s="5"/>
      <c r="G1678" s="5"/>
      <c r="H1678" s="5"/>
      <c r="I1678" s="6"/>
      <c r="J1678" s="6">
        <f>IF(D1678="Thu",I1678,0)</f>
        <v>0</v>
      </c>
      <c r="K1678" s="6">
        <f>IF(D1678="Chi",I1678,0)</f>
        <v>0</v>
      </c>
      <c r="L1678" s="6">
        <f>L1677+J1678-K1678</f>
        <v>8050118</v>
      </c>
      <c r="M1678" s="6">
        <f ca="1">IFERROR(__xludf.DUMMYFUNCTION("SUM(FILTER(J:J, H:H=""Tiền mặt"")) - SUM(FILTER(K:K, H:H=""Tiền mặt""))
"),959000)</f>
        <v>959000</v>
      </c>
      <c r="N1678" s="6">
        <f ca="1">IFERROR(__xludf.DUMMYFUNCTION("SUM(FILTER(J:J, H:H=""Chuyển khoản"")) - SUM(FILTER(K:K, H:H=""Chuyển khoản""))
"),4468984)</f>
        <v>4468984</v>
      </c>
      <c r="O1678" s="5"/>
      <c r="P1678" s="5"/>
      <c r="Q1678" s="5"/>
      <c r="R1678" s="5"/>
      <c r="S1678" s="5"/>
    </row>
    <row r="1679" spans="1:19" ht="15.75" customHeight="1" x14ac:dyDescent="0.2">
      <c r="A1679" s="3"/>
      <c r="B1679" s="4" t="str">
        <f>IF(A1679="","","PC-"&amp;TEXT(A1679,"mm/yyyy")&amp;"-"&amp;TEXT(COUNTIFS($A$2:A1679,"&gt;="&amp;EOMONTH(A1679,-1)+1,$A$2:A1679,"&lt;="&amp;EOMONTH(A1679,0)),"000"))</f>
        <v/>
      </c>
      <c r="C1679" s="5"/>
      <c r="D1679" s="5"/>
      <c r="E1679" s="5"/>
      <c r="F1679" s="5"/>
      <c r="G1679" s="5"/>
      <c r="H1679" s="5"/>
      <c r="I1679" s="6"/>
      <c r="J1679" s="6">
        <f>IF(D1679="Thu",I1679,0)</f>
        <v>0</v>
      </c>
      <c r="K1679" s="6">
        <f>IF(D1679="Chi",I1679,0)</f>
        <v>0</v>
      </c>
      <c r="L1679" s="6">
        <f>L1678+J1679-K1679</f>
        <v>8050118</v>
      </c>
      <c r="M1679" s="6">
        <f ca="1">IFERROR(__xludf.DUMMYFUNCTION("SUM(FILTER(J:J, H:H=""Tiền mặt"")) - SUM(FILTER(K:K, H:H=""Tiền mặt""))
"),959000)</f>
        <v>959000</v>
      </c>
      <c r="N1679" s="6">
        <f ca="1">IFERROR(__xludf.DUMMYFUNCTION("SUM(FILTER(J:J, H:H=""Chuyển khoản"")) - SUM(FILTER(K:K, H:H=""Chuyển khoản""))
"),4468984)</f>
        <v>4468984</v>
      </c>
      <c r="O1679" s="5"/>
      <c r="P1679" s="5"/>
      <c r="Q1679" s="5"/>
      <c r="R1679" s="5"/>
      <c r="S1679" s="5"/>
    </row>
    <row r="1680" spans="1:19" ht="15.75" customHeight="1" x14ac:dyDescent="0.2">
      <c r="A1680" s="3"/>
      <c r="B1680" s="4" t="str">
        <f>IF(A1680="","","PC-"&amp;TEXT(A1680,"mm/yyyy")&amp;"-"&amp;TEXT(COUNTIFS($A$2:A1680,"&gt;="&amp;EOMONTH(A1680,-1)+1,$A$2:A1680,"&lt;="&amp;EOMONTH(A1680,0)),"000"))</f>
        <v/>
      </c>
      <c r="C1680" s="5"/>
      <c r="D1680" s="5"/>
      <c r="E1680" s="5"/>
      <c r="F1680" s="5"/>
      <c r="G1680" s="5"/>
      <c r="H1680" s="5"/>
      <c r="I1680" s="6"/>
      <c r="J1680" s="6">
        <f>IF(D1680="Thu",I1680,0)</f>
        <v>0</v>
      </c>
      <c r="K1680" s="6">
        <f>IF(D1680="Chi",I1680,0)</f>
        <v>0</v>
      </c>
      <c r="L1680" s="6">
        <f>L1679+J1680-K1680</f>
        <v>8050118</v>
      </c>
      <c r="M1680" s="6">
        <f ca="1">IFERROR(__xludf.DUMMYFUNCTION("SUM(FILTER(J:J, H:H=""Tiền mặt"")) - SUM(FILTER(K:K, H:H=""Tiền mặt""))
"),959000)</f>
        <v>959000</v>
      </c>
      <c r="N1680" s="6">
        <f ca="1">IFERROR(__xludf.DUMMYFUNCTION("SUM(FILTER(J:J, H:H=""Chuyển khoản"")) - SUM(FILTER(K:K, H:H=""Chuyển khoản""))
"),4468984)</f>
        <v>4468984</v>
      </c>
      <c r="O1680" s="5"/>
      <c r="P1680" s="5"/>
      <c r="Q1680" s="5"/>
      <c r="R1680" s="5"/>
      <c r="S1680" s="5"/>
    </row>
    <row r="1681" spans="1:19" ht="15.75" customHeight="1" x14ac:dyDescent="0.2">
      <c r="A1681" s="3"/>
      <c r="B1681" s="4" t="str">
        <f>IF(A1681="","","PC-"&amp;TEXT(A1681,"mm/yyyy")&amp;"-"&amp;TEXT(COUNTIFS($A$2:A1681,"&gt;="&amp;EOMONTH(A1681,-1)+1,$A$2:A1681,"&lt;="&amp;EOMONTH(A1681,0)),"000"))</f>
        <v/>
      </c>
      <c r="C1681" s="5"/>
      <c r="D1681" s="5"/>
      <c r="E1681" s="5"/>
      <c r="F1681" s="5"/>
      <c r="G1681" s="5"/>
      <c r="H1681" s="5"/>
      <c r="I1681" s="6"/>
      <c r="J1681" s="6">
        <f>IF(D1681="Thu",I1681,0)</f>
        <v>0</v>
      </c>
      <c r="K1681" s="6">
        <f>IF(D1681="Chi",I1681,0)</f>
        <v>0</v>
      </c>
      <c r="L1681" s="6">
        <f>L1680+J1681-K1681</f>
        <v>8050118</v>
      </c>
      <c r="M1681" s="6">
        <f ca="1">IFERROR(__xludf.DUMMYFUNCTION("SUM(FILTER(J:J, H:H=""Tiền mặt"")) - SUM(FILTER(K:K, H:H=""Tiền mặt""))
"),959000)</f>
        <v>959000</v>
      </c>
      <c r="N1681" s="6">
        <f ca="1">IFERROR(__xludf.DUMMYFUNCTION("SUM(FILTER(J:J, H:H=""Chuyển khoản"")) - SUM(FILTER(K:K, H:H=""Chuyển khoản""))
"),4468984)</f>
        <v>4468984</v>
      </c>
      <c r="O1681" s="5"/>
      <c r="P1681" s="5"/>
      <c r="Q1681" s="5"/>
      <c r="R1681" s="5"/>
      <c r="S1681" s="5"/>
    </row>
    <row r="1682" spans="1:19" ht="15.75" customHeight="1" x14ac:dyDescent="0.2">
      <c r="A1682" s="3"/>
      <c r="B1682" s="4" t="str">
        <f>IF(A1682="","","PC-"&amp;TEXT(A1682,"mm/yyyy")&amp;"-"&amp;TEXT(COUNTIFS($A$2:A1682,"&gt;="&amp;EOMONTH(A1682,-1)+1,$A$2:A1682,"&lt;="&amp;EOMONTH(A1682,0)),"000"))</f>
        <v/>
      </c>
      <c r="C1682" s="5"/>
      <c r="D1682" s="5"/>
      <c r="E1682" s="5"/>
      <c r="F1682" s="5"/>
      <c r="G1682" s="5"/>
      <c r="H1682" s="5"/>
      <c r="I1682" s="6"/>
      <c r="J1682" s="6">
        <f>IF(D1682="Thu",I1682,0)</f>
        <v>0</v>
      </c>
      <c r="K1682" s="6">
        <f>IF(D1682="Chi",I1682,0)</f>
        <v>0</v>
      </c>
      <c r="L1682" s="6">
        <f>L1681+J1682-K1682</f>
        <v>8050118</v>
      </c>
      <c r="M1682" s="6">
        <f ca="1">IFERROR(__xludf.DUMMYFUNCTION("SUM(FILTER(J:J, H:H=""Tiền mặt"")) - SUM(FILTER(K:K, H:H=""Tiền mặt""))
"),959000)</f>
        <v>959000</v>
      </c>
      <c r="N1682" s="6">
        <f ca="1">IFERROR(__xludf.DUMMYFUNCTION("SUM(FILTER(J:J, H:H=""Chuyển khoản"")) - SUM(FILTER(K:K, H:H=""Chuyển khoản""))
"),4468984)</f>
        <v>4468984</v>
      </c>
      <c r="O1682" s="5"/>
      <c r="P1682" s="5"/>
      <c r="Q1682" s="5"/>
      <c r="R1682" s="5"/>
      <c r="S1682" s="5"/>
    </row>
    <row r="1683" spans="1:19" ht="15.75" customHeight="1" x14ac:dyDescent="0.2">
      <c r="A1683" s="3"/>
      <c r="B1683" s="4" t="str">
        <f>IF(A1683="","","PC-"&amp;TEXT(A1683,"mm/yyyy")&amp;"-"&amp;TEXT(COUNTIFS($A$2:A1683,"&gt;="&amp;EOMONTH(A1683,-1)+1,$A$2:A1683,"&lt;="&amp;EOMONTH(A1683,0)),"000"))</f>
        <v/>
      </c>
      <c r="C1683" s="5"/>
      <c r="D1683" s="5"/>
      <c r="E1683" s="5"/>
      <c r="F1683" s="5"/>
      <c r="G1683" s="5"/>
      <c r="H1683" s="5"/>
      <c r="I1683" s="6"/>
      <c r="J1683" s="6">
        <f>IF(D1683="Thu",I1683,0)</f>
        <v>0</v>
      </c>
      <c r="K1683" s="6">
        <f>IF(D1683="Chi",I1683,0)</f>
        <v>0</v>
      </c>
      <c r="L1683" s="6">
        <f>L1682+J1683-K1683</f>
        <v>8050118</v>
      </c>
      <c r="M1683" s="6">
        <f ca="1">IFERROR(__xludf.DUMMYFUNCTION("SUM(FILTER(J:J, H:H=""Tiền mặt"")) - SUM(FILTER(K:K, H:H=""Tiền mặt""))
"),959000)</f>
        <v>959000</v>
      </c>
      <c r="N1683" s="6">
        <f ca="1">IFERROR(__xludf.DUMMYFUNCTION("SUM(FILTER(J:J, H:H=""Chuyển khoản"")) - SUM(FILTER(K:K, H:H=""Chuyển khoản""))
"),4468984)</f>
        <v>4468984</v>
      </c>
      <c r="O1683" s="5"/>
      <c r="P1683" s="5"/>
      <c r="Q1683" s="5"/>
      <c r="R1683" s="5"/>
      <c r="S1683" s="5"/>
    </row>
    <row r="1684" spans="1:19" ht="15.75" customHeight="1" x14ac:dyDescent="0.2">
      <c r="A1684" s="3"/>
      <c r="B1684" s="4" t="str">
        <f>IF(A1684="","","PC-"&amp;TEXT(A1684,"mm/yyyy")&amp;"-"&amp;TEXT(COUNTIFS($A$2:A1684,"&gt;="&amp;EOMONTH(A1684,-1)+1,$A$2:A1684,"&lt;="&amp;EOMONTH(A1684,0)),"000"))</f>
        <v/>
      </c>
      <c r="C1684" s="5"/>
      <c r="D1684" s="5"/>
      <c r="E1684" s="5"/>
      <c r="F1684" s="5"/>
      <c r="G1684" s="5"/>
      <c r="H1684" s="5"/>
      <c r="I1684" s="6"/>
      <c r="J1684" s="6">
        <f>IF(D1684="Thu",I1684,0)</f>
        <v>0</v>
      </c>
      <c r="K1684" s="6">
        <f>IF(D1684="Chi",I1684,0)</f>
        <v>0</v>
      </c>
      <c r="L1684" s="6">
        <f>L1683+J1684-K1684</f>
        <v>8050118</v>
      </c>
      <c r="M1684" s="6">
        <f ca="1">IFERROR(__xludf.DUMMYFUNCTION("SUM(FILTER(J:J, H:H=""Tiền mặt"")) - SUM(FILTER(K:K, H:H=""Tiền mặt""))
"),959000)</f>
        <v>959000</v>
      </c>
      <c r="N1684" s="6">
        <f ca="1">IFERROR(__xludf.DUMMYFUNCTION("SUM(FILTER(J:J, H:H=""Chuyển khoản"")) - SUM(FILTER(K:K, H:H=""Chuyển khoản""))
"),4468984)</f>
        <v>4468984</v>
      </c>
      <c r="O1684" s="5"/>
      <c r="P1684" s="5"/>
      <c r="Q1684" s="5"/>
      <c r="R1684" s="5"/>
      <c r="S1684" s="5"/>
    </row>
    <row r="1685" spans="1:19" ht="15.75" customHeight="1" x14ac:dyDescent="0.2">
      <c r="A1685" s="3"/>
      <c r="B1685" s="4" t="str">
        <f>IF(A1685="","","PC-"&amp;TEXT(A1685,"mm/yyyy")&amp;"-"&amp;TEXT(COUNTIFS($A$2:A1685,"&gt;="&amp;EOMONTH(A1685,-1)+1,$A$2:A1685,"&lt;="&amp;EOMONTH(A1685,0)),"000"))</f>
        <v/>
      </c>
      <c r="C1685" s="5"/>
      <c r="D1685" s="5"/>
      <c r="E1685" s="5"/>
      <c r="F1685" s="5"/>
      <c r="G1685" s="5"/>
      <c r="H1685" s="5"/>
      <c r="I1685" s="6"/>
      <c r="J1685" s="6">
        <f>IF(D1685="Thu",I1685,0)</f>
        <v>0</v>
      </c>
      <c r="K1685" s="6">
        <f>IF(D1685="Chi",I1685,0)</f>
        <v>0</v>
      </c>
      <c r="L1685" s="6">
        <f>L1684+J1685-K1685</f>
        <v>8050118</v>
      </c>
      <c r="M1685" s="6">
        <f ca="1">IFERROR(__xludf.DUMMYFUNCTION("SUM(FILTER(J:J, H:H=""Tiền mặt"")) - SUM(FILTER(K:K, H:H=""Tiền mặt""))
"),959000)</f>
        <v>959000</v>
      </c>
      <c r="N1685" s="6">
        <f ca="1">IFERROR(__xludf.DUMMYFUNCTION("SUM(FILTER(J:J, H:H=""Chuyển khoản"")) - SUM(FILTER(K:K, H:H=""Chuyển khoản""))
"),4468984)</f>
        <v>4468984</v>
      </c>
      <c r="O1685" s="5"/>
      <c r="P1685" s="5"/>
      <c r="Q1685" s="5"/>
      <c r="R1685" s="5"/>
      <c r="S1685" s="5"/>
    </row>
    <row r="1686" spans="1:19" ht="15.75" customHeight="1" x14ac:dyDescent="0.2">
      <c r="A1686" s="3"/>
      <c r="B1686" s="4" t="str">
        <f>IF(A1686="","","PC-"&amp;TEXT(A1686,"mm/yyyy")&amp;"-"&amp;TEXT(COUNTIFS($A$2:A1686,"&gt;="&amp;EOMONTH(A1686,-1)+1,$A$2:A1686,"&lt;="&amp;EOMONTH(A1686,0)),"000"))</f>
        <v/>
      </c>
      <c r="C1686" s="5"/>
      <c r="D1686" s="5"/>
      <c r="E1686" s="5"/>
      <c r="F1686" s="5"/>
      <c r="G1686" s="5"/>
      <c r="H1686" s="5"/>
      <c r="I1686" s="6"/>
      <c r="J1686" s="6">
        <f>IF(D1686="Thu",I1686,0)</f>
        <v>0</v>
      </c>
      <c r="K1686" s="6">
        <f>IF(D1686="Chi",I1686,0)</f>
        <v>0</v>
      </c>
      <c r="L1686" s="6">
        <f>L1685+J1686-K1686</f>
        <v>8050118</v>
      </c>
      <c r="M1686" s="6">
        <f ca="1">IFERROR(__xludf.DUMMYFUNCTION("SUM(FILTER(J:J, H:H=""Tiền mặt"")) - SUM(FILTER(K:K, H:H=""Tiền mặt""))
"),959000)</f>
        <v>959000</v>
      </c>
      <c r="N1686" s="6">
        <f ca="1">IFERROR(__xludf.DUMMYFUNCTION("SUM(FILTER(J:J, H:H=""Chuyển khoản"")) - SUM(FILTER(K:K, H:H=""Chuyển khoản""))
"),4468984)</f>
        <v>4468984</v>
      </c>
      <c r="O1686" s="5"/>
      <c r="P1686" s="5"/>
      <c r="Q1686" s="5"/>
      <c r="R1686" s="5"/>
      <c r="S1686" s="5"/>
    </row>
    <row r="1687" spans="1:19" ht="15.75" customHeight="1" x14ac:dyDescent="0.2">
      <c r="A1687" s="3"/>
      <c r="B1687" s="4" t="str">
        <f>IF(A1687="","","PC-"&amp;TEXT(A1687,"mm/yyyy")&amp;"-"&amp;TEXT(COUNTIFS($A$2:A1687,"&gt;="&amp;EOMONTH(A1687,-1)+1,$A$2:A1687,"&lt;="&amp;EOMONTH(A1687,0)),"000"))</f>
        <v/>
      </c>
      <c r="C1687" s="5"/>
      <c r="D1687" s="5"/>
      <c r="E1687" s="5"/>
      <c r="F1687" s="5"/>
      <c r="G1687" s="5"/>
      <c r="H1687" s="5"/>
      <c r="I1687" s="6"/>
      <c r="J1687" s="6">
        <f>IF(D1687="Thu",I1687,0)</f>
        <v>0</v>
      </c>
      <c r="K1687" s="6">
        <f>IF(D1687="Chi",I1687,0)</f>
        <v>0</v>
      </c>
      <c r="L1687" s="6">
        <f>L1686+J1687-K1687</f>
        <v>8050118</v>
      </c>
      <c r="M1687" s="6">
        <f ca="1">IFERROR(__xludf.DUMMYFUNCTION("SUM(FILTER(J:J, H:H=""Tiền mặt"")) - SUM(FILTER(K:K, H:H=""Tiền mặt""))
"),959000)</f>
        <v>959000</v>
      </c>
      <c r="N1687" s="6">
        <f ca="1">IFERROR(__xludf.DUMMYFUNCTION("SUM(FILTER(J:J, H:H=""Chuyển khoản"")) - SUM(FILTER(K:K, H:H=""Chuyển khoản""))
"),4468984)</f>
        <v>4468984</v>
      </c>
      <c r="O1687" s="5"/>
      <c r="P1687" s="5"/>
      <c r="Q1687" s="5"/>
      <c r="R1687" s="5"/>
      <c r="S1687" s="5"/>
    </row>
    <row r="1688" spans="1:19" ht="15.75" customHeight="1" x14ac:dyDescent="0.2">
      <c r="A1688" s="3"/>
      <c r="B1688" s="4" t="str">
        <f>IF(A1688="","","PC-"&amp;TEXT(A1688,"mm/yyyy")&amp;"-"&amp;TEXT(COUNTIFS($A$2:A1688,"&gt;="&amp;EOMONTH(A1688,-1)+1,$A$2:A1688,"&lt;="&amp;EOMONTH(A1688,0)),"000"))</f>
        <v/>
      </c>
      <c r="C1688" s="5"/>
      <c r="D1688" s="5"/>
      <c r="E1688" s="5"/>
      <c r="F1688" s="5"/>
      <c r="G1688" s="5"/>
      <c r="H1688" s="5"/>
      <c r="I1688" s="6"/>
      <c r="J1688" s="6">
        <f>IF(D1688="Thu",I1688,0)</f>
        <v>0</v>
      </c>
      <c r="K1688" s="6">
        <f>IF(D1688="Chi",I1688,0)</f>
        <v>0</v>
      </c>
      <c r="L1688" s="6">
        <f>L1687+J1688-K1688</f>
        <v>8050118</v>
      </c>
      <c r="M1688" s="6">
        <f ca="1">IFERROR(__xludf.DUMMYFUNCTION("SUM(FILTER(J:J, H:H=""Tiền mặt"")) - SUM(FILTER(K:K, H:H=""Tiền mặt""))
"),959000)</f>
        <v>959000</v>
      </c>
      <c r="N1688" s="6">
        <f ca="1">IFERROR(__xludf.DUMMYFUNCTION("SUM(FILTER(J:J, H:H=""Chuyển khoản"")) - SUM(FILTER(K:K, H:H=""Chuyển khoản""))
"),4468984)</f>
        <v>4468984</v>
      </c>
      <c r="O1688" s="5"/>
      <c r="P1688" s="5"/>
      <c r="Q1688" s="5"/>
      <c r="R1688" s="5"/>
      <c r="S1688" s="5"/>
    </row>
    <row r="1689" spans="1:19" ht="15.75" customHeight="1" x14ac:dyDescent="0.2">
      <c r="A1689" s="3"/>
      <c r="B1689" s="4" t="str">
        <f>IF(A1689="","","PC-"&amp;TEXT(A1689,"mm/yyyy")&amp;"-"&amp;TEXT(COUNTIFS($A$2:A1689,"&gt;="&amp;EOMONTH(A1689,-1)+1,$A$2:A1689,"&lt;="&amp;EOMONTH(A1689,0)),"000"))</f>
        <v/>
      </c>
      <c r="C1689" s="5"/>
      <c r="D1689" s="5"/>
      <c r="E1689" s="5"/>
      <c r="F1689" s="5"/>
      <c r="G1689" s="5"/>
      <c r="H1689" s="5"/>
      <c r="I1689" s="6"/>
      <c r="J1689" s="6">
        <f>IF(D1689="Thu",I1689,0)</f>
        <v>0</v>
      </c>
      <c r="K1689" s="6">
        <f>IF(D1689="Chi",I1689,0)</f>
        <v>0</v>
      </c>
      <c r="L1689" s="6">
        <f>L1688+J1689-K1689</f>
        <v>8050118</v>
      </c>
      <c r="M1689" s="6">
        <f ca="1">IFERROR(__xludf.DUMMYFUNCTION("SUM(FILTER(J:J, H:H=""Tiền mặt"")) - SUM(FILTER(K:K, H:H=""Tiền mặt""))
"),959000)</f>
        <v>959000</v>
      </c>
      <c r="N1689" s="6">
        <f ca="1">IFERROR(__xludf.DUMMYFUNCTION("SUM(FILTER(J:J, H:H=""Chuyển khoản"")) - SUM(FILTER(K:K, H:H=""Chuyển khoản""))
"),4468984)</f>
        <v>4468984</v>
      </c>
      <c r="O1689" s="5"/>
      <c r="P1689" s="5"/>
      <c r="Q1689" s="5"/>
      <c r="R1689" s="5"/>
      <c r="S1689" s="5"/>
    </row>
    <row r="1690" spans="1:19" ht="15.75" customHeight="1" x14ac:dyDescent="0.2">
      <c r="A1690" s="3"/>
      <c r="B1690" s="4" t="str">
        <f>IF(A1690="","","PC-"&amp;TEXT(A1690,"mm/yyyy")&amp;"-"&amp;TEXT(COUNTIFS($A$2:A1690,"&gt;="&amp;EOMONTH(A1690,-1)+1,$A$2:A1690,"&lt;="&amp;EOMONTH(A1690,0)),"000"))</f>
        <v/>
      </c>
      <c r="C1690" s="5"/>
      <c r="D1690" s="5"/>
      <c r="E1690" s="5"/>
      <c r="F1690" s="5"/>
      <c r="G1690" s="5"/>
      <c r="H1690" s="5"/>
      <c r="I1690" s="6"/>
      <c r="J1690" s="6">
        <f>IF(D1690="Thu",I1690,0)</f>
        <v>0</v>
      </c>
      <c r="K1690" s="6">
        <f>IF(D1690="Chi",I1690,0)</f>
        <v>0</v>
      </c>
      <c r="L1690" s="6">
        <f>L1689+J1690-K1690</f>
        <v>8050118</v>
      </c>
      <c r="M1690" s="6">
        <f ca="1">IFERROR(__xludf.DUMMYFUNCTION("SUM(FILTER(J:J, H:H=""Tiền mặt"")) - SUM(FILTER(K:K, H:H=""Tiền mặt""))
"),959000)</f>
        <v>959000</v>
      </c>
      <c r="N1690" s="6">
        <f ca="1">IFERROR(__xludf.DUMMYFUNCTION("SUM(FILTER(J:J, H:H=""Chuyển khoản"")) - SUM(FILTER(K:K, H:H=""Chuyển khoản""))
"),4468984)</f>
        <v>4468984</v>
      </c>
      <c r="O1690" s="5"/>
      <c r="P1690" s="5"/>
      <c r="Q1690" s="5"/>
      <c r="R1690" s="5"/>
      <c r="S1690" s="5"/>
    </row>
    <row r="1691" spans="1:19" ht="15.75" customHeight="1" x14ac:dyDescent="0.2">
      <c r="A1691" s="3"/>
      <c r="B1691" s="4" t="str">
        <f>IF(A1691="","","PC-"&amp;TEXT(A1691,"mm/yyyy")&amp;"-"&amp;TEXT(COUNTIFS($A$2:A1691,"&gt;="&amp;EOMONTH(A1691,-1)+1,$A$2:A1691,"&lt;="&amp;EOMONTH(A1691,0)),"000"))</f>
        <v/>
      </c>
      <c r="C1691" s="5"/>
      <c r="D1691" s="5"/>
      <c r="E1691" s="5"/>
      <c r="F1691" s="5"/>
      <c r="G1691" s="5"/>
      <c r="H1691" s="5"/>
      <c r="I1691" s="6"/>
      <c r="J1691" s="6">
        <f>IF(D1691="Thu",I1691,0)</f>
        <v>0</v>
      </c>
      <c r="K1691" s="6">
        <f>IF(D1691="Chi",I1691,0)</f>
        <v>0</v>
      </c>
      <c r="L1691" s="6">
        <f>L1690+J1691-K1691</f>
        <v>8050118</v>
      </c>
      <c r="M1691" s="6">
        <f ca="1">IFERROR(__xludf.DUMMYFUNCTION("SUM(FILTER(J:J, H:H=""Tiền mặt"")) - SUM(FILTER(K:K, H:H=""Tiền mặt""))
"),959000)</f>
        <v>959000</v>
      </c>
      <c r="N1691" s="6">
        <f ca="1">IFERROR(__xludf.DUMMYFUNCTION("SUM(FILTER(J:J, H:H=""Chuyển khoản"")) - SUM(FILTER(K:K, H:H=""Chuyển khoản""))
"),4468984)</f>
        <v>4468984</v>
      </c>
      <c r="O1691" s="5"/>
      <c r="P1691" s="5"/>
      <c r="Q1691" s="5"/>
      <c r="R1691" s="5"/>
      <c r="S1691" s="5"/>
    </row>
    <row r="1692" spans="1:19" ht="15.75" customHeight="1" x14ac:dyDescent="0.2">
      <c r="A1692" s="3"/>
      <c r="B1692" s="4" t="str">
        <f>IF(A1692="","","PC-"&amp;TEXT(A1692,"mm/yyyy")&amp;"-"&amp;TEXT(COUNTIFS($A$2:A1692,"&gt;="&amp;EOMONTH(A1692,-1)+1,$A$2:A1692,"&lt;="&amp;EOMONTH(A1692,0)),"000"))</f>
        <v/>
      </c>
      <c r="C1692" s="5"/>
      <c r="D1692" s="5"/>
      <c r="E1692" s="5"/>
      <c r="F1692" s="5"/>
      <c r="G1692" s="5"/>
      <c r="H1692" s="5"/>
      <c r="I1692" s="6"/>
      <c r="J1692" s="6">
        <f>IF(D1692="Thu",I1692,0)</f>
        <v>0</v>
      </c>
      <c r="K1692" s="6">
        <f>IF(D1692="Chi",I1692,0)</f>
        <v>0</v>
      </c>
      <c r="L1692" s="6">
        <f>L1691+J1692-K1692</f>
        <v>8050118</v>
      </c>
      <c r="M1692" s="6">
        <f ca="1">IFERROR(__xludf.DUMMYFUNCTION("SUM(FILTER(J:J, H:H=""Tiền mặt"")) - SUM(FILTER(K:K, H:H=""Tiền mặt""))
"),959000)</f>
        <v>959000</v>
      </c>
      <c r="N1692" s="6">
        <f ca="1">IFERROR(__xludf.DUMMYFUNCTION("SUM(FILTER(J:J, H:H=""Chuyển khoản"")) - SUM(FILTER(K:K, H:H=""Chuyển khoản""))
"),4468984)</f>
        <v>4468984</v>
      </c>
      <c r="O1692" s="5"/>
      <c r="P1692" s="5"/>
      <c r="Q1692" s="5"/>
      <c r="R1692" s="5"/>
      <c r="S1692" s="5"/>
    </row>
    <row r="1693" spans="1:19" ht="15.75" customHeight="1" x14ac:dyDescent="0.2">
      <c r="A1693" s="3"/>
      <c r="B1693" s="4" t="str">
        <f>IF(A1693="","","PC-"&amp;TEXT(A1693,"mm/yyyy")&amp;"-"&amp;TEXT(COUNTIFS($A$2:A1693,"&gt;="&amp;EOMONTH(A1693,-1)+1,$A$2:A1693,"&lt;="&amp;EOMONTH(A1693,0)),"000"))</f>
        <v/>
      </c>
      <c r="C1693" s="5"/>
      <c r="D1693" s="5"/>
      <c r="E1693" s="5"/>
      <c r="F1693" s="5"/>
      <c r="G1693" s="5"/>
      <c r="H1693" s="5"/>
      <c r="I1693" s="6"/>
      <c r="J1693" s="6">
        <f>IF(D1693="Thu",I1693,0)</f>
        <v>0</v>
      </c>
      <c r="K1693" s="6">
        <f>IF(D1693="Chi",I1693,0)</f>
        <v>0</v>
      </c>
      <c r="L1693" s="6">
        <f>L1692+J1693-K1693</f>
        <v>8050118</v>
      </c>
      <c r="M1693" s="6">
        <f ca="1">IFERROR(__xludf.DUMMYFUNCTION("SUM(FILTER(J:J, H:H=""Tiền mặt"")) - SUM(FILTER(K:K, H:H=""Tiền mặt""))
"),959000)</f>
        <v>959000</v>
      </c>
      <c r="N1693" s="6">
        <f ca="1">IFERROR(__xludf.DUMMYFUNCTION("SUM(FILTER(J:J, H:H=""Chuyển khoản"")) - SUM(FILTER(K:K, H:H=""Chuyển khoản""))
"),4468984)</f>
        <v>4468984</v>
      </c>
      <c r="O1693" s="5"/>
      <c r="P1693" s="5"/>
      <c r="Q1693" s="5"/>
      <c r="R1693" s="5"/>
      <c r="S1693" s="5"/>
    </row>
    <row r="1694" spans="1:19" ht="15.75" customHeight="1" x14ac:dyDescent="0.2">
      <c r="A1694" s="3"/>
      <c r="B1694" s="4" t="str">
        <f>IF(A1694="","","PC-"&amp;TEXT(A1694,"mm/yyyy")&amp;"-"&amp;TEXT(COUNTIFS($A$2:A1694,"&gt;="&amp;EOMONTH(A1694,-1)+1,$A$2:A1694,"&lt;="&amp;EOMONTH(A1694,0)),"000"))</f>
        <v/>
      </c>
      <c r="C1694" s="5"/>
      <c r="D1694" s="5"/>
      <c r="E1694" s="5"/>
      <c r="F1694" s="5"/>
      <c r="G1694" s="5"/>
      <c r="H1694" s="5"/>
      <c r="I1694" s="6"/>
      <c r="J1694" s="6">
        <f>IF(D1694="Thu",I1694,0)</f>
        <v>0</v>
      </c>
      <c r="K1694" s="6">
        <f>IF(D1694="Chi",I1694,0)</f>
        <v>0</v>
      </c>
      <c r="L1694" s="6">
        <f>L1693+J1694-K1694</f>
        <v>8050118</v>
      </c>
      <c r="M1694" s="6">
        <f ca="1">IFERROR(__xludf.DUMMYFUNCTION("SUM(FILTER(J:J, H:H=""Tiền mặt"")) - SUM(FILTER(K:K, H:H=""Tiền mặt""))
"),959000)</f>
        <v>959000</v>
      </c>
      <c r="N1694" s="6">
        <f ca="1">IFERROR(__xludf.DUMMYFUNCTION("SUM(FILTER(J:J, H:H=""Chuyển khoản"")) - SUM(FILTER(K:K, H:H=""Chuyển khoản""))
"),4468984)</f>
        <v>4468984</v>
      </c>
      <c r="O1694" s="5"/>
      <c r="P1694" s="5"/>
      <c r="Q1694" s="5"/>
      <c r="R1694" s="5"/>
      <c r="S1694" s="5"/>
    </row>
    <row r="1695" spans="1:19" ht="15.75" customHeight="1" x14ac:dyDescent="0.2">
      <c r="A1695" s="3"/>
      <c r="B1695" s="4" t="str">
        <f>IF(A1695="","","PC-"&amp;TEXT(A1695,"mm/yyyy")&amp;"-"&amp;TEXT(COUNTIFS($A$2:A1695,"&gt;="&amp;EOMONTH(A1695,-1)+1,$A$2:A1695,"&lt;="&amp;EOMONTH(A1695,0)),"000"))</f>
        <v/>
      </c>
      <c r="C1695" s="5"/>
      <c r="D1695" s="5"/>
      <c r="E1695" s="5"/>
      <c r="F1695" s="5"/>
      <c r="G1695" s="5"/>
      <c r="H1695" s="5"/>
      <c r="I1695" s="6"/>
      <c r="J1695" s="6">
        <f>IF(D1695="Thu",I1695,0)</f>
        <v>0</v>
      </c>
      <c r="K1695" s="6">
        <f>IF(D1695="Chi",I1695,0)</f>
        <v>0</v>
      </c>
      <c r="L1695" s="6">
        <f>L1694+J1695-K1695</f>
        <v>8050118</v>
      </c>
      <c r="M1695" s="6">
        <f ca="1">IFERROR(__xludf.DUMMYFUNCTION("SUM(FILTER(J:J, H:H=""Tiền mặt"")) - SUM(FILTER(K:K, H:H=""Tiền mặt""))
"),959000)</f>
        <v>959000</v>
      </c>
      <c r="N1695" s="6">
        <f ca="1">IFERROR(__xludf.DUMMYFUNCTION("SUM(FILTER(J:J, H:H=""Chuyển khoản"")) - SUM(FILTER(K:K, H:H=""Chuyển khoản""))
"),4468984)</f>
        <v>4468984</v>
      </c>
      <c r="O1695" s="5"/>
      <c r="P1695" s="5"/>
      <c r="Q1695" s="5"/>
      <c r="R1695" s="5"/>
      <c r="S1695" s="5"/>
    </row>
    <row r="1696" spans="1:19" ht="15.75" customHeight="1" x14ac:dyDescent="0.2">
      <c r="A1696" s="3"/>
      <c r="B1696" s="4" t="str">
        <f>IF(A1696="","","PC-"&amp;TEXT(A1696,"mm/yyyy")&amp;"-"&amp;TEXT(COUNTIFS($A$2:A1696,"&gt;="&amp;EOMONTH(A1696,-1)+1,$A$2:A1696,"&lt;="&amp;EOMONTH(A1696,0)),"000"))</f>
        <v/>
      </c>
      <c r="C1696" s="5"/>
      <c r="D1696" s="5"/>
      <c r="E1696" s="5"/>
      <c r="F1696" s="5"/>
      <c r="G1696" s="5"/>
      <c r="H1696" s="5"/>
      <c r="I1696" s="6"/>
      <c r="J1696" s="6">
        <f>IF(D1696="Thu",I1696,0)</f>
        <v>0</v>
      </c>
      <c r="K1696" s="6">
        <f>IF(D1696="Chi",I1696,0)</f>
        <v>0</v>
      </c>
      <c r="L1696" s="6">
        <f>L1695+J1696-K1696</f>
        <v>8050118</v>
      </c>
      <c r="M1696" s="6">
        <f ca="1">IFERROR(__xludf.DUMMYFUNCTION("SUM(FILTER(J:J, H:H=""Tiền mặt"")) - SUM(FILTER(K:K, H:H=""Tiền mặt""))
"),959000)</f>
        <v>959000</v>
      </c>
      <c r="N1696" s="6">
        <f ca="1">IFERROR(__xludf.DUMMYFUNCTION("SUM(FILTER(J:J, H:H=""Chuyển khoản"")) - SUM(FILTER(K:K, H:H=""Chuyển khoản""))
"),4468984)</f>
        <v>4468984</v>
      </c>
      <c r="O1696" s="5"/>
      <c r="P1696" s="5"/>
      <c r="Q1696" s="5"/>
      <c r="R1696" s="5"/>
      <c r="S1696" s="5"/>
    </row>
    <row r="1697" spans="1:19" ht="15.75" customHeight="1" x14ac:dyDescent="0.2">
      <c r="A1697" s="3"/>
      <c r="B1697" s="4" t="str">
        <f>IF(A1697="","","PC-"&amp;TEXT(A1697,"mm/yyyy")&amp;"-"&amp;TEXT(COUNTIFS($A$2:A1697,"&gt;="&amp;EOMONTH(A1697,-1)+1,$A$2:A1697,"&lt;="&amp;EOMONTH(A1697,0)),"000"))</f>
        <v/>
      </c>
      <c r="C1697" s="5"/>
      <c r="D1697" s="5"/>
      <c r="E1697" s="5"/>
      <c r="F1697" s="5"/>
      <c r="G1697" s="5"/>
      <c r="H1697" s="5"/>
      <c r="I1697" s="6"/>
      <c r="J1697" s="6">
        <f>IF(D1697="Thu",I1697,0)</f>
        <v>0</v>
      </c>
      <c r="K1697" s="6">
        <f>IF(D1697="Chi",I1697,0)</f>
        <v>0</v>
      </c>
      <c r="L1697" s="6">
        <f>L1696+J1697-K1697</f>
        <v>8050118</v>
      </c>
      <c r="M1697" s="6">
        <f ca="1">IFERROR(__xludf.DUMMYFUNCTION("SUM(FILTER(J:J, H:H=""Tiền mặt"")) - SUM(FILTER(K:K, H:H=""Tiền mặt""))
"),959000)</f>
        <v>959000</v>
      </c>
      <c r="N1697" s="6">
        <f ca="1">IFERROR(__xludf.DUMMYFUNCTION("SUM(FILTER(J:J, H:H=""Chuyển khoản"")) - SUM(FILTER(K:K, H:H=""Chuyển khoản""))
"),4468984)</f>
        <v>4468984</v>
      </c>
      <c r="O1697" s="5"/>
      <c r="P1697" s="5"/>
      <c r="Q1697" s="5"/>
      <c r="R1697" s="5"/>
      <c r="S1697" s="5"/>
    </row>
    <row r="1698" spans="1:19" ht="15.75" customHeight="1" x14ac:dyDescent="0.2">
      <c r="A1698" s="3"/>
      <c r="B1698" s="4" t="str">
        <f>IF(A1698="","","PC-"&amp;TEXT(A1698,"mm/yyyy")&amp;"-"&amp;TEXT(COUNTIFS($A$2:A1698,"&gt;="&amp;EOMONTH(A1698,-1)+1,$A$2:A1698,"&lt;="&amp;EOMONTH(A1698,0)),"000"))</f>
        <v/>
      </c>
      <c r="C1698" s="5"/>
      <c r="D1698" s="5"/>
      <c r="E1698" s="5"/>
      <c r="F1698" s="5"/>
      <c r="G1698" s="5"/>
      <c r="H1698" s="5"/>
      <c r="I1698" s="6"/>
      <c r="J1698" s="6">
        <f>IF(D1698="Thu",I1698,0)</f>
        <v>0</v>
      </c>
      <c r="K1698" s="6">
        <f>IF(D1698="Chi",I1698,0)</f>
        <v>0</v>
      </c>
      <c r="L1698" s="6">
        <f>L1697+J1698-K1698</f>
        <v>8050118</v>
      </c>
      <c r="M1698" s="6">
        <f ca="1">IFERROR(__xludf.DUMMYFUNCTION("SUM(FILTER(J:J, H:H=""Tiền mặt"")) - SUM(FILTER(K:K, H:H=""Tiền mặt""))
"),959000)</f>
        <v>959000</v>
      </c>
      <c r="N1698" s="6">
        <f ca="1">IFERROR(__xludf.DUMMYFUNCTION("SUM(FILTER(J:J, H:H=""Chuyển khoản"")) - SUM(FILTER(K:K, H:H=""Chuyển khoản""))
"),4468984)</f>
        <v>4468984</v>
      </c>
      <c r="O1698" s="5"/>
      <c r="P1698" s="5"/>
      <c r="Q1698" s="5"/>
      <c r="R1698" s="5"/>
      <c r="S1698" s="5"/>
    </row>
    <row r="1699" spans="1:19" ht="15.75" customHeight="1" x14ac:dyDescent="0.2">
      <c r="A1699" s="3"/>
      <c r="B1699" s="4" t="str">
        <f>IF(A1699="","","PC-"&amp;TEXT(A1699,"mm/yyyy")&amp;"-"&amp;TEXT(COUNTIFS($A$2:A1699,"&gt;="&amp;EOMONTH(A1699,-1)+1,$A$2:A1699,"&lt;="&amp;EOMONTH(A1699,0)),"000"))</f>
        <v/>
      </c>
      <c r="C1699" s="5"/>
      <c r="D1699" s="5"/>
      <c r="E1699" s="5"/>
      <c r="F1699" s="5"/>
      <c r="G1699" s="5"/>
      <c r="H1699" s="5"/>
      <c r="I1699" s="6"/>
      <c r="J1699" s="6">
        <f>IF(D1699="Thu",I1699,0)</f>
        <v>0</v>
      </c>
      <c r="K1699" s="6">
        <f>IF(D1699="Chi",I1699,0)</f>
        <v>0</v>
      </c>
      <c r="L1699" s="6">
        <f>L1698+J1699-K1699</f>
        <v>8050118</v>
      </c>
      <c r="M1699" s="6">
        <f ca="1">IFERROR(__xludf.DUMMYFUNCTION("SUM(FILTER(J:J, H:H=""Tiền mặt"")) - SUM(FILTER(K:K, H:H=""Tiền mặt""))
"),959000)</f>
        <v>959000</v>
      </c>
      <c r="N1699" s="6">
        <f ca="1">IFERROR(__xludf.DUMMYFUNCTION("SUM(FILTER(J:J, H:H=""Chuyển khoản"")) - SUM(FILTER(K:K, H:H=""Chuyển khoản""))
"),4468984)</f>
        <v>4468984</v>
      </c>
      <c r="O1699" s="5"/>
      <c r="P1699" s="5"/>
      <c r="Q1699" s="5"/>
      <c r="R1699" s="5"/>
      <c r="S1699" s="5"/>
    </row>
    <row r="1700" spans="1:19" ht="15.75" customHeight="1" x14ac:dyDescent="0.2">
      <c r="A1700" s="3"/>
      <c r="B1700" s="4" t="str">
        <f>IF(A1700="","","PC-"&amp;TEXT(A1700,"mm/yyyy")&amp;"-"&amp;TEXT(COUNTIFS($A$2:A1700,"&gt;="&amp;EOMONTH(A1700,-1)+1,$A$2:A1700,"&lt;="&amp;EOMONTH(A1700,0)),"000"))</f>
        <v/>
      </c>
      <c r="C1700" s="5"/>
      <c r="D1700" s="5"/>
      <c r="E1700" s="5"/>
      <c r="F1700" s="5"/>
      <c r="G1700" s="5"/>
      <c r="H1700" s="5"/>
      <c r="I1700" s="6"/>
      <c r="J1700" s="6">
        <f>IF(D1700="Thu",I1700,0)</f>
        <v>0</v>
      </c>
      <c r="K1700" s="6">
        <f>IF(D1700="Chi",I1700,0)</f>
        <v>0</v>
      </c>
      <c r="L1700" s="6">
        <f>L1699+J1700-K1700</f>
        <v>8050118</v>
      </c>
      <c r="M1700" s="6">
        <f ca="1">IFERROR(__xludf.DUMMYFUNCTION("SUM(FILTER(J:J, H:H=""Tiền mặt"")) - SUM(FILTER(K:K, H:H=""Tiền mặt""))
"),959000)</f>
        <v>959000</v>
      </c>
      <c r="N1700" s="6">
        <f ca="1">IFERROR(__xludf.DUMMYFUNCTION("SUM(FILTER(J:J, H:H=""Chuyển khoản"")) - SUM(FILTER(K:K, H:H=""Chuyển khoản""))
"),4468984)</f>
        <v>4468984</v>
      </c>
      <c r="O1700" s="5"/>
      <c r="P1700" s="5"/>
      <c r="Q1700" s="5"/>
      <c r="R1700" s="5"/>
      <c r="S1700" s="5"/>
    </row>
    <row r="1701" spans="1:19" ht="15.75" customHeight="1" x14ac:dyDescent="0.2">
      <c r="A1701" s="3"/>
      <c r="B1701" s="4" t="str">
        <f>IF(A1701="","","PC-"&amp;TEXT(A1701,"mm/yyyy")&amp;"-"&amp;TEXT(COUNTIFS($A$2:A1701,"&gt;="&amp;EOMONTH(A1701,-1)+1,$A$2:A1701,"&lt;="&amp;EOMONTH(A1701,0)),"000"))</f>
        <v/>
      </c>
      <c r="C1701" s="5"/>
      <c r="D1701" s="5"/>
      <c r="E1701" s="5"/>
      <c r="F1701" s="5"/>
      <c r="G1701" s="5"/>
      <c r="H1701" s="5"/>
      <c r="I1701" s="6"/>
      <c r="J1701" s="6">
        <f>IF(D1701="Thu",I1701,0)</f>
        <v>0</v>
      </c>
      <c r="K1701" s="6">
        <f>IF(D1701="Chi",I1701,0)</f>
        <v>0</v>
      </c>
      <c r="L1701" s="6">
        <f>L1700+J1701-K1701</f>
        <v>8050118</v>
      </c>
      <c r="M1701" s="6">
        <f ca="1">IFERROR(__xludf.DUMMYFUNCTION("SUM(FILTER(J:J, H:H=""Tiền mặt"")) - SUM(FILTER(K:K, H:H=""Tiền mặt""))
"),959000)</f>
        <v>959000</v>
      </c>
      <c r="N1701" s="6">
        <f ca="1">IFERROR(__xludf.DUMMYFUNCTION("SUM(FILTER(J:J, H:H=""Chuyển khoản"")) - SUM(FILTER(K:K, H:H=""Chuyển khoản""))
"),4468984)</f>
        <v>4468984</v>
      </c>
      <c r="O1701" s="5"/>
      <c r="P1701" s="5"/>
      <c r="Q1701" s="5"/>
      <c r="R1701" s="5"/>
      <c r="S1701" s="5"/>
    </row>
    <row r="1702" spans="1:19" ht="15.75" customHeight="1" x14ac:dyDescent="0.2">
      <c r="A1702" s="3"/>
      <c r="B1702" s="4" t="str">
        <f>IF(A1702="","","PC-"&amp;TEXT(A1702,"mm/yyyy")&amp;"-"&amp;TEXT(COUNTIFS($A$2:A1702,"&gt;="&amp;EOMONTH(A1702,-1)+1,$A$2:A1702,"&lt;="&amp;EOMONTH(A1702,0)),"000"))</f>
        <v/>
      </c>
      <c r="C1702" s="5"/>
      <c r="D1702" s="5"/>
      <c r="E1702" s="5"/>
      <c r="F1702" s="5"/>
      <c r="G1702" s="5"/>
      <c r="H1702" s="5"/>
      <c r="I1702" s="6"/>
      <c r="J1702" s="6">
        <f>IF(D1702="Thu",I1702,0)</f>
        <v>0</v>
      </c>
      <c r="K1702" s="6">
        <f>IF(D1702="Chi",I1702,0)</f>
        <v>0</v>
      </c>
      <c r="L1702" s="6">
        <f>L1701+J1702-K1702</f>
        <v>8050118</v>
      </c>
      <c r="M1702" s="6">
        <f ca="1">IFERROR(__xludf.DUMMYFUNCTION("SUM(FILTER(J:J, H:H=""Tiền mặt"")) - SUM(FILTER(K:K, H:H=""Tiền mặt""))
"),959000)</f>
        <v>959000</v>
      </c>
      <c r="N1702" s="6">
        <f ca="1">IFERROR(__xludf.DUMMYFUNCTION("SUM(FILTER(J:J, H:H=""Chuyển khoản"")) - SUM(FILTER(K:K, H:H=""Chuyển khoản""))
"),4468984)</f>
        <v>4468984</v>
      </c>
      <c r="O1702" s="5"/>
      <c r="P1702" s="5"/>
      <c r="Q1702" s="5"/>
      <c r="R1702" s="5"/>
      <c r="S1702" s="5"/>
    </row>
    <row r="1703" spans="1:19" ht="15.75" customHeight="1" x14ac:dyDescent="0.2">
      <c r="A1703" s="3"/>
      <c r="B1703" s="4" t="str">
        <f>IF(A1703="","","PC-"&amp;TEXT(A1703,"mm/yyyy")&amp;"-"&amp;TEXT(COUNTIFS($A$2:A1703,"&gt;="&amp;EOMONTH(A1703,-1)+1,$A$2:A1703,"&lt;="&amp;EOMONTH(A1703,0)),"000"))</f>
        <v/>
      </c>
      <c r="C1703" s="5"/>
      <c r="D1703" s="5"/>
      <c r="E1703" s="5"/>
      <c r="F1703" s="5"/>
      <c r="G1703" s="5"/>
      <c r="H1703" s="5"/>
      <c r="I1703" s="6"/>
      <c r="J1703" s="6">
        <f>IF(D1703="Thu",I1703,0)</f>
        <v>0</v>
      </c>
      <c r="K1703" s="6">
        <f>IF(D1703="Chi",I1703,0)</f>
        <v>0</v>
      </c>
      <c r="L1703" s="6">
        <f>L1702+J1703-K1703</f>
        <v>8050118</v>
      </c>
      <c r="M1703" s="6">
        <f ca="1">IFERROR(__xludf.DUMMYFUNCTION("SUM(FILTER(J:J, H:H=""Tiền mặt"")) - SUM(FILTER(K:K, H:H=""Tiền mặt""))
"),959000)</f>
        <v>959000</v>
      </c>
      <c r="N1703" s="6">
        <f ca="1">IFERROR(__xludf.DUMMYFUNCTION("SUM(FILTER(J:J, H:H=""Chuyển khoản"")) - SUM(FILTER(K:K, H:H=""Chuyển khoản""))
"),4468984)</f>
        <v>4468984</v>
      </c>
      <c r="O1703" s="5"/>
      <c r="P1703" s="5"/>
      <c r="Q1703" s="5"/>
      <c r="R1703" s="5"/>
      <c r="S1703" s="5"/>
    </row>
    <row r="1704" spans="1:19" ht="15.75" customHeight="1" x14ac:dyDescent="0.2">
      <c r="A1704" s="3"/>
      <c r="B1704" s="4" t="str">
        <f>IF(A1704="","","PC-"&amp;TEXT(A1704,"mm/yyyy")&amp;"-"&amp;TEXT(COUNTIFS($A$2:A1704,"&gt;="&amp;EOMONTH(A1704,-1)+1,$A$2:A1704,"&lt;="&amp;EOMONTH(A1704,0)),"000"))</f>
        <v/>
      </c>
      <c r="C1704" s="5"/>
      <c r="D1704" s="5"/>
      <c r="E1704" s="5"/>
      <c r="F1704" s="5"/>
      <c r="G1704" s="5"/>
      <c r="H1704" s="5"/>
      <c r="I1704" s="6"/>
      <c r="J1704" s="6">
        <f>IF(D1704="Thu",I1704,0)</f>
        <v>0</v>
      </c>
      <c r="K1704" s="6">
        <f>IF(D1704="Chi",I1704,0)</f>
        <v>0</v>
      </c>
      <c r="L1704" s="6">
        <f>L1703+J1704-K1704</f>
        <v>8050118</v>
      </c>
      <c r="M1704" s="6">
        <f ca="1">IFERROR(__xludf.DUMMYFUNCTION("SUM(FILTER(J:J, H:H=""Tiền mặt"")) - SUM(FILTER(K:K, H:H=""Tiền mặt""))
"),959000)</f>
        <v>959000</v>
      </c>
      <c r="N1704" s="6">
        <f ca="1">IFERROR(__xludf.DUMMYFUNCTION("SUM(FILTER(J:J, H:H=""Chuyển khoản"")) - SUM(FILTER(K:K, H:H=""Chuyển khoản""))
"),4468984)</f>
        <v>4468984</v>
      </c>
      <c r="O1704" s="5"/>
      <c r="P1704" s="5"/>
      <c r="Q1704" s="5"/>
      <c r="R1704" s="5"/>
      <c r="S1704" s="5"/>
    </row>
    <row r="1705" spans="1:19" ht="15.75" customHeight="1" x14ac:dyDescent="0.2">
      <c r="A1705" s="3"/>
      <c r="B1705" s="4" t="str">
        <f>IF(A1705="","","PC-"&amp;TEXT(A1705,"mm/yyyy")&amp;"-"&amp;TEXT(COUNTIFS($A$2:A1705,"&gt;="&amp;EOMONTH(A1705,-1)+1,$A$2:A1705,"&lt;="&amp;EOMONTH(A1705,0)),"000"))</f>
        <v/>
      </c>
      <c r="C1705" s="5"/>
      <c r="D1705" s="5"/>
      <c r="E1705" s="5"/>
      <c r="F1705" s="5"/>
      <c r="G1705" s="5"/>
      <c r="H1705" s="5"/>
      <c r="I1705" s="6"/>
      <c r="J1705" s="6">
        <f>IF(D1705="Thu",I1705,0)</f>
        <v>0</v>
      </c>
      <c r="K1705" s="6">
        <f>IF(D1705="Chi",I1705,0)</f>
        <v>0</v>
      </c>
      <c r="L1705" s="6">
        <f>L1704+J1705-K1705</f>
        <v>8050118</v>
      </c>
      <c r="M1705" s="6">
        <f ca="1">IFERROR(__xludf.DUMMYFUNCTION("SUM(FILTER(J:J, H:H=""Tiền mặt"")) - SUM(FILTER(K:K, H:H=""Tiền mặt""))
"),959000)</f>
        <v>959000</v>
      </c>
      <c r="N1705" s="6">
        <f ca="1">IFERROR(__xludf.DUMMYFUNCTION("SUM(FILTER(J:J, H:H=""Chuyển khoản"")) - SUM(FILTER(K:K, H:H=""Chuyển khoản""))
"),4468984)</f>
        <v>4468984</v>
      </c>
      <c r="O1705" s="5"/>
      <c r="P1705" s="5"/>
      <c r="Q1705" s="5"/>
      <c r="R1705" s="5"/>
      <c r="S1705" s="5"/>
    </row>
    <row r="1706" spans="1:19" ht="15.75" customHeight="1" x14ac:dyDescent="0.2">
      <c r="A1706" s="3"/>
      <c r="B1706" s="4" t="str">
        <f>IF(A1706="","","PC-"&amp;TEXT(A1706,"mm/yyyy")&amp;"-"&amp;TEXT(COUNTIFS($A$2:A1706,"&gt;="&amp;EOMONTH(A1706,-1)+1,$A$2:A1706,"&lt;="&amp;EOMONTH(A1706,0)),"000"))</f>
        <v/>
      </c>
      <c r="C1706" s="5"/>
      <c r="D1706" s="5"/>
      <c r="E1706" s="5"/>
      <c r="F1706" s="5"/>
      <c r="G1706" s="5"/>
      <c r="H1706" s="5"/>
      <c r="I1706" s="6"/>
      <c r="J1706" s="6">
        <f>IF(D1706="Thu",I1706,0)</f>
        <v>0</v>
      </c>
      <c r="K1706" s="6">
        <f>IF(D1706="Chi",I1706,0)</f>
        <v>0</v>
      </c>
      <c r="L1706" s="6">
        <f>L1705+J1706-K1706</f>
        <v>8050118</v>
      </c>
      <c r="M1706" s="6">
        <f ca="1">IFERROR(__xludf.DUMMYFUNCTION("SUM(FILTER(J:J, H:H=""Tiền mặt"")) - SUM(FILTER(K:K, H:H=""Tiền mặt""))
"),959000)</f>
        <v>959000</v>
      </c>
      <c r="N1706" s="6">
        <f ca="1">IFERROR(__xludf.DUMMYFUNCTION("SUM(FILTER(J:J, H:H=""Chuyển khoản"")) - SUM(FILTER(K:K, H:H=""Chuyển khoản""))
"),4468984)</f>
        <v>4468984</v>
      </c>
      <c r="O1706" s="5"/>
      <c r="P1706" s="5"/>
      <c r="Q1706" s="5"/>
      <c r="R1706" s="5"/>
      <c r="S1706" s="5"/>
    </row>
    <row r="1707" spans="1:19" ht="15.75" customHeight="1" x14ac:dyDescent="0.2">
      <c r="A1707" s="3"/>
      <c r="B1707" s="4" t="str">
        <f>IF(A1707="","","PC-"&amp;TEXT(A1707,"mm/yyyy")&amp;"-"&amp;TEXT(COUNTIFS($A$2:A1707,"&gt;="&amp;EOMONTH(A1707,-1)+1,$A$2:A1707,"&lt;="&amp;EOMONTH(A1707,0)),"000"))</f>
        <v/>
      </c>
      <c r="C1707" s="5"/>
      <c r="D1707" s="5"/>
      <c r="E1707" s="5"/>
      <c r="F1707" s="5"/>
      <c r="G1707" s="5"/>
      <c r="H1707" s="5"/>
      <c r="I1707" s="6"/>
      <c r="J1707" s="6">
        <f>IF(D1707="Thu",I1707,0)</f>
        <v>0</v>
      </c>
      <c r="K1707" s="6">
        <f>IF(D1707="Chi",I1707,0)</f>
        <v>0</v>
      </c>
      <c r="L1707" s="6">
        <f>L1706+J1707-K1707</f>
        <v>8050118</v>
      </c>
      <c r="M1707" s="6">
        <f ca="1">IFERROR(__xludf.DUMMYFUNCTION("SUM(FILTER(J:J, H:H=""Tiền mặt"")) - SUM(FILTER(K:K, H:H=""Tiền mặt""))
"),959000)</f>
        <v>959000</v>
      </c>
      <c r="N1707" s="6">
        <f ca="1">IFERROR(__xludf.DUMMYFUNCTION("SUM(FILTER(J:J, H:H=""Chuyển khoản"")) - SUM(FILTER(K:K, H:H=""Chuyển khoản""))
"),4468984)</f>
        <v>4468984</v>
      </c>
      <c r="O1707" s="5"/>
      <c r="P1707" s="5"/>
      <c r="Q1707" s="5"/>
      <c r="R1707" s="5"/>
      <c r="S1707" s="5"/>
    </row>
    <row r="1708" spans="1:19" ht="15.75" customHeight="1" x14ac:dyDescent="0.2">
      <c r="A1708" s="3"/>
      <c r="B1708" s="4" t="str">
        <f>IF(A1708="","","PC-"&amp;TEXT(A1708,"mm/yyyy")&amp;"-"&amp;TEXT(COUNTIFS($A$2:A1708,"&gt;="&amp;EOMONTH(A1708,-1)+1,$A$2:A1708,"&lt;="&amp;EOMONTH(A1708,0)),"000"))</f>
        <v/>
      </c>
      <c r="C1708" s="5"/>
      <c r="D1708" s="5"/>
      <c r="E1708" s="5"/>
      <c r="F1708" s="5"/>
      <c r="G1708" s="5"/>
      <c r="H1708" s="5"/>
      <c r="I1708" s="6"/>
      <c r="J1708" s="6">
        <f>IF(D1708="Thu",I1708,0)</f>
        <v>0</v>
      </c>
      <c r="K1708" s="6">
        <f>IF(D1708="Chi",I1708,0)</f>
        <v>0</v>
      </c>
      <c r="L1708" s="6">
        <f>L1707+J1708-K1708</f>
        <v>8050118</v>
      </c>
      <c r="M1708" s="6">
        <f ca="1">IFERROR(__xludf.DUMMYFUNCTION("SUM(FILTER(J:J, H:H=""Tiền mặt"")) - SUM(FILTER(K:K, H:H=""Tiền mặt""))
"),959000)</f>
        <v>959000</v>
      </c>
      <c r="N1708" s="6">
        <f ca="1">IFERROR(__xludf.DUMMYFUNCTION("SUM(FILTER(J:J, H:H=""Chuyển khoản"")) - SUM(FILTER(K:K, H:H=""Chuyển khoản""))
"),4468984)</f>
        <v>4468984</v>
      </c>
      <c r="O1708" s="5"/>
      <c r="P1708" s="5"/>
      <c r="Q1708" s="5"/>
      <c r="R1708" s="5"/>
      <c r="S1708" s="5"/>
    </row>
    <row r="1709" spans="1:19" ht="15.75" customHeight="1" x14ac:dyDescent="0.2">
      <c r="A1709" s="3"/>
      <c r="B1709" s="4" t="str">
        <f>IF(A1709="","","PC-"&amp;TEXT(A1709,"mm/yyyy")&amp;"-"&amp;TEXT(COUNTIFS($A$2:A1709,"&gt;="&amp;EOMONTH(A1709,-1)+1,$A$2:A1709,"&lt;="&amp;EOMONTH(A1709,0)),"000"))</f>
        <v/>
      </c>
      <c r="C1709" s="5"/>
      <c r="D1709" s="5"/>
      <c r="E1709" s="5"/>
      <c r="F1709" s="5"/>
      <c r="G1709" s="5"/>
      <c r="H1709" s="5"/>
      <c r="I1709" s="6"/>
      <c r="J1709" s="6">
        <f>IF(D1709="Thu",I1709,0)</f>
        <v>0</v>
      </c>
      <c r="K1709" s="6">
        <f>IF(D1709="Chi",I1709,0)</f>
        <v>0</v>
      </c>
      <c r="L1709" s="6">
        <f>L1708+J1709-K1709</f>
        <v>8050118</v>
      </c>
      <c r="M1709" s="6">
        <f ca="1">IFERROR(__xludf.DUMMYFUNCTION("SUM(FILTER(J:J, H:H=""Tiền mặt"")) - SUM(FILTER(K:K, H:H=""Tiền mặt""))
"),959000)</f>
        <v>959000</v>
      </c>
      <c r="N1709" s="6">
        <f ca="1">IFERROR(__xludf.DUMMYFUNCTION("SUM(FILTER(J:J, H:H=""Chuyển khoản"")) - SUM(FILTER(K:K, H:H=""Chuyển khoản""))
"),4468984)</f>
        <v>4468984</v>
      </c>
      <c r="O1709" s="5"/>
      <c r="P1709" s="5"/>
      <c r="Q1709" s="5"/>
      <c r="R1709" s="5"/>
      <c r="S1709" s="5"/>
    </row>
    <row r="1710" spans="1:19" ht="15.75" customHeight="1" x14ac:dyDescent="0.2">
      <c r="A1710" s="3"/>
      <c r="B1710" s="4" t="str">
        <f>IF(A1710="","","PC-"&amp;TEXT(A1710,"mm/yyyy")&amp;"-"&amp;TEXT(COUNTIFS($A$2:A1710,"&gt;="&amp;EOMONTH(A1710,-1)+1,$A$2:A1710,"&lt;="&amp;EOMONTH(A1710,0)),"000"))</f>
        <v/>
      </c>
      <c r="C1710" s="5"/>
      <c r="D1710" s="5"/>
      <c r="E1710" s="5"/>
      <c r="F1710" s="5"/>
      <c r="G1710" s="5"/>
      <c r="H1710" s="5"/>
      <c r="I1710" s="6"/>
      <c r="J1710" s="6">
        <f>IF(D1710="Thu",I1710,0)</f>
        <v>0</v>
      </c>
      <c r="K1710" s="6">
        <f>IF(D1710="Chi",I1710,0)</f>
        <v>0</v>
      </c>
      <c r="L1710" s="6">
        <f>L1709+J1710-K1710</f>
        <v>8050118</v>
      </c>
      <c r="M1710" s="6">
        <f ca="1">IFERROR(__xludf.DUMMYFUNCTION("SUM(FILTER(J:J, H:H=""Tiền mặt"")) - SUM(FILTER(K:K, H:H=""Tiền mặt""))
"),959000)</f>
        <v>959000</v>
      </c>
      <c r="N1710" s="6">
        <f ca="1">IFERROR(__xludf.DUMMYFUNCTION("SUM(FILTER(J:J, H:H=""Chuyển khoản"")) - SUM(FILTER(K:K, H:H=""Chuyển khoản""))
"),4468984)</f>
        <v>4468984</v>
      </c>
      <c r="O1710" s="5"/>
      <c r="P1710" s="5"/>
      <c r="Q1710" s="5"/>
      <c r="R1710" s="5"/>
      <c r="S1710" s="5"/>
    </row>
    <row r="1711" spans="1:19" ht="15.75" customHeight="1" x14ac:dyDescent="0.2">
      <c r="A1711" s="3"/>
      <c r="B1711" s="4" t="str">
        <f>IF(A1711="","","PC-"&amp;TEXT(A1711,"mm/yyyy")&amp;"-"&amp;TEXT(COUNTIFS($A$2:A1711,"&gt;="&amp;EOMONTH(A1711,-1)+1,$A$2:A1711,"&lt;="&amp;EOMONTH(A1711,0)),"000"))</f>
        <v/>
      </c>
      <c r="C1711" s="5"/>
      <c r="D1711" s="5"/>
      <c r="E1711" s="5"/>
      <c r="F1711" s="5"/>
      <c r="G1711" s="5"/>
      <c r="H1711" s="5"/>
      <c r="I1711" s="6"/>
      <c r="J1711" s="6">
        <f>IF(D1711="Thu",I1711,0)</f>
        <v>0</v>
      </c>
      <c r="K1711" s="6">
        <f>IF(D1711="Chi",I1711,0)</f>
        <v>0</v>
      </c>
      <c r="L1711" s="6">
        <f>L1710+J1711-K1711</f>
        <v>8050118</v>
      </c>
      <c r="M1711" s="6">
        <f ca="1">IFERROR(__xludf.DUMMYFUNCTION("SUM(FILTER(J:J, H:H=""Tiền mặt"")) - SUM(FILTER(K:K, H:H=""Tiền mặt""))
"),959000)</f>
        <v>959000</v>
      </c>
      <c r="N1711" s="6">
        <f ca="1">IFERROR(__xludf.DUMMYFUNCTION("SUM(FILTER(J:J, H:H=""Chuyển khoản"")) - SUM(FILTER(K:K, H:H=""Chuyển khoản""))
"),4468984)</f>
        <v>4468984</v>
      </c>
      <c r="O1711" s="5"/>
      <c r="P1711" s="5"/>
      <c r="Q1711" s="5"/>
      <c r="R1711" s="5"/>
      <c r="S1711" s="5"/>
    </row>
    <row r="1712" spans="1:19" ht="15.75" customHeight="1" x14ac:dyDescent="0.2">
      <c r="A1712" s="3"/>
      <c r="B1712" s="4" t="str">
        <f>IF(A1712="","","PC-"&amp;TEXT(A1712,"mm/yyyy")&amp;"-"&amp;TEXT(COUNTIFS($A$2:A1712,"&gt;="&amp;EOMONTH(A1712,-1)+1,$A$2:A1712,"&lt;="&amp;EOMONTH(A1712,0)),"000"))</f>
        <v/>
      </c>
      <c r="C1712" s="5"/>
      <c r="D1712" s="5"/>
      <c r="E1712" s="5"/>
      <c r="F1712" s="5"/>
      <c r="G1712" s="5"/>
      <c r="H1712" s="5"/>
      <c r="I1712" s="6"/>
      <c r="J1712" s="6">
        <f>IF(D1712="Thu",I1712,0)</f>
        <v>0</v>
      </c>
      <c r="K1712" s="6">
        <f>IF(D1712="Chi",I1712,0)</f>
        <v>0</v>
      </c>
      <c r="L1712" s="6">
        <f>L1711+J1712-K1712</f>
        <v>8050118</v>
      </c>
      <c r="M1712" s="6">
        <f ca="1">IFERROR(__xludf.DUMMYFUNCTION("SUM(FILTER(J:J, H:H=""Tiền mặt"")) - SUM(FILTER(K:K, H:H=""Tiền mặt""))
"),959000)</f>
        <v>959000</v>
      </c>
      <c r="N1712" s="6">
        <f ca="1">IFERROR(__xludf.DUMMYFUNCTION("SUM(FILTER(J:J, H:H=""Chuyển khoản"")) - SUM(FILTER(K:K, H:H=""Chuyển khoản""))
"),4468984)</f>
        <v>4468984</v>
      </c>
      <c r="O1712" s="5"/>
      <c r="P1712" s="5"/>
      <c r="Q1712" s="5"/>
      <c r="R1712" s="5"/>
      <c r="S1712" s="5"/>
    </row>
    <row r="1713" spans="1:19" ht="15.75" customHeight="1" x14ac:dyDescent="0.2">
      <c r="A1713" s="3"/>
      <c r="B1713" s="4" t="str">
        <f>IF(A1713="","","PC-"&amp;TEXT(A1713,"mm/yyyy")&amp;"-"&amp;TEXT(COUNTIFS($A$2:A1713,"&gt;="&amp;EOMONTH(A1713,-1)+1,$A$2:A1713,"&lt;="&amp;EOMONTH(A1713,0)),"000"))</f>
        <v/>
      </c>
      <c r="C1713" s="5"/>
      <c r="D1713" s="5"/>
      <c r="E1713" s="5"/>
      <c r="F1713" s="5"/>
      <c r="G1713" s="5"/>
      <c r="H1713" s="5"/>
      <c r="I1713" s="6"/>
      <c r="J1713" s="6">
        <f>IF(D1713="Thu",I1713,0)</f>
        <v>0</v>
      </c>
      <c r="K1713" s="6">
        <f>IF(D1713="Chi",I1713,0)</f>
        <v>0</v>
      </c>
      <c r="L1713" s="6">
        <f>L1712+J1713-K1713</f>
        <v>8050118</v>
      </c>
      <c r="M1713" s="6">
        <f ca="1">IFERROR(__xludf.DUMMYFUNCTION("SUM(FILTER(J:J, H:H=""Tiền mặt"")) - SUM(FILTER(K:K, H:H=""Tiền mặt""))
"),959000)</f>
        <v>959000</v>
      </c>
      <c r="N1713" s="6">
        <f ca="1">IFERROR(__xludf.DUMMYFUNCTION("SUM(FILTER(J:J, H:H=""Chuyển khoản"")) - SUM(FILTER(K:K, H:H=""Chuyển khoản""))
"),4468984)</f>
        <v>4468984</v>
      </c>
      <c r="O1713" s="5"/>
      <c r="P1713" s="5"/>
      <c r="Q1713" s="5"/>
      <c r="R1713" s="5"/>
      <c r="S1713" s="5"/>
    </row>
    <row r="1714" spans="1:19" ht="15.75" customHeight="1" x14ac:dyDescent="0.2">
      <c r="A1714" s="3"/>
      <c r="B1714" s="4" t="str">
        <f>IF(A1714="","","PC-"&amp;TEXT(A1714,"mm/yyyy")&amp;"-"&amp;TEXT(COUNTIFS($A$2:A1714,"&gt;="&amp;EOMONTH(A1714,-1)+1,$A$2:A1714,"&lt;="&amp;EOMONTH(A1714,0)),"000"))</f>
        <v/>
      </c>
      <c r="C1714" s="5"/>
      <c r="D1714" s="5"/>
      <c r="E1714" s="5"/>
      <c r="F1714" s="5"/>
      <c r="G1714" s="5"/>
      <c r="H1714" s="5"/>
      <c r="I1714" s="6"/>
      <c r="J1714" s="6">
        <f>IF(D1714="Thu",I1714,0)</f>
        <v>0</v>
      </c>
      <c r="K1714" s="6">
        <f>IF(D1714="Chi",I1714,0)</f>
        <v>0</v>
      </c>
      <c r="L1714" s="6">
        <f>L1713+J1714-K1714</f>
        <v>8050118</v>
      </c>
      <c r="M1714" s="6">
        <f ca="1">IFERROR(__xludf.DUMMYFUNCTION("SUM(FILTER(J:J, H:H=""Tiền mặt"")) - SUM(FILTER(K:K, H:H=""Tiền mặt""))
"),959000)</f>
        <v>959000</v>
      </c>
      <c r="N1714" s="6">
        <f ca="1">IFERROR(__xludf.DUMMYFUNCTION("SUM(FILTER(J:J, H:H=""Chuyển khoản"")) - SUM(FILTER(K:K, H:H=""Chuyển khoản""))
"),4468984)</f>
        <v>4468984</v>
      </c>
      <c r="O1714" s="5"/>
      <c r="P1714" s="5"/>
      <c r="Q1714" s="5"/>
      <c r="R1714" s="5"/>
      <c r="S1714" s="5"/>
    </row>
    <row r="1715" spans="1:19" ht="15.75" customHeight="1" x14ac:dyDescent="0.2">
      <c r="A1715" s="3"/>
      <c r="B1715" s="4" t="str">
        <f>IF(A1715="","","PC-"&amp;TEXT(A1715,"mm/yyyy")&amp;"-"&amp;TEXT(COUNTIFS($A$2:A1715,"&gt;="&amp;EOMONTH(A1715,-1)+1,$A$2:A1715,"&lt;="&amp;EOMONTH(A1715,0)),"000"))</f>
        <v/>
      </c>
      <c r="C1715" s="5"/>
      <c r="D1715" s="5"/>
      <c r="E1715" s="5"/>
      <c r="F1715" s="5"/>
      <c r="G1715" s="5"/>
      <c r="H1715" s="5"/>
      <c r="I1715" s="6"/>
      <c r="J1715" s="6">
        <f>IF(D1715="Thu",I1715,0)</f>
        <v>0</v>
      </c>
      <c r="K1715" s="6">
        <f>IF(D1715="Chi",I1715,0)</f>
        <v>0</v>
      </c>
      <c r="L1715" s="6">
        <f>L1714+J1715-K1715</f>
        <v>8050118</v>
      </c>
      <c r="M1715" s="6">
        <f ca="1">IFERROR(__xludf.DUMMYFUNCTION("SUM(FILTER(J:J, H:H=""Tiền mặt"")) - SUM(FILTER(K:K, H:H=""Tiền mặt""))
"),959000)</f>
        <v>959000</v>
      </c>
      <c r="N1715" s="6">
        <f ca="1">IFERROR(__xludf.DUMMYFUNCTION("SUM(FILTER(J:J, H:H=""Chuyển khoản"")) - SUM(FILTER(K:K, H:H=""Chuyển khoản""))
"),4468984)</f>
        <v>4468984</v>
      </c>
      <c r="O1715" s="5"/>
      <c r="P1715" s="5"/>
      <c r="Q1715" s="5"/>
      <c r="R1715" s="5"/>
      <c r="S1715" s="5"/>
    </row>
    <row r="1716" spans="1:19" ht="15.75" customHeight="1" x14ac:dyDescent="0.2">
      <c r="A1716" s="3"/>
      <c r="B1716" s="4" t="str">
        <f>IF(A1716="","","PC-"&amp;TEXT(A1716,"mm/yyyy")&amp;"-"&amp;TEXT(COUNTIFS($A$2:A1716,"&gt;="&amp;EOMONTH(A1716,-1)+1,$A$2:A1716,"&lt;="&amp;EOMONTH(A1716,0)),"000"))</f>
        <v/>
      </c>
      <c r="C1716" s="5"/>
      <c r="D1716" s="5"/>
      <c r="E1716" s="5"/>
      <c r="F1716" s="5"/>
      <c r="G1716" s="5"/>
      <c r="H1716" s="5"/>
      <c r="I1716" s="6"/>
      <c r="J1716" s="6">
        <f>IF(D1716="Thu",I1716,0)</f>
        <v>0</v>
      </c>
      <c r="K1716" s="6">
        <f>IF(D1716="Chi",I1716,0)</f>
        <v>0</v>
      </c>
      <c r="L1716" s="6">
        <f>L1715+J1716-K1716</f>
        <v>8050118</v>
      </c>
      <c r="M1716" s="6">
        <f ca="1">IFERROR(__xludf.DUMMYFUNCTION("SUM(FILTER(J:J, H:H=""Tiền mặt"")) - SUM(FILTER(K:K, H:H=""Tiền mặt""))
"),959000)</f>
        <v>959000</v>
      </c>
      <c r="N1716" s="6">
        <f ca="1">IFERROR(__xludf.DUMMYFUNCTION("SUM(FILTER(J:J, H:H=""Chuyển khoản"")) - SUM(FILTER(K:K, H:H=""Chuyển khoản""))
"),4468984)</f>
        <v>4468984</v>
      </c>
      <c r="O1716" s="5"/>
      <c r="P1716" s="5"/>
      <c r="Q1716" s="5"/>
      <c r="R1716" s="5"/>
      <c r="S1716" s="5"/>
    </row>
    <row r="1717" spans="1:19" ht="15.75" customHeight="1" x14ac:dyDescent="0.2">
      <c r="A1717" s="3"/>
      <c r="B1717" s="4" t="str">
        <f>IF(A1717="","","PC-"&amp;TEXT(A1717,"mm/yyyy")&amp;"-"&amp;TEXT(COUNTIFS($A$2:A1717,"&gt;="&amp;EOMONTH(A1717,-1)+1,$A$2:A1717,"&lt;="&amp;EOMONTH(A1717,0)),"000"))</f>
        <v/>
      </c>
      <c r="C1717" s="5"/>
      <c r="D1717" s="5"/>
      <c r="E1717" s="5"/>
      <c r="F1717" s="5"/>
      <c r="G1717" s="5"/>
      <c r="H1717" s="5"/>
      <c r="I1717" s="6"/>
      <c r="J1717" s="6">
        <f>IF(D1717="Thu",I1717,0)</f>
        <v>0</v>
      </c>
      <c r="K1717" s="6">
        <f>IF(D1717="Chi",I1717,0)</f>
        <v>0</v>
      </c>
      <c r="L1717" s="6">
        <f>L1716+J1717-K1717</f>
        <v>8050118</v>
      </c>
      <c r="M1717" s="6">
        <f ca="1">IFERROR(__xludf.DUMMYFUNCTION("SUM(FILTER(J:J, H:H=""Tiền mặt"")) - SUM(FILTER(K:K, H:H=""Tiền mặt""))
"),959000)</f>
        <v>959000</v>
      </c>
      <c r="N1717" s="6">
        <f ca="1">IFERROR(__xludf.DUMMYFUNCTION("SUM(FILTER(J:J, H:H=""Chuyển khoản"")) - SUM(FILTER(K:K, H:H=""Chuyển khoản""))
"),4468984)</f>
        <v>4468984</v>
      </c>
      <c r="O1717" s="5"/>
      <c r="P1717" s="5"/>
      <c r="Q1717" s="5"/>
      <c r="R1717" s="5"/>
      <c r="S1717" s="5"/>
    </row>
    <row r="1718" spans="1:19" ht="15.75" customHeight="1" x14ac:dyDescent="0.2">
      <c r="A1718" s="3"/>
      <c r="B1718" s="4" t="str">
        <f>IF(A1718="","","PC-"&amp;TEXT(A1718,"mm/yyyy")&amp;"-"&amp;TEXT(COUNTIFS($A$2:A1718,"&gt;="&amp;EOMONTH(A1718,-1)+1,$A$2:A1718,"&lt;="&amp;EOMONTH(A1718,0)),"000"))</f>
        <v/>
      </c>
      <c r="C1718" s="5"/>
      <c r="D1718" s="5"/>
      <c r="E1718" s="5"/>
      <c r="F1718" s="5"/>
      <c r="G1718" s="5"/>
      <c r="H1718" s="5"/>
      <c r="I1718" s="6"/>
      <c r="J1718" s="6">
        <f>IF(D1718="Thu",I1718,0)</f>
        <v>0</v>
      </c>
      <c r="K1718" s="6">
        <f>IF(D1718="Chi",I1718,0)</f>
        <v>0</v>
      </c>
      <c r="L1718" s="6">
        <f>L1717+J1718-K1718</f>
        <v>8050118</v>
      </c>
      <c r="M1718" s="6">
        <f ca="1">IFERROR(__xludf.DUMMYFUNCTION("SUM(FILTER(J:J, H:H=""Tiền mặt"")) - SUM(FILTER(K:K, H:H=""Tiền mặt""))
"),959000)</f>
        <v>959000</v>
      </c>
      <c r="N1718" s="6">
        <f ca="1">IFERROR(__xludf.DUMMYFUNCTION("SUM(FILTER(J:J, H:H=""Chuyển khoản"")) - SUM(FILTER(K:K, H:H=""Chuyển khoản""))
"),4468984)</f>
        <v>4468984</v>
      </c>
      <c r="O1718" s="5"/>
      <c r="P1718" s="5"/>
      <c r="Q1718" s="5"/>
      <c r="R1718" s="5"/>
      <c r="S1718" s="5"/>
    </row>
    <row r="1719" spans="1:19" ht="15.75" customHeight="1" x14ac:dyDescent="0.2">
      <c r="A1719" s="3"/>
      <c r="B1719" s="4" t="str">
        <f>IF(A1719="","","PC-"&amp;TEXT(A1719,"mm/yyyy")&amp;"-"&amp;TEXT(COUNTIFS($A$2:A1719,"&gt;="&amp;EOMONTH(A1719,-1)+1,$A$2:A1719,"&lt;="&amp;EOMONTH(A1719,0)),"000"))</f>
        <v/>
      </c>
      <c r="C1719" s="5"/>
      <c r="D1719" s="5"/>
      <c r="E1719" s="5"/>
      <c r="F1719" s="5"/>
      <c r="G1719" s="5"/>
      <c r="H1719" s="5"/>
      <c r="I1719" s="6"/>
      <c r="J1719" s="6">
        <f>IF(D1719="Thu",I1719,0)</f>
        <v>0</v>
      </c>
      <c r="K1719" s="6">
        <f>IF(D1719="Chi",I1719,0)</f>
        <v>0</v>
      </c>
      <c r="L1719" s="6">
        <f>L1718+J1719-K1719</f>
        <v>8050118</v>
      </c>
      <c r="M1719" s="6">
        <f ca="1">IFERROR(__xludf.DUMMYFUNCTION("SUM(FILTER(J:J, H:H=""Tiền mặt"")) - SUM(FILTER(K:K, H:H=""Tiền mặt""))
"),959000)</f>
        <v>959000</v>
      </c>
      <c r="N1719" s="6">
        <f ca="1">IFERROR(__xludf.DUMMYFUNCTION("SUM(FILTER(J:J, H:H=""Chuyển khoản"")) - SUM(FILTER(K:K, H:H=""Chuyển khoản""))
"),4468984)</f>
        <v>4468984</v>
      </c>
      <c r="O1719" s="5"/>
      <c r="P1719" s="5"/>
      <c r="Q1719" s="5"/>
      <c r="R1719" s="5"/>
      <c r="S1719" s="5"/>
    </row>
    <row r="1720" spans="1:19" ht="15.75" customHeight="1" x14ac:dyDescent="0.2">
      <c r="A1720" s="3"/>
      <c r="B1720" s="4" t="str">
        <f>IF(A1720="","","PC-"&amp;TEXT(A1720,"mm/yyyy")&amp;"-"&amp;TEXT(COUNTIFS($A$2:A1720,"&gt;="&amp;EOMONTH(A1720,-1)+1,$A$2:A1720,"&lt;="&amp;EOMONTH(A1720,0)),"000"))</f>
        <v/>
      </c>
      <c r="C1720" s="5"/>
      <c r="D1720" s="5"/>
      <c r="E1720" s="5"/>
      <c r="F1720" s="5"/>
      <c r="G1720" s="5"/>
      <c r="H1720" s="5"/>
      <c r="I1720" s="6"/>
      <c r="J1720" s="6">
        <f>IF(D1720="Thu",I1720,0)</f>
        <v>0</v>
      </c>
      <c r="K1720" s="6">
        <f>IF(D1720="Chi",I1720,0)</f>
        <v>0</v>
      </c>
      <c r="L1720" s="6">
        <f>L1719+J1720-K1720</f>
        <v>8050118</v>
      </c>
      <c r="M1720" s="6">
        <f ca="1">IFERROR(__xludf.DUMMYFUNCTION("SUM(FILTER(J:J, H:H=""Tiền mặt"")) - SUM(FILTER(K:K, H:H=""Tiền mặt""))
"),959000)</f>
        <v>959000</v>
      </c>
      <c r="N1720" s="6">
        <f ca="1">IFERROR(__xludf.DUMMYFUNCTION("SUM(FILTER(J:J, H:H=""Chuyển khoản"")) - SUM(FILTER(K:K, H:H=""Chuyển khoản""))
"),4468984)</f>
        <v>4468984</v>
      </c>
      <c r="O1720" s="5"/>
      <c r="P1720" s="5"/>
      <c r="Q1720" s="5"/>
      <c r="R1720" s="5"/>
      <c r="S1720" s="5"/>
    </row>
    <row r="1721" spans="1:19" ht="15.75" customHeight="1" x14ac:dyDescent="0.2">
      <c r="A1721" s="3"/>
      <c r="B1721" s="4" t="str">
        <f>IF(A1721="","","PC-"&amp;TEXT(A1721,"mm/yyyy")&amp;"-"&amp;TEXT(COUNTIFS($A$2:A1721,"&gt;="&amp;EOMONTH(A1721,-1)+1,$A$2:A1721,"&lt;="&amp;EOMONTH(A1721,0)),"000"))</f>
        <v/>
      </c>
      <c r="C1721" s="5"/>
      <c r="D1721" s="5"/>
      <c r="E1721" s="5"/>
      <c r="F1721" s="5"/>
      <c r="G1721" s="5"/>
      <c r="H1721" s="5"/>
      <c r="I1721" s="6"/>
      <c r="J1721" s="6">
        <f>IF(D1721="Thu",I1721,0)</f>
        <v>0</v>
      </c>
      <c r="K1721" s="6">
        <f>IF(D1721="Chi",I1721,0)</f>
        <v>0</v>
      </c>
      <c r="L1721" s="6">
        <f>L1720+J1721-K1721</f>
        <v>8050118</v>
      </c>
      <c r="M1721" s="6">
        <f ca="1">IFERROR(__xludf.DUMMYFUNCTION("SUM(FILTER(J:J, H:H=""Tiền mặt"")) - SUM(FILTER(K:K, H:H=""Tiền mặt""))
"),959000)</f>
        <v>959000</v>
      </c>
      <c r="N1721" s="6">
        <f ca="1">IFERROR(__xludf.DUMMYFUNCTION("SUM(FILTER(J:J, H:H=""Chuyển khoản"")) - SUM(FILTER(K:K, H:H=""Chuyển khoản""))
"),4468984)</f>
        <v>4468984</v>
      </c>
      <c r="O1721" s="5"/>
      <c r="P1721" s="5"/>
      <c r="Q1721" s="5"/>
      <c r="R1721" s="5"/>
      <c r="S1721" s="5"/>
    </row>
    <row r="1722" spans="1:19" ht="15.75" customHeight="1" x14ac:dyDescent="0.2">
      <c r="A1722" s="3"/>
      <c r="B1722" s="4" t="str">
        <f>IF(A1722="","","PC-"&amp;TEXT(A1722,"mm/yyyy")&amp;"-"&amp;TEXT(COUNTIFS($A$2:A1722,"&gt;="&amp;EOMONTH(A1722,-1)+1,$A$2:A1722,"&lt;="&amp;EOMONTH(A1722,0)),"000"))</f>
        <v/>
      </c>
      <c r="C1722" s="5"/>
      <c r="D1722" s="5"/>
      <c r="E1722" s="5"/>
      <c r="F1722" s="5"/>
      <c r="G1722" s="5"/>
      <c r="H1722" s="5"/>
      <c r="I1722" s="6"/>
      <c r="J1722" s="6">
        <f>IF(D1722="Thu",I1722,0)</f>
        <v>0</v>
      </c>
      <c r="K1722" s="6">
        <f>IF(D1722="Chi",I1722,0)</f>
        <v>0</v>
      </c>
      <c r="L1722" s="6">
        <f>L1721+J1722-K1722</f>
        <v>8050118</v>
      </c>
      <c r="M1722" s="6">
        <f ca="1">IFERROR(__xludf.DUMMYFUNCTION("SUM(FILTER(J:J, H:H=""Tiền mặt"")) - SUM(FILTER(K:K, H:H=""Tiền mặt""))
"),959000)</f>
        <v>959000</v>
      </c>
      <c r="N1722" s="6">
        <f ca="1">IFERROR(__xludf.DUMMYFUNCTION("SUM(FILTER(J:J, H:H=""Chuyển khoản"")) - SUM(FILTER(K:K, H:H=""Chuyển khoản""))
"),4468984)</f>
        <v>4468984</v>
      </c>
      <c r="O1722" s="5"/>
      <c r="P1722" s="5"/>
      <c r="Q1722" s="5"/>
      <c r="R1722" s="5"/>
      <c r="S1722" s="5"/>
    </row>
    <row r="1723" spans="1:19" ht="15.75" customHeight="1" x14ac:dyDescent="0.2">
      <c r="A1723" s="3"/>
      <c r="B1723" s="4" t="str">
        <f>IF(A1723="","","PC-"&amp;TEXT(A1723,"mm/yyyy")&amp;"-"&amp;TEXT(COUNTIFS($A$2:A1723,"&gt;="&amp;EOMONTH(A1723,-1)+1,$A$2:A1723,"&lt;="&amp;EOMONTH(A1723,0)),"000"))</f>
        <v/>
      </c>
      <c r="C1723" s="5"/>
      <c r="D1723" s="5"/>
      <c r="E1723" s="5"/>
      <c r="F1723" s="5"/>
      <c r="G1723" s="5"/>
      <c r="H1723" s="5"/>
      <c r="I1723" s="6"/>
      <c r="J1723" s="6">
        <f>IF(D1723="Thu",I1723,0)</f>
        <v>0</v>
      </c>
      <c r="K1723" s="6">
        <f>IF(D1723="Chi",I1723,0)</f>
        <v>0</v>
      </c>
      <c r="L1723" s="6">
        <f>L1722+J1723-K1723</f>
        <v>8050118</v>
      </c>
      <c r="M1723" s="6">
        <f ca="1">IFERROR(__xludf.DUMMYFUNCTION("SUM(FILTER(J:J, H:H=""Tiền mặt"")) - SUM(FILTER(K:K, H:H=""Tiền mặt""))
"),959000)</f>
        <v>959000</v>
      </c>
      <c r="N1723" s="6">
        <f ca="1">IFERROR(__xludf.DUMMYFUNCTION("SUM(FILTER(J:J, H:H=""Chuyển khoản"")) - SUM(FILTER(K:K, H:H=""Chuyển khoản""))
"),4468984)</f>
        <v>4468984</v>
      </c>
      <c r="O1723" s="5"/>
      <c r="P1723" s="5"/>
      <c r="Q1723" s="5"/>
      <c r="R1723" s="5"/>
      <c r="S1723" s="5"/>
    </row>
    <row r="1724" spans="1:19" ht="15.75" customHeight="1" x14ac:dyDescent="0.2">
      <c r="A1724" s="3"/>
      <c r="B1724" s="4" t="str">
        <f>IF(A1724="","","PC-"&amp;TEXT(A1724,"mm/yyyy")&amp;"-"&amp;TEXT(COUNTIFS($A$2:A1724,"&gt;="&amp;EOMONTH(A1724,-1)+1,$A$2:A1724,"&lt;="&amp;EOMONTH(A1724,0)),"000"))</f>
        <v/>
      </c>
      <c r="C1724" s="5"/>
      <c r="D1724" s="5"/>
      <c r="E1724" s="5"/>
      <c r="F1724" s="5"/>
      <c r="G1724" s="5"/>
      <c r="H1724" s="5"/>
      <c r="I1724" s="6"/>
      <c r="J1724" s="6">
        <f>IF(D1724="Thu",I1724,0)</f>
        <v>0</v>
      </c>
      <c r="K1724" s="6">
        <f>IF(D1724="Chi",I1724,0)</f>
        <v>0</v>
      </c>
      <c r="L1724" s="6">
        <f>L1723+J1724-K1724</f>
        <v>8050118</v>
      </c>
      <c r="M1724" s="6">
        <f ca="1">IFERROR(__xludf.DUMMYFUNCTION("SUM(FILTER(J:J, H:H=""Tiền mặt"")) - SUM(FILTER(K:K, H:H=""Tiền mặt""))
"),959000)</f>
        <v>959000</v>
      </c>
      <c r="N1724" s="6">
        <f ca="1">IFERROR(__xludf.DUMMYFUNCTION("SUM(FILTER(J:J, H:H=""Chuyển khoản"")) - SUM(FILTER(K:K, H:H=""Chuyển khoản""))
"),4468984)</f>
        <v>4468984</v>
      </c>
      <c r="O1724" s="5"/>
      <c r="P1724" s="5"/>
      <c r="Q1724" s="5"/>
      <c r="R1724" s="5"/>
      <c r="S1724" s="5"/>
    </row>
    <row r="1725" spans="1:19" ht="15.75" customHeight="1" x14ac:dyDescent="0.2">
      <c r="A1725" s="3"/>
      <c r="B1725" s="4" t="str">
        <f>IF(A1725="","","PC-"&amp;TEXT(A1725,"mm/yyyy")&amp;"-"&amp;TEXT(COUNTIFS($A$2:A1725,"&gt;="&amp;EOMONTH(A1725,-1)+1,$A$2:A1725,"&lt;="&amp;EOMONTH(A1725,0)),"000"))</f>
        <v/>
      </c>
      <c r="C1725" s="5"/>
      <c r="D1725" s="5"/>
      <c r="E1725" s="5"/>
      <c r="F1725" s="5"/>
      <c r="G1725" s="5"/>
      <c r="H1725" s="5"/>
      <c r="I1725" s="6"/>
      <c r="J1725" s="6">
        <f>IF(D1725="Thu",I1725,0)</f>
        <v>0</v>
      </c>
      <c r="K1725" s="6">
        <f>IF(D1725="Chi",I1725,0)</f>
        <v>0</v>
      </c>
      <c r="L1725" s="6">
        <f>L1724+J1725-K1725</f>
        <v>8050118</v>
      </c>
      <c r="M1725" s="6">
        <f ca="1">IFERROR(__xludf.DUMMYFUNCTION("SUM(FILTER(J:J, H:H=""Tiền mặt"")) - SUM(FILTER(K:K, H:H=""Tiền mặt""))
"),959000)</f>
        <v>959000</v>
      </c>
      <c r="N1725" s="6">
        <f ca="1">IFERROR(__xludf.DUMMYFUNCTION("SUM(FILTER(J:J, H:H=""Chuyển khoản"")) - SUM(FILTER(K:K, H:H=""Chuyển khoản""))
"),4468984)</f>
        <v>4468984</v>
      </c>
      <c r="O1725" s="5"/>
      <c r="P1725" s="5"/>
      <c r="Q1725" s="5"/>
      <c r="R1725" s="5"/>
      <c r="S1725" s="5"/>
    </row>
    <row r="1726" spans="1:19" ht="15.75" customHeight="1" x14ac:dyDescent="0.2">
      <c r="A1726" s="3"/>
      <c r="B1726" s="4" t="str">
        <f>IF(A1726="","","PC-"&amp;TEXT(A1726,"mm/yyyy")&amp;"-"&amp;TEXT(COUNTIFS($A$2:A1726,"&gt;="&amp;EOMONTH(A1726,-1)+1,$A$2:A1726,"&lt;="&amp;EOMONTH(A1726,0)),"000"))</f>
        <v/>
      </c>
      <c r="C1726" s="5"/>
      <c r="D1726" s="5"/>
      <c r="E1726" s="5"/>
      <c r="F1726" s="5"/>
      <c r="G1726" s="5"/>
      <c r="H1726" s="5"/>
      <c r="I1726" s="6"/>
      <c r="J1726" s="6">
        <f>IF(D1726="Thu",I1726,0)</f>
        <v>0</v>
      </c>
      <c r="K1726" s="6">
        <f>IF(D1726="Chi",I1726,0)</f>
        <v>0</v>
      </c>
      <c r="L1726" s="6">
        <f>L1725+J1726-K1726</f>
        <v>8050118</v>
      </c>
      <c r="M1726" s="6">
        <f ca="1">IFERROR(__xludf.DUMMYFUNCTION("SUM(FILTER(J:J, H:H=""Tiền mặt"")) - SUM(FILTER(K:K, H:H=""Tiền mặt""))
"),959000)</f>
        <v>959000</v>
      </c>
      <c r="N1726" s="6">
        <f ca="1">IFERROR(__xludf.DUMMYFUNCTION("SUM(FILTER(J:J, H:H=""Chuyển khoản"")) - SUM(FILTER(K:K, H:H=""Chuyển khoản""))
"),4468984)</f>
        <v>4468984</v>
      </c>
      <c r="O1726" s="5"/>
      <c r="P1726" s="5"/>
      <c r="Q1726" s="5"/>
      <c r="R1726" s="5"/>
      <c r="S1726" s="5"/>
    </row>
    <row r="1727" spans="1:19" ht="15.75" customHeight="1" x14ac:dyDescent="0.2">
      <c r="A1727" s="3"/>
      <c r="B1727" s="4" t="str">
        <f>IF(A1727="","","PC-"&amp;TEXT(A1727,"mm/yyyy")&amp;"-"&amp;TEXT(COUNTIFS($A$2:A1727,"&gt;="&amp;EOMONTH(A1727,-1)+1,$A$2:A1727,"&lt;="&amp;EOMONTH(A1727,0)),"000"))</f>
        <v/>
      </c>
      <c r="C1727" s="5"/>
      <c r="D1727" s="5"/>
      <c r="E1727" s="5"/>
      <c r="F1727" s="5"/>
      <c r="G1727" s="5"/>
      <c r="H1727" s="5"/>
      <c r="I1727" s="6"/>
      <c r="J1727" s="6">
        <f>IF(D1727="Thu",I1727,0)</f>
        <v>0</v>
      </c>
      <c r="K1727" s="6">
        <f>IF(D1727="Chi",I1727,0)</f>
        <v>0</v>
      </c>
      <c r="L1727" s="6">
        <f>L1726+J1727-K1727</f>
        <v>8050118</v>
      </c>
      <c r="M1727" s="6">
        <f ca="1">IFERROR(__xludf.DUMMYFUNCTION("SUM(FILTER(J:J, H:H=""Tiền mặt"")) - SUM(FILTER(K:K, H:H=""Tiền mặt""))
"),959000)</f>
        <v>959000</v>
      </c>
      <c r="N1727" s="6">
        <f ca="1">IFERROR(__xludf.DUMMYFUNCTION("SUM(FILTER(J:J, H:H=""Chuyển khoản"")) - SUM(FILTER(K:K, H:H=""Chuyển khoản""))
"),4468984)</f>
        <v>4468984</v>
      </c>
      <c r="O1727" s="5"/>
      <c r="P1727" s="5"/>
      <c r="Q1727" s="5"/>
      <c r="R1727" s="5"/>
      <c r="S1727" s="5"/>
    </row>
    <row r="1728" spans="1:19" ht="15.75" customHeight="1" x14ac:dyDescent="0.2">
      <c r="A1728" s="3"/>
      <c r="B1728" s="4" t="str">
        <f>IF(A1728="","","PC-"&amp;TEXT(A1728,"mm/yyyy")&amp;"-"&amp;TEXT(COUNTIFS($A$2:A1728,"&gt;="&amp;EOMONTH(A1728,-1)+1,$A$2:A1728,"&lt;="&amp;EOMONTH(A1728,0)),"000"))</f>
        <v/>
      </c>
      <c r="C1728" s="5"/>
      <c r="D1728" s="5"/>
      <c r="E1728" s="5"/>
      <c r="F1728" s="5"/>
      <c r="G1728" s="5"/>
      <c r="H1728" s="5"/>
      <c r="I1728" s="6"/>
      <c r="J1728" s="6">
        <f>IF(D1728="Thu",I1728,0)</f>
        <v>0</v>
      </c>
      <c r="K1728" s="6">
        <f>IF(D1728="Chi",I1728,0)</f>
        <v>0</v>
      </c>
      <c r="L1728" s="6">
        <f>L1727+J1728-K1728</f>
        <v>8050118</v>
      </c>
      <c r="M1728" s="6">
        <f ca="1">IFERROR(__xludf.DUMMYFUNCTION("SUM(FILTER(J:J, H:H=""Tiền mặt"")) - SUM(FILTER(K:K, H:H=""Tiền mặt""))
"),959000)</f>
        <v>959000</v>
      </c>
      <c r="N1728" s="6">
        <f ca="1">IFERROR(__xludf.DUMMYFUNCTION("SUM(FILTER(J:J, H:H=""Chuyển khoản"")) - SUM(FILTER(K:K, H:H=""Chuyển khoản""))
"),4468984)</f>
        <v>4468984</v>
      </c>
      <c r="O1728" s="5"/>
      <c r="P1728" s="5"/>
      <c r="Q1728" s="5"/>
      <c r="R1728" s="5"/>
      <c r="S1728" s="5"/>
    </row>
    <row r="1729" spans="1:19" ht="15.75" customHeight="1" x14ac:dyDescent="0.2">
      <c r="A1729" s="3"/>
      <c r="B1729" s="4" t="str">
        <f>IF(A1729="","","PC-"&amp;TEXT(A1729,"mm/yyyy")&amp;"-"&amp;TEXT(COUNTIFS($A$2:A1729,"&gt;="&amp;EOMONTH(A1729,-1)+1,$A$2:A1729,"&lt;="&amp;EOMONTH(A1729,0)),"000"))</f>
        <v/>
      </c>
      <c r="C1729" s="5"/>
      <c r="D1729" s="5"/>
      <c r="E1729" s="5"/>
      <c r="F1729" s="5"/>
      <c r="G1729" s="5"/>
      <c r="H1729" s="5"/>
      <c r="I1729" s="6"/>
      <c r="J1729" s="6">
        <f>IF(D1729="Thu",I1729,0)</f>
        <v>0</v>
      </c>
      <c r="K1729" s="6">
        <f>IF(D1729="Chi",I1729,0)</f>
        <v>0</v>
      </c>
      <c r="L1729" s="6">
        <f>L1728+J1729-K1729</f>
        <v>8050118</v>
      </c>
      <c r="M1729" s="6">
        <f ca="1">IFERROR(__xludf.DUMMYFUNCTION("SUM(FILTER(J:J, H:H=""Tiền mặt"")) - SUM(FILTER(K:K, H:H=""Tiền mặt""))
"),959000)</f>
        <v>959000</v>
      </c>
      <c r="N1729" s="6">
        <f ca="1">IFERROR(__xludf.DUMMYFUNCTION("SUM(FILTER(J:J, H:H=""Chuyển khoản"")) - SUM(FILTER(K:K, H:H=""Chuyển khoản""))
"),4468984)</f>
        <v>4468984</v>
      </c>
      <c r="O1729" s="5"/>
      <c r="P1729" s="5"/>
      <c r="Q1729" s="5"/>
      <c r="R1729" s="5"/>
      <c r="S1729" s="5"/>
    </row>
    <row r="1730" spans="1:19" ht="15.75" customHeight="1" x14ac:dyDescent="0.2">
      <c r="A1730" s="3"/>
      <c r="B1730" s="4" t="str">
        <f>IF(A1730="","","PC-"&amp;TEXT(A1730,"mm/yyyy")&amp;"-"&amp;TEXT(COUNTIFS($A$2:A1730,"&gt;="&amp;EOMONTH(A1730,-1)+1,$A$2:A1730,"&lt;="&amp;EOMONTH(A1730,0)),"000"))</f>
        <v/>
      </c>
      <c r="C1730" s="5"/>
      <c r="D1730" s="5"/>
      <c r="E1730" s="5"/>
      <c r="F1730" s="5"/>
      <c r="G1730" s="5"/>
      <c r="H1730" s="5"/>
      <c r="I1730" s="6"/>
      <c r="J1730" s="6">
        <f>IF(D1730="Thu",I1730,0)</f>
        <v>0</v>
      </c>
      <c r="K1730" s="6">
        <f>IF(D1730="Chi",I1730,0)</f>
        <v>0</v>
      </c>
      <c r="L1730" s="6">
        <f>L1729+J1730-K1730</f>
        <v>8050118</v>
      </c>
      <c r="M1730" s="6">
        <f ca="1">IFERROR(__xludf.DUMMYFUNCTION("SUM(FILTER(J:J, H:H=""Tiền mặt"")) - SUM(FILTER(K:K, H:H=""Tiền mặt""))
"),959000)</f>
        <v>959000</v>
      </c>
      <c r="N1730" s="6">
        <f ca="1">IFERROR(__xludf.DUMMYFUNCTION("SUM(FILTER(J:J, H:H=""Chuyển khoản"")) - SUM(FILTER(K:K, H:H=""Chuyển khoản""))
"),4468984)</f>
        <v>4468984</v>
      </c>
      <c r="O1730" s="5"/>
      <c r="P1730" s="5"/>
      <c r="Q1730" s="5"/>
      <c r="R1730" s="5"/>
      <c r="S1730" s="5"/>
    </row>
    <row r="1731" spans="1:19" ht="15.75" customHeight="1" x14ac:dyDescent="0.2">
      <c r="A1731" s="3"/>
      <c r="B1731" s="4" t="str">
        <f>IF(A1731="","","PC-"&amp;TEXT(A1731,"mm/yyyy")&amp;"-"&amp;TEXT(COUNTIFS($A$2:A1731,"&gt;="&amp;EOMONTH(A1731,-1)+1,$A$2:A1731,"&lt;="&amp;EOMONTH(A1731,0)),"000"))</f>
        <v/>
      </c>
      <c r="C1731" s="5"/>
      <c r="D1731" s="5"/>
      <c r="E1731" s="5"/>
      <c r="F1731" s="5"/>
      <c r="G1731" s="5"/>
      <c r="H1731" s="5"/>
      <c r="I1731" s="6"/>
      <c r="J1731" s="6">
        <f>IF(D1731="Thu",I1731,0)</f>
        <v>0</v>
      </c>
      <c r="K1731" s="6">
        <f>IF(D1731="Chi",I1731,0)</f>
        <v>0</v>
      </c>
      <c r="L1731" s="6">
        <f>L1730+J1731-K1731</f>
        <v>8050118</v>
      </c>
      <c r="M1731" s="6">
        <f ca="1">IFERROR(__xludf.DUMMYFUNCTION("SUM(FILTER(J:J, H:H=""Tiền mặt"")) - SUM(FILTER(K:K, H:H=""Tiền mặt""))
"),959000)</f>
        <v>959000</v>
      </c>
      <c r="N1731" s="6">
        <f ca="1">IFERROR(__xludf.DUMMYFUNCTION("SUM(FILTER(J:J, H:H=""Chuyển khoản"")) - SUM(FILTER(K:K, H:H=""Chuyển khoản""))
"),4468984)</f>
        <v>4468984</v>
      </c>
      <c r="O1731" s="5"/>
      <c r="P1731" s="5"/>
      <c r="Q1731" s="5"/>
      <c r="R1731" s="5"/>
      <c r="S1731" s="5"/>
    </row>
    <row r="1732" spans="1:19" ht="15.75" customHeight="1" x14ac:dyDescent="0.2">
      <c r="A1732" s="3"/>
      <c r="B1732" s="4" t="str">
        <f>IF(A1732="","","PC-"&amp;TEXT(A1732,"mm/yyyy")&amp;"-"&amp;TEXT(COUNTIFS($A$2:A1732,"&gt;="&amp;EOMONTH(A1732,-1)+1,$A$2:A1732,"&lt;="&amp;EOMONTH(A1732,0)),"000"))</f>
        <v/>
      </c>
      <c r="C1732" s="5"/>
      <c r="D1732" s="5"/>
      <c r="E1732" s="5"/>
      <c r="F1732" s="5"/>
      <c r="G1732" s="5"/>
      <c r="H1732" s="5"/>
      <c r="I1732" s="6"/>
      <c r="J1732" s="6">
        <f>IF(D1732="Thu",I1732,0)</f>
        <v>0</v>
      </c>
      <c r="K1732" s="6">
        <f>IF(D1732="Chi",I1732,0)</f>
        <v>0</v>
      </c>
      <c r="L1732" s="6">
        <f>L1731+J1732-K1732</f>
        <v>8050118</v>
      </c>
      <c r="M1732" s="6">
        <f ca="1">IFERROR(__xludf.DUMMYFUNCTION("SUM(FILTER(J:J, H:H=""Tiền mặt"")) - SUM(FILTER(K:K, H:H=""Tiền mặt""))
"),959000)</f>
        <v>959000</v>
      </c>
      <c r="N1732" s="6">
        <f ca="1">IFERROR(__xludf.DUMMYFUNCTION("SUM(FILTER(J:J, H:H=""Chuyển khoản"")) - SUM(FILTER(K:K, H:H=""Chuyển khoản""))
"),4468984)</f>
        <v>4468984</v>
      </c>
      <c r="O1732" s="5"/>
      <c r="P1732" s="5"/>
      <c r="Q1732" s="5"/>
      <c r="R1732" s="5"/>
      <c r="S1732" s="5"/>
    </row>
    <row r="1733" spans="1:19" ht="15.75" customHeight="1" x14ac:dyDescent="0.2">
      <c r="A1733" s="3"/>
      <c r="B1733" s="4" t="str">
        <f>IF(A1733="","","PC-"&amp;TEXT(A1733,"mm/yyyy")&amp;"-"&amp;TEXT(COUNTIFS($A$2:A1733,"&gt;="&amp;EOMONTH(A1733,-1)+1,$A$2:A1733,"&lt;="&amp;EOMONTH(A1733,0)),"000"))</f>
        <v/>
      </c>
      <c r="C1733" s="5"/>
      <c r="D1733" s="5"/>
      <c r="E1733" s="5"/>
      <c r="F1733" s="5"/>
      <c r="G1733" s="5"/>
      <c r="H1733" s="5"/>
      <c r="I1733" s="6"/>
      <c r="J1733" s="6">
        <f>IF(D1733="Thu",I1733,0)</f>
        <v>0</v>
      </c>
      <c r="K1733" s="6">
        <f>IF(D1733="Chi",I1733,0)</f>
        <v>0</v>
      </c>
      <c r="L1733" s="6">
        <f>L1732+J1733-K1733</f>
        <v>8050118</v>
      </c>
      <c r="M1733" s="6">
        <f ca="1">IFERROR(__xludf.DUMMYFUNCTION("SUM(FILTER(J:J, H:H=""Tiền mặt"")) - SUM(FILTER(K:K, H:H=""Tiền mặt""))
"),959000)</f>
        <v>959000</v>
      </c>
      <c r="N1733" s="6">
        <f ca="1">IFERROR(__xludf.DUMMYFUNCTION("SUM(FILTER(J:J, H:H=""Chuyển khoản"")) - SUM(FILTER(K:K, H:H=""Chuyển khoản""))
"),4468984)</f>
        <v>4468984</v>
      </c>
      <c r="O1733" s="5"/>
      <c r="P1733" s="5"/>
      <c r="Q1733" s="5"/>
      <c r="R1733" s="5"/>
      <c r="S1733" s="5"/>
    </row>
    <row r="1734" spans="1:19" ht="15.75" customHeight="1" x14ac:dyDescent="0.2">
      <c r="A1734" s="3"/>
      <c r="B1734" s="4" t="str">
        <f>IF(A1734="","","PC-"&amp;TEXT(A1734,"mm/yyyy")&amp;"-"&amp;TEXT(COUNTIFS($A$2:A1734,"&gt;="&amp;EOMONTH(A1734,-1)+1,$A$2:A1734,"&lt;="&amp;EOMONTH(A1734,0)),"000"))</f>
        <v/>
      </c>
      <c r="C1734" s="5"/>
      <c r="D1734" s="5"/>
      <c r="E1734" s="5"/>
      <c r="F1734" s="5"/>
      <c r="G1734" s="5"/>
      <c r="H1734" s="5"/>
      <c r="I1734" s="6"/>
      <c r="J1734" s="6">
        <f>IF(D1734="Thu",I1734,0)</f>
        <v>0</v>
      </c>
      <c r="K1734" s="6">
        <f>IF(D1734="Chi",I1734,0)</f>
        <v>0</v>
      </c>
      <c r="L1734" s="6">
        <f>L1733+J1734-K1734</f>
        <v>8050118</v>
      </c>
      <c r="M1734" s="6">
        <f ca="1">IFERROR(__xludf.DUMMYFUNCTION("SUM(FILTER(J:J, H:H=""Tiền mặt"")) - SUM(FILTER(K:K, H:H=""Tiền mặt""))
"),959000)</f>
        <v>959000</v>
      </c>
      <c r="N1734" s="6">
        <f ca="1">IFERROR(__xludf.DUMMYFUNCTION("SUM(FILTER(J:J, H:H=""Chuyển khoản"")) - SUM(FILTER(K:K, H:H=""Chuyển khoản""))
"),4468984)</f>
        <v>4468984</v>
      </c>
      <c r="O1734" s="5"/>
      <c r="P1734" s="5"/>
      <c r="Q1734" s="5"/>
      <c r="R1734" s="5"/>
      <c r="S1734" s="5"/>
    </row>
    <row r="1735" spans="1:19" ht="15.75" customHeight="1" x14ac:dyDescent="0.2">
      <c r="A1735" s="3"/>
      <c r="B1735" s="4" t="str">
        <f>IF(A1735="","","PC-"&amp;TEXT(A1735,"mm/yyyy")&amp;"-"&amp;TEXT(COUNTIFS($A$2:A1735,"&gt;="&amp;EOMONTH(A1735,-1)+1,$A$2:A1735,"&lt;="&amp;EOMONTH(A1735,0)),"000"))</f>
        <v/>
      </c>
      <c r="C1735" s="5"/>
      <c r="D1735" s="5"/>
      <c r="E1735" s="5"/>
      <c r="F1735" s="5"/>
      <c r="G1735" s="5"/>
      <c r="H1735" s="5"/>
      <c r="I1735" s="6"/>
      <c r="J1735" s="6">
        <f>IF(D1735="Thu",I1735,0)</f>
        <v>0</v>
      </c>
      <c r="K1735" s="6">
        <f>IF(D1735="Chi",I1735,0)</f>
        <v>0</v>
      </c>
      <c r="L1735" s="6">
        <f>L1734+J1735-K1735</f>
        <v>8050118</v>
      </c>
      <c r="M1735" s="6">
        <f ca="1">IFERROR(__xludf.DUMMYFUNCTION("SUM(FILTER(J:J, H:H=""Tiền mặt"")) - SUM(FILTER(K:K, H:H=""Tiền mặt""))
"),959000)</f>
        <v>959000</v>
      </c>
      <c r="N1735" s="6">
        <f ca="1">IFERROR(__xludf.DUMMYFUNCTION("SUM(FILTER(J:J, H:H=""Chuyển khoản"")) - SUM(FILTER(K:K, H:H=""Chuyển khoản""))
"),4468984)</f>
        <v>4468984</v>
      </c>
      <c r="O1735" s="5"/>
      <c r="P1735" s="5"/>
      <c r="Q1735" s="5"/>
      <c r="R1735" s="5"/>
      <c r="S1735" s="5"/>
    </row>
    <row r="1736" spans="1:19" ht="15.75" customHeight="1" x14ac:dyDescent="0.2">
      <c r="A1736" s="3"/>
      <c r="B1736" s="4" t="str">
        <f>IF(A1736="","","PC-"&amp;TEXT(A1736,"mm/yyyy")&amp;"-"&amp;TEXT(COUNTIFS($A$2:A1736,"&gt;="&amp;EOMONTH(A1736,-1)+1,$A$2:A1736,"&lt;="&amp;EOMONTH(A1736,0)),"000"))</f>
        <v/>
      </c>
      <c r="C1736" s="5"/>
      <c r="D1736" s="5"/>
      <c r="E1736" s="5"/>
      <c r="F1736" s="5"/>
      <c r="G1736" s="5"/>
      <c r="H1736" s="5"/>
      <c r="I1736" s="6"/>
      <c r="J1736" s="6">
        <f>IF(D1736="Thu",I1736,0)</f>
        <v>0</v>
      </c>
      <c r="K1736" s="6">
        <f>IF(D1736="Chi",I1736,0)</f>
        <v>0</v>
      </c>
      <c r="L1736" s="6">
        <f>L1735+J1736-K1736</f>
        <v>8050118</v>
      </c>
      <c r="M1736" s="6">
        <f ca="1">IFERROR(__xludf.DUMMYFUNCTION("SUM(FILTER(J:J, H:H=""Tiền mặt"")) - SUM(FILTER(K:K, H:H=""Tiền mặt""))
"),959000)</f>
        <v>959000</v>
      </c>
      <c r="N1736" s="6">
        <f ca="1">IFERROR(__xludf.DUMMYFUNCTION("SUM(FILTER(J:J, H:H=""Chuyển khoản"")) - SUM(FILTER(K:K, H:H=""Chuyển khoản""))
"),4468984)</f>
        <v>4468984</v>
      </c>
      <c r="O1736" s="5"/>
      <c r="P1736" s="5"/>
      <c r="Q1736" s="5"/>
      <c r="R1736" s="5"/>
      <c r="S1736" s="5"/>
    </row>
    <row r="1737" spans="1:19" ht="15.75" customHeight="1" x14ac:dyDescent="0.2">
      <c r="A1737" s="3"/>
      <c r="B1737" s="4" t="str">
        <f>IF(A1737="","","PC-"&amp;TEXT(A1737,"mm/yyyy")&amp;"-"&amp;TEXT(COUNTIFS($A$2:A1737,"&gt;="&amp;EOMONTH(A1737,-1)+1,$A$2:A1737,"&lt;="&amp;EOMONTH(A1737,0)),"000"))</f>
        <v/>
      </c>
      <c r="C1737" s="5"/>
      <c r="D1737" s="5"/>
      <c r="E1737" s="5"/>
      <c r="F1737" s="5"/>
      <c r="G1737" s="5"/>
      <c r="H1737" s="5"/>
      <c r="I1737" s="6"/>
      <c r="J1737" s="6">
        <f>IF(D1737="Thu",I1737,0)</f>
        <v>0</v>
      </c>
      <c r="K1737" s="6">
        <f>IF(D1737="Chi",I1737,0)</f>
        <v>0</v>
      </c>
      <c r="L1737" s="6">
        <f>L1736+J1737-K1737</f>
        <v>8050118</v>
      </c>
      <c r="M1737" s="6">
        <f ca="1">IFERROR(__xludf.DUMMYFUNCTION("SUM(FILTER(J:J, H:H=""Tiền mặt"")) - SUM(FILTER(K:K, H:H=""Tiền mặt""))
"),959000)</f>
        <v>959000</v>
      </c>
      <c r="N1737" s="6">
        <f ca="1">IFERROR(__xludf.DUMMYFUNCTION("SUM(FILTER(J:J, H:H=""Chuyển khoản"")) - SUM(FILTER(K:K, H:H=""Chuyển khoản""))
"),4468984)</f>
        <v>4468984</v>
      </c>
      <c r="O1737" s="5"/>
      <c r="P1737" s="5"/>
      <c r="Q1737" s="5"/>
      <c r="R1737" s="5"/>
      <c r="S1737" s="5"/>
    </row>
    <row r="1738" spans="1:19" ht="15.75" customHeight="1" x14ac:dyDescent="0.2">
      <c r="A1738" s="3"/>
      <c r="B1738" s="4" t="str">
        <f>IF(A1738="","","PC-"&amp;TEXT(A1738,"mm/yyyy")&amp;"-"&amp;TEXT(COUNTIFS($A$2:A1738,"&gt;="&amp;EOMONTH(A1738,-1)+1,$A$2:A1738,"&lt;="&amp;EOMONTH(A1738,0)),"000"))</f>
        <v/>
      </c>
      <c r="C1738" s="5"/>
      <c r="D1738" s="5"/>
      <c r="E1738" s="5"/>
      <c r="F1738" s="5"/>
      <c r="G1738" s="5"/>
      <c r="H1738" s="5"/>
      <c r="I1738" s="6"/>
      <c r="J1738" s="6">
        <f>IF(D1738="Thu",I1738,0)</f>
        <v>0</v>
      </c>
      <c r="K1738" s="6">
        <f>IF(D1738="Chi",I1738,0)</f>
        <v>0</v>
      </c>
      <c r="L1738" s="6">
        <f>L1737+J1738-K1738</f>
        <v>8050118</v>
      </c>
      <c r="M1738" s="6">
        <f ca="1">IFERROR(__xludf.DUMMYFUNCTION("SUM(FILTER(J:J, H:H=""Tiền mặt"")) - SUM(FILTER(K:K, H:H=""Tiền mặt""))
"),959000)</f>
        <v>959000</v>
      </c>
      <c r="N1738" s="6">
        <f ca="1">IFERROR(__xludf.DUMMYFUNCTION("SUM(FILTER(J:J, H:H=""Chuyển khoản"")) - SUM(FILTER(K:K, H:H=""Chuyển khoản""))
"),4468984)</f>
        <v>4468984</v>
      </c>
      <c r="O1738" s="5"/>
      <c r="P1738" s="5"/>
      <c r="Q1738" s="5"/>
      <c r="R1738" s="5"/>
      <c r="S1738" s="5"/>
    </row>
    <row r="1739" spans="1:19" ht="15.75" customHeight="1" x14ac:dyDescent="0.2">
      <c r="A1739" s="3"/>
      <c r="B1739" s="4" t="str">
        <f>IF(A1739="","","PC-"&amp;TEXT(A1739,"mm/yyyy")&amp;"-"&amp;TEXT(COUNTIFS($A$2:A1739,"&gt;="&amp;EOMONTH(A1739,-1)+1,$A$2:A1739,"&lt;="&amp;EOMONTH(A1739,0)),"000"))</f>
        <v/>
      </c>
      <c r="C1739" s="5"/>
      <c r="D1739" s="5"/>
      <c r="E1739" s="5"/>
      <c r="F1739" s="5"/>
      <c r="G1739" s="5"/>
      <c r="H1739" s="5"/>
      <c r="I1739" s="6"/>
      <c r="J1739" s="6">
        <f>IF(D1739="Thu",I1739,0)</f>
        <v>0</v>
      </c>
      <c r="K1739" s="6">
        <f>IF(D1739="Chi",I1739,0)</f>
        <v>0</v>
      </c>
      <c r="L1739" s="6">
        <f>L1738+J1739-K1739</f>
        <v>8050118</v>
      </c>
      <c r="M1739" s="6">
        <f ca="1">IFERROR(__xludf.DUMMYFUNCTION("SUM(FILTER(J:J, H:H=""Tiền mặt"")) - SUM(FILTER(K:K, H:H=""Tiền mặt""))
"),959000)</f>
        <v>959000</v>
      </c>
      <c r="N1739" s="6">
        <f ca="1">IFERROR(__xludf.DUMMYFUNCTION("SUM(FILTER(J:J, H:H=""Chuyển khoản"")) - SUM(FILTER(K:K, H:H=""Chuyển khoản""))
"),4468984)</f>
        <v>4468984</v>
      </c>
      <c r="O1739" s="5"/>
      <c r="P1739" s="5"/>
      <c r="Q1739" s="5"/>
      <c r="R1739" s="5"/>
      <c r="S1739" s="5"/>
    </row>
    <row r="1740" spans="1:19" ht="15.75" customHeight="1" x14ac:dyDescent="0.2">
      <c r="A1740" s="3"/>
      <c r="B1740" s="4" t="str">
        <f>IF(A1740="","","PC-"&amp;TEXT(A1740,"mm/yyyy")&amp;"-"&amp;TEXT(COUNTIFS($A$2:A1740,"&gt;="&amp;EOMONTH(A1740,-1)+1,$A$2:A1740,"&lt;="&amp;EOMONTH(A1740,0)),"000"))</f>
        <v/>
      </c>
      <c r="C1740" s="5"/>
      <c r="D1740" s="5"/>
      <c r="E1740" s="5"/>
      <c r="F1740" s="5"/>
      <c r="G1740" s="5"/>
      <c r="H1740" s="5"/>
      <c r="I1740" s="6"/>
      <c r="J1740" s="6">
        <f>IF(D1740="Thu",I1740,0)</f>
        <v>0</v>
      </c>
      <c r="K1740" s="6">
        <f>IF(D1740="Chi",I1740,0)</f>
        <v>0</v>
      </c>
      <c r="L1740" s="6">
        <f>L1739+J1740-K1740</f>
        <v>8050118</v>
      </c>
      <c r="M1740" s="6">
        <f ca="1">IFERROR(__xludf.DUMMYFUNCTION("SUM(FILTER(J:J, H:H=""Tiền mặt"")) - SUM(FILTER(K:K, H:H=""Tiền mặt""))
"),959000)</f>
        <v>959000</v>
      </c>
      <c r="N1740" s="6">
        <f ca="1">IFERROR(__xludf.DUMMYFUNCTION("SUM(FILTER(J:J, H:H=""Chuyển khoản"")) - SUM(FILTER(K:K, H:H=""Chuyển khoản""))
"),4468984)</f>
        <v>4468984</v>
      </c>
      <c r="O1740" s="5"/>
      <c r="P1740" s="5"/>
      <c r="Q1740" s="5"/>
      <c r="R1740" s="5"/>
      <c r="S1740" s="5"/>
    </row>
    <row r="1741" spans="1:19" ht="15.75" customHeight="1" x14ac:dyDescent="0.2">
      <c r="A1741" s="3"/>
      <c r="B1741" s="4" t="str">
        <f>IF(A1741="","","PC-"&amp;TEXT(A1741,"mm/yyyy")&amp;"-"&amp;TEXT(COUNTIFS($A$2:A1741,"&gt;="&amp;EOMONTH(A1741,-1)+1,$A$2:A1741,"&lt;="&amp;EOMONTH(A1741,0)),"000"))</f>
        <v/>
      </c>
      <c r="C1741" s="5"/>
      <c r="D1741" s="5"/>
      <c r="E1741" s="5"/>
      <c r="F1741" s="5"/>
      <c r="G1741" s="5"/>
      <c r="H1741" s="5"/>
      <c r="I1741" s="6"/>
      <c r="J1741" s="6">
        <f>IF(D1741="Thu",I1741,0)</f>
        <v>0</v>
      </c>
      <c r="K1741" s="6">
        <f>IF(D1741="Chi",I1741,0)</f>
        <v>0</v>
      </c>
      <c r="L1741" s="6">
        <f>L1740+J1741-K1741</f>
        <v>8050118</v>
      </c>
      <c r="M1741" s="6">
        <f ca="1">IFERROR(__xludf.DUMMYFUNCTION("SUM(FILTER(J:J, H:H=""Tiền mặt"")) - SUM(FILTER(K:K, H:H=""Tiền mặt""))
"),959000)</f>
        <v>959000</v>
      </c>
      <c r="N1741" s="6">
        <f ca="1">IFERROR(__xludf.DUMMYFUNCTION("SUM(FILTER(J:J, H:H=""Chuyển khoản"")) - SUM(FILTER(K:K, H:H=""Chuyển khoản""))
"),4468984)</f>
        <v>4468984</v>
      </c>
      <c r="O1741" s="5"/>
      <c r="P1741" s="5"/>
      <c r="Q1741" s="5"/>
      <c r="R1741" s="5"/>
      <c r="S1741" s="5"/>
    </row>
    <row r="1742" spans="1:19" ht="15.75" customHeight="1" x14ac:dyDescent="0.2">
      <c r="A1742" s="3"/>
      <c r="B1742" s="4" t="str">
        <f>IF(A1742="","","PC-"&amp;TEXT(A1742,"mm/yyyy")&amp;"-"&amp;TEXT(COUNTIFS($A$2:A1742,"&gt;="&amp;EOMONTH(A1742,-1)+1,$A$2:A1742,"&lt;="&amp;EOMONTH(A1742,0)),"000"))</f>
        <v/>
      </c>
      <c r="C1742" s="5"/>
      <c r="D1742" s="5"/>
      <c r="E1742" s="5"/>
      <c r="F1742" s="5"/>
      <c r="G1742" s="5"/>
      <c r="H1742" s="5"/>
      <c r="I1742" s="6"/>
      <c r="J1742" s="6">
        <f>IF(D1742="Thu",I1742,0)</f>
        <v>0</v>
      </c>
      <c r="K1742" s="6">
        <f>IF(D1742="Chi",I1742,0)</f>
        <v>0</v>
      </c>
      <c r="L1742" s="6">
        <f>L1741+J1742-K1742</f>
        <v>8050118</v>
      </c>
      <c r="M1742" s="6">
        <f ca="1">IFERROR(__xludf.DUMMYFUNCTION("SUM(FILTER(J:J, H:H=""Tiền mặt"")) - SUM(FILTER(K:K, H:H=""Tiền mặt""))
"),959000)</f>
        <v>959000</v>
      </c>
      <c r="N1742" s="6">
        <f ca="1">IFERROR(__xludf.DUMMYFUNCTION("SUM(FILTER(J:J, H:H=""Chuyển khoản"")) - SUM(FILTER(K:K, H:H=""Chuyển khoản""))
"),4468984)</f>
        <v>4468984</v>
      </c>
      <c r="O1742" s="5"/>
      <c r="P1742" s="5"/>
      <c r="Q1742" s="5"/>
      <c r="R1742" s="5"/>
      <c r="S1742" s="5"/>
    </row>
    <row r="1743" spans="1:19" ht="15.75" customHeight="1" x14ac:dyDescent="0.2">
      <c r="A1743" s="3"/>
      <c r="B1743" s="4" t="str">
        <f>IF(A1743="","","PC-"&amp;TEXT(A1743,"mm/yyyy")&amp;"-"&amp;TEXT(COUNTIFS($A$2:A1743,"&gt;="&amp;EOMONTH(A1743,-1)+1,$A$2:A1743,"&lt;="&amp;EOMONTH(A1743,0)),"000"))</f>
        <v/>
      </c>
      <c r="C1743" s="5"/>
      <c r="D1743" s="5"/>
      <c r="E1743" s="5"/>
      <c r="F1743" s="5"/>
      <c r="G1743" s="5"/>
      <c r="H1743" s="5"/>
      <c r="I1743" s="6"/>
      <c r="J1743" s="6">
        <f>IF(D1743="Thu",I1743,0)</f>
        <v>0</v>
      </c>
      <c r="K1743" s="6">
        <f>IF(D1743="Chi",I1743,0)</f>
        <v>0</v>
      </c>
      <c r="L1743" s="6">
        <f>L1742+J1743-K1743</f>
        <v>8050118</v>
      </c>
      <c r="M1743" s="6">
        <f ca="1">IFERROR(__xludf.DUMMYFUNCTION("SUM(FILTER(J:J, H:H=""Tiền mặt"")) - SUM(FILTER(K:K, H:H=""Tiền mặt""))
"),959000)</f>
        <v>959000</v>
      </c>
      <c r="N1743" s="6">
        <f ca="1">IFERROR(__xludf.DUMMYFUNCTION("SUM(FILTER(J:J, H:H=""Chuyển khoản"")) - SUM(FILTER(K:K, H:H=""Chuyển khoản""))
"),4468984)</f>
        <v>4468984</v>
      </c>
      <c r="O1743" s="5"/>
      <c r="P1743" s="5"/>
      <c r="Q1743" s="5"/>
      <c r="R1743" s="5"/>
      <c r="S1743" s="5"/>
    </row>
    <row r="1744" spans="1:19" ht="15.75" customHeight="1" x14ac:dyDescent="0.2">
      <c r="A1744" s="3"/>
      <c r="B1744" s="4" t="str">
        <f>IF(A1744="","","PC-"&amp;TEXT(A1744,"mm/yyyy")&amp;"-"&amp;TEXT(COUNTIFS($A$2:A1744,"&gt;="&amp;EOMONTH(A1744,-1)+1,$A$2:A1744,"&lt;="&amp;EOMONTH(A1744,0)),"000"))</f>
        <v/>
      </c>
      <c r="C1744" s="5"/>
      <c r="D1744" s="5"/>
      <c r="E1744" s="5"/>
      <c r="F1744" s="5"/>
      <c r="G1744" s="5"/>
      <c r="H1744" s="5"/>
      <c r="I1744" s="6"/>
      <c r="J1744" s="6">
        <f>IF(D1744="Thu",I1744,0)</f>
        <v>0</v>
      </c>
      <c r="K1744" s="6">
        <f>IF(D1744="Chi",I1744,0)</f>
        <v>0</v>
      </c>
      <c r="L1744" s="6">
        <f>L1743+J1744-K1744</f>
        <v>8050118</v>
      </c>
      <c r="M1744" s="6">
        <f ca="1">IFERROR(__xludf.DUMMYFUNCTION("SUM(FILTER(J:J, H:H=""Tiền mặt"")) - SUM(FILTER(K:K, H:H=""Tiền mặt""))
"),959000)</f>
        <v>959000</v>
      </c>
      <c r="N1744" s="6">
        <f ca="1">IFERROR(__xludf.DUMMYFUNCTION("SUM(FILTER(J:J, H:H=""Chuyển khoản"")) - SUM(FILTER(K:K, H:H=""Chuyển khoản""))
"),4468984)</f>
        <v>4468984</v>
      </c>
      <c r="O1744" s="5"/>
      <c r="P1744" s="5"/>
      <c r="Q1744" s="5"/>
      <c r="R1744" s="5"/>
      <c r="S1744" s="5"/>
    </row>
    <row r="1745" spans="1:19" ht="15.75" customHeight="1" x14ac:dyDescent="0.2">
      <c r="A1745" s="3"/>
      <c r="B1745" s="4" t="str">
        <f>IF(A1745="","","PC-"&amp;TEXT(A1745,"mm/yyyy")&amp;"-"&amp;TEXT(COUNTIFS($A$2:A1745,"&gt;="&amp;EOMONTH(A1745,-1)+1,$A$2:A1745,"&lt;="&amp;EOMONTH(A1745,0)),"000"))</f>
        <v/>
      </c>
      <c r="C1745" s="5"/>
      <c r="D1745" s="5"/>
      <c r="E1745" s="5"/>
      <c r="F1745" s="5"/>
      <c r="G1745" s="5"/>
      <c r="H1745" s="5"/>
      <c r="I1745" s="6"/>
      <c r="J1745" s="6">
        <f>IF(D1745="Thu",I1745,0)</f>
        <v>0</v>
      </c>
      <c r="K1745" s="6">
        <f>IF(D1745="Chi",I1745,0)</f>
        <v>0</v>
      </c>
      <c r="L1745" s="6">
        <f>L1744+J1745-K1745</f>
        <v>8050118</v>
      </c>
      <c r="M1745" s="6">
        <f ca="1">IFERROR(__xludf.DUMMYFUNCTION("SUM(FILTER(J:J, H:H=""Tiền mặt"")) - SUM(FILTER(K:K, H:H=""Tiền mặt""))
"),959000)</f>
        <v>959000</v>
      </c>
      <c r="N1745" s="6">
        <f ca="1">IFERROR(__xludf.DUMMYFUNCTION("SUM(FILTER(J:J, H:H=""Chuyển khoản"")) - SUM(FILTER(K:K, H:H=""Chuyển khoản""))
"),4468984)</f>
        <v>4468984</v>
      </c>
      <c r="O1745" s="5"/>
      <c r="P1745" s="5"/>
      <c r="Q1745" s="5"/>
      <c r="R1745" s="5"/>
      <c r="S1745" s="5"/>
    </row>
    <row r="1746" spans="1:19" ht="15.75" customHeight="1" x14ac:dyDescent="0.2">
      <c r="A1746" s="3"/>
      <c r="B1746" s="4" t="str">
        <f>IF(A1746="","","PC-"&amp;TEXT(A1746,"mm/yyyy")&amp;"-"&amp;TEXT(COUNTIFS($A$2:A1746,"&gt;="&amp;EOMONTH(A1746,-1)+1,$A$2:A1746,"&lt;="&amp;EOMONTH(A1746,0)),"000"))</f>
        <v/>
      </c>
      <c r="C1746" s="5"/>
      <c r="D1746" s="5"/>
      <c r="E1746" s="5"/>
      <c r="F1746" s="5"/>
      <c r="G1746" s="5"/>
      <c r="H1746" s="5"/>
      <c r="I1746" s="6"/>
      <c r="J1746" s="6">
        <f>IF(D1746="Thu",I1746,0)</f>
        <v>0</v>
      </c>
      <c r="K1746" s="6">
        <f>IF(D1746="Chi",I1746,0)</f>
        <v>0</v>
      </c>
      <c r="L1746" s="6">
        <f>L1745+J1746-K1746</f>
        <v>8050118</v>
      </c>
      <c r="M1746" s="6">
        <f ca="1">IFERROR(__xludf.DUMMYFUNCTION("SUM(FILTER(J:J, H:H=""Tiền mặt"")) - SUM(FILTER(K:K, H:H=""Tiền mặt""))
"),959000)</f>
        <v>959000</v>
      </c>
      <c r="N1746" s="6">
        <f ca="1">IFERROR(__xludf.DUMMYFUNCTION("SUM(FILTER(J:J, H:H=""Chuyển khoản"")) - SUM(FILTER(K:K, H:H=""Chuyển khoản""))
"),4468984)</f>
        <v>4468984</v>
      </c>
      <c r="O1746" s="5"/>
      <c r="P1746" s="5"/>
      <c r="Q1746" s="5"/>
      <c r="R1746" s="5"/>
      <c r="S1746" s="5"/>
    </row>
    <row r="1747" spans="1:19" ht="15.75" customHeight="1" x14ac:dyDescent="0.2">
      <c r="A1747" s="3"/>
      <c r="B1747" s="4" t="str">
        <f>IF(A1747="","","PC-"&amp;TEXT(A1747,"mm/yyyy")&amp;"-"&amp;TEXT(COUNTIFS($A$2:A1747,"&gt;="&amp;EOMONTH(A1747,-1)+1,$A$2:A1747,"&lt;="&amp;EOMONTH(A1747,0)),"000"))</f>
        <v/>
      </c>
      <c r="C1747" s="5"/>
      <c r="D1747" s="5"/>
      <c r="E1747" s="5"/>
      <c r="F1747" s="5"/>
      <c r="G1747" s="5"/>
      <c r="H1747" s="5"/>
      <c r="I1747" s="6"/>
      <c r="J1747" s="6">
        <f>IF(D1747="Thu",I1747,0)</f>
        <v>0</v>
      </c>
      <c r="K1747" s="6">
        <f>IF(D1747="Chi",I1747,0)</f>
        <v>0</v>
      </c>
      <c r="L1747" s="6">
        <f>L1746+J1747-K1747</f>
        <v>8050118</v>
      </c>
      <c r="M1747" s="6">
        <f ca="1">IFERROR(__xludf.DUMMYFUNCTION("SUM(FILTER(J:J, H:H=""Tiền mặt"")) - SUM(FILTER(K:K, H:H=""Tiền mặt""))
"),959000)</f>
        <v>959000</v>
      </c>
      <c r="N1747" s="6">
        <f ca="1">IFERROR(__xludf.DUMMYFUNCTION("SUM(FILTER(J:J, H:H=""Chuyển khoản"")) - SUM(FILTER(K:K, H:H=""Chuyển khoản""))
"),4468984)</f>
        <v>4468984</v>
      </c>
      <c r="O1747" s="5"/>
      <c r="P1747" s="5"/>
      <c r="Q1747" s="5"/>
      <c r="R1747" s="5"/>
      <c r="S1747" s="5"/>
    </row>
    <row r="1748" spans="1:19" ht="15.75" customHeight="1" x14ac:dyDescent="0.2">
      <c r="A1748" s="3"/>
      <c r="B1748" s="4" t="str">
        <f>IF(A1748="","","PC-"&amp;TEXT(A1748,"mm/yyyy")&amp;"-"&amp;TEXT(COUNTIFS($A$2:A1748,"&gt;="&amp;EOMONTH(A1748,-1)+1,$A$2:A1748,"&lt;="&amp;EOMONTH(A1748,0)),"000"))</f>
        <v/>
      </c>
      <c r="C1748" s="5"/>
      <c r="D1748" s="5"/>
      <c r="E1748" s="5"/>
      <c r="F1748" s="5"/>
      <c r="G1748" s="5"/>
      <c r="H1748" s="5"/>
      <c r="I1748" s="6"/>
      <c r="J1748" s="6">
        <f>IF(D1748="Thu",I1748,0)</f>
        <v>0</v>
      </c>
      <c r="K1748" s="6">
        <f>IF(D1748="Chi",I1748,0)</f>
        <v>0</v>
      </c>
      <c r="L1748" s="6">
        <f>L1747+J1748-K1748</f>
        <v>8050118</v>
      </c>
      <c r="M1748" s="6">
        <f ca="1">IFERROR(__xludf.DUMMYFUNCTION("SUM(FILTER(J:J, H:H=""Tiền mặt"")) - SUM(FILTER(K:K, H:H=""Tiền mặt""))
"),959000)</f>
        <v>959000</v>
      </c>
      <c r="N1748" s="6">
        <f ca="1">IFERROR(__xludf.DUMMYFUNCTION("SUM(FILTER(J:J, H:H=""Chuyển khoản"")) - SUM(FILTER(K:K, H:H=""Chuyển khoản""))
"),4468984)</f>
        <v>4468984</v>
      </c>
      <c r="O1748" s="5"/>
      <c r="P1748" s="5"/>
      <c r="Q1748" s="5"/>
      <c r="R1748" s="5"/>
      <c r="S1748" s="5"/>
    </row>
    <row r="1749" spans="1:19" ht="15.75" customHeight="1" x14ac:dyDescent="0.2">
      <c r="A1749" s="3"/>
      <c r="B1749" s="4" t="str">
        <f>IF(A1749="","","PC-"&amp;TEXT(A1749,"mm/yyyy")&amp;"-"&amp;TEXT(COUNTIFS($A$2:A1749,"&gt;="&amp;EOMONTH(A1749,-1)+1,$A$2:A1749,"&lt;="&amp;EOMONTH(A1749,0)),"000"))</f>
        <v/>
      </c>
      <c r="C1749" s="5"/>
      <c r="D1749" s="5"/>
      <c r="E1749" s="5"/>
      <c r="F1749" s="5"/>
      <c r="G1749" s="5"/>
      <c r="H1749" s="5"/>
      <c r="I1749" s="6"/>
      <c r="J1749" s="6">
        <f>IF(D1749="Thu",I1749,0)</f>
        <v>0</v>
      </c>
      <c r="K1749" s="6">
        <f>IF(D1749="Chi",I1749,0)</f>
        <v>0</v>
      </c>
      <c r="L1749" s="6">
        <f>L1748+J1749-K1749</f>
        <v>8050118</v>
      </c>
      <c r="M1749" s="6">
        <f ca="1">IFERROR(__xludf.DUMMYFUNCTION("SUM(FILTER(J:J, H:H=""Tiền mặt"")) - SUM(FILTER(K:K, H:H=""Tiền mặt""))
"),959000)</f>
        <v>959000</v>
      </c>
      <c r="N1749" s="6">
        <f ca="1">IFERROR(__xludf.DUMMYFUNCTION("SUM(FILTER(J:J, H:H=""Chuyển khoản"")) - SUM(FILTER(K:K, H:H=""Chuyển khoản""))
"),4468984)</f>
        <v>4468984</v>
      </c>
      <c r="O1749" s="5"/>
      <c r="P1749" s="5"/>
      <c r="Q1749" s="5"/>
      <c r="R1749" s="5"/>
      <c r="S1749" s="5"/>
    </row>
    <row r="1750" spans="1:19" ht="15.75" customHeight="1" x14ac:dyDescent="0.2">
      <c r="A1750" s="3"/>
      <c r="B1750" s="4" t="str">
        <f>IF(A1750="","","PC-"&amp;TEXT(A1750,"mm/yyyy")&amp;"-"&amp;TEXT(COUNTIFS($A$2:A1750,"&gt;="&amp;EOMONTH(A1750,-1)+1,$A$2:A1750,"&lt;="&amp;EOMONTH(A1750,0)),"000"))</f>
        <v/>
      </c>
      <c r="C1750" s="5"/>
      <c r="D1750" s="5"/>
      <c r="E1750" s="5"/>
      <c r="F1750" s="5"/>
      <c r="G1750" s="5"/>
      <c r="H1750" s="5"/>
      <c r="I1750" s="6"/>
      <c r="J1750" s="6">
        <f>IF(D1750="Thu",I1750,0)</f>
        <v>0</v>
      </c>
      <c r="K1750" s="6">
        <f>IF(D1750="Chi",I1750,0)</f>
        <v>0</v>
      </c>
      <c r="L1750" s="6">
        <f>L1749+J1750-K1750</f>
        <v>8050118</v>
      </c>
      <c r="M1750" s="6">
        <f ca="1">IFERROR(__xludf.DUMMYFUNCTION("SUM(FILTER(J:J, H:H=""Tiền mặt"")) - SUM(FILTER(K:K, H:H=""Tiền mặt""))
"),959000)</f>
        <v>959000</v>
      </c>
      <c r="N1750" s="6">
        <f ca="1">IFERROR(__xludf.DUMMYFUNCTION("SUM(FILTER(J:J, H:H=""Chuyển khoản"")) - SUM(FILTER(K:K, H:H=""Chuyển khoản""))
"),4468984)</f>
        <v>4468984</v>
      </c>
      <c r="O1750" s="5"/>
      <c r="P1750" s="5"/>
      <c r="Q1750" s="5"/>
      <c r="R1750" s="5"/>
      <c r="S1750" s="5"/>
    </row>
    <row r="1751" spans="1:19" ht="15.75" customHeight="1" x14ac:dyDescent="0.2">
      <c r="A1751" s="3"/>
      <c r="B1751" s="4" t="str">
        <f>IF(A1751="","","PC-"&amp;TEXT(A1751,"mm/yyyy")&amp;"-"&amp;TEXT(COUNTIFS($A$2:A1751,"&gt;="&amp;EOMONTH(A1751,-1)+1,$A$2:A1751,"&lt;="&amp;EOMONTH(A1751,0)),"000"))</f>
        <v/>
      </c>
      <c r="C1751" s="5"/>
      <c r="D1751" s="5"/>
      <c r="E1751" s="5"/>
      <c r="F1751" s="5"/>
      <c r="G1751" s="5"/>
      <c r="H1751" s="5"/>
      <c r="I1751" s="6"/>
      <c r="J1751" s="6">
        <f>IF(D1751="Thu",I1751,0)</f>
        <v>0</v>
      </c>
      <c r="K1751" s="6">
        <f>IF(D1751="Chi",I1751,0)</f>
        <v>0</v>
      </c>
      <c r="L1751" s="6">
        <f>L1750+J1751-K1751</f>
        <v>8050118</v>
      </c>
      <c r="M1751" s="6">
        <f ca="1">IFERROR(__xludf.DUMMYFUNCTION("SUM(FILTER(J:J, H:H=""Tiền mặt"")) - SUM(FILTER(K:K, H:H=""Tiền mặt""))
"),959000)</f>
        <v>959000</v>
      </c>
      <c r="N1751" s="6">
        <f ca="1">IFERROR(__xludf.DUMMYFUNCTION("SUM(FILTER(J:J, H:H=""Chuyển khoản"")) - SUM(FILTER(K:K, H:H=""Chuyển khoản""))
"),4468984)</f>
        <v>4468984</v>
      </c>
      <c r="O1751" s="5"/>
      <c r="P1751" s="5"/>
      <c r="Q1751" s="5"/>
      <c r="R1751" s="5"/>
      <c r="S1751" s="5"/>
    </row>
    <row r="1752" spans="1:19" ht="15.75" customHeight="1" x14ac:dyDescent="0.2">
      <c r="A1752" s="3"/>
      <c r="B1752" s="4" t="str">
        <f>IF(A1752="","","PC-"&amp;TEXT(A1752,"mm/yyyy")&amp;"-"&amp;TEXT(COUNTIFS($A$2:A1752,"&gt;="&amp;EOMONTH(A1752,-1)+1,$A$2:A1752,"&lt;="&amp;EOMONTH(A1752,0)),"000"))</f>
        <v/>
      </c>
      <c r="C1752" s="5"/>
      <c r="D1752" s="5"/>
      <c r="E1752" s="5"/>
      <c r="F1752" s="5"/>
      <c r="G1752" s="5"/>
      <c r="H1752" s="5"/>
      <c r="I1752" s="6"/>
      <c r="J1752" s="6">
        <f>IF(D1752="Thu",I1752,0)</f>
        <v>0</v>
      </c>
      <c r="K1752" s="6">
        <f>IF(D1752="Chi",I1752,0)</f>
        <v>0</v>
      </c>
      <c r="L1752" s="6">
        <f>L1751+J1752-K1752</f>
        <v>8050118</v>
      </c>
      <c r="M1752" s="6">
        <f ca="1">IFERROR(__xludf.DUMMYFUNCTION("SUM(FILTER(J:J, H:H=""Tiền mặt"")) - SUM(FILTER(K:K, H:H=""Tiền mặt""))
"),959000)</f>
        <v>959000</v>
      </c>
      <c r="N1752" s="6">
        <f ca="1">IFERROR(__xludf.DUMMYFUNCTION("SUM(FILTER(J:J, H:H=""Chuyển khoản"")) - SUM(FILTER(K:K, H:H=""Chuyển khoản""))
"),4468984)</f>
        <v>4468984</v>
      </c>
      <c r="O1752" s="5"/>
      <c r="P1752" s="5"/>
      <c r="Q1752" s="5"/>
      <c r="R1752" s="5"/>
      <c r="S1752" s="5"/>
    </row>
    <row r="1753" spans="1:19" ht="15.75" customHeight="1" x14ac:dyDescent="0.2">
      <c r="A1753" s="3"/>
      <c r="B1753" s="4" t="str">
        <f>IF(A1753="","","PC-"&amp;TEXT(A1753,"mm/yyyy")&amp;"-"&amp;TEXT(COUNTIFS($A$2:A1753,"&gt;="&amp;EOMONTH(A1753,-1)+1,$A$2:A1753,"&lt;="&amp;EOMONTH(A1753,0)),"000"))</f>
        <v/>
      </c>
      <c r="C1753" s="5"/>
      <c r="D1753" s="5"/>
      <c r="E1753" s="5"/>
      <c r="F1753" s="5"/>
      <c r="G1753" s="5"/>
      <c r="H1753" s="5"/>
      <c r="I1753" s="6"/>
      <c r="J1753" s="6">
        <f>IF(D1753="Thu",I1753,0)</f>
        <v>0</v>
      </c>
      <c r="K1753" s="6">
        <f>IF(D1753="Chi",I1753,0)</f>
        <v>0</v>
      </c>
      <c r="L1753" s="6">
        <f>L1752+J1753-K1753</f>
        <v>8050118</v>
      </c>
      <c r="M1753" s="6">
        <f ca="1">IFERROR(__xludf.DUMMYFUNCTION("SUM(FILTER(J:J, H:H=""Tiền mặt"")) - SUM(FILTER(K:K, H:H=""Tiền mặt""))
"),959000)</f>
        <v>959000</v>
      </c>
      <c r="N1753" s="6">
        <f ca="1">IFERROR(__xludf.DUMMYFUNCTION("SUM(FILTER(J:J, H:H=""Chuyển khoản"")) - SUM(FILTER(K:K, H:H=""Chuyển khoản""))
"),4468984)</f>
        <v>4468984</v>
      </c>
      <c r="O1753" s="5"/>
      <c r="P1753" s="5"/>
      <c r="Q1753" s="5"/>
      <c r="R1753" s="5"/>
      <c r="S1753" s="5"/>
    </row>
    <row r="1754" spans="1:19" ht="15.75" customHeight="1" x14ac:dyDescent="0.2">
      <c r="A1754" s="3"/>
      <c r="B1754" s="4" t="str">
        <f>IF(A1754="","","PC-"&amp;TEXT(A1754,"mm/yyyy")&amp;"-"&amp;TEXT(COUNTIFS($A$2:A1754,"&gt;="&amp;EOMONTH(A1754,-1)+1,$A$2:A1754,"&lt;="&amp;EOMONTH(A1754,0)),"000"))</f>
        <v/>
      </c>
      <c r="C1754" s="5"/>
      <c r="D1754" s="5"/>
      <c r="E1754" s="5"/>
      <c r="F1754" s="5"/>
      <c r="G1754" s="5"/>
      <c r="H1754" s="5"/>
      <c r="I1754" s="6"/>
      <c r="J1754" s="6">
        <f>IF(D1754="Thu",I1754,0)</f>
        <v>0</v>
      </c>
      <c r="K1754" s="6">
        <f>IF(D1754="Chi",I1754,0)</f>
        <v>0</v>
      </c>
      <c r="L1754" s="6">
        <f>L1753+J1754-K1754</f>
        <v>8050118</v>
      </c>
      <c r="M1754" s="6">
        <f ca="1">IFERROR(__xludf.DUMMYFUNCTION("SUM(FILTER(J:J, H:H=""Tiền mặt"")) - SUM(FILTER(K:K, H:H=""Tiền mặt""))
"),959000)</f>
        <v>959000</v>
      </c>
      <c r="N1754" s="6">
        <f ca="1">IFERROR(__xludf.DUMMYFUNCTION("SUM(FILTER(J:J, H:H=""Chuyển khoản"")) - SUM(FILTER(K:K, H:H=""Chuyển khoản""))
"),4468984)</f>
        <v>4468984</v>
      </c>
      <c r="O1754" s="5"/>
      <c r="P1754" s="5"/>
      <c r="Q1754" s="5"/>
      <c r="R1754" s="5"/>
      <c r="S1754" s="5"/>
    </row>
    <row r="1755" spans="1:19" ht="15.75" customHeight="1" x14ac:dyDescent="0.2">
      <c r="A1755" s="3"/>
      <c r="B1755" s="4" t="str">
        <f>IF(A1755="","","PC-"&amp;TEXT(A1755,"mm/yyyy")&amp;"-"&amp;TEXT(COUNTIFS($A$2:A1755,"&gt;="&amp;EOMONTH(A1755,-1)+1,$A$2:A1755,"&lt;="&amp;EOMONTH(A1755,0)),"000"))</f>
        <v/>
      </c>
      <c r="C1755" s="5"/>
      <c r="D1755" s="5"/>
      <c r="E1755" s="5"/>
      <c r="F1755" s="5"/>
      <c r="G1755" s="5"/>
      <c r="H1755" s="5"/>
      <c r="I1755" s="6"/>
      <c r="J1755" s="6">
        <f>IF(D1755="Thu",I1755,0)</f>
        <v>0</v>
      </c>
      <c r="K1755" s="6">
        <f>IF(D1755="Chi",I1755,0)</f>
        <v>0</v>
      </c>
      <c r="L1755" s="6">
        <f>L1754+J1755-K1755</f>
        <v>8050118</v>
      </c>
      <c r="M1755" s="6">
        <f ca="1">IFERROR(__xludf.DUMMYFUNCTION("SUM(FILTER(J:J, H:H=""Tiền mặt"")) - SUM(FILTER(K:K, H:H=""Tiền mặt""))
"),959000)</f>
        <v>959000</v>
      </c>
      <c r="N1755" s="6">
        <f ca="1">IFERROR(__xludf.DUMMYFUNCTION("SUM(FILTER(J:J, H:H=""Chuyển khoản"")) - SUM(FILTER(K:K, H:H=""Chuyển khoản""))
"),4468984)</f>
        <v>4468984</v>
      </c>
      <c r="O1755" s="5"/>
      <c r="P1755" s="5"/>
      <c r="Q1755" s="5"/>
      <c r="R1755" s="5"/>
      <c r="S1755" s="5"/>
    </row>
    <row r="1756" spans="1:19" ht="15.75" customHeight="1" x14ac:dyDescent="0.2">
      <c r="A1756" s="3"/>
      <c r="B1756" s="4" t="str">
        <f>IF(A1756="","","PC-"&amp;TEXT(A1756,"mm/yyyy")&amp;"-"&amp;TEXT(COUNTIFS($A$2:A1756,"&gt;="&amp;EOMONTH(A1756,-1)+1,$A$2:A1756,"&lt;="&amp;EOMONTH(A1756,0)),"000"))</f>
        <v/>
      </c>
      <c r="C1756" s="5"/>
      <c r="D1756" s="5"/>
      <c r="E1756" s="5"/>
      <c r="F1756" s="5"/>
      <c r="G1756" s="5"/>
      <c r="H1756" s="5"/>
      <c r="I1756" s="6"/>
      <c r="J1756" s="6">
        <f>IF(D1756="Thu",I1756,0)</f>
        <v>0</v>
      </c>
      <c r="K1756" s="6">
        <f>IF(D1756="Chi",I1756,0)</f>
        <v>0</v>
      </c>
      <c r="L1756" s="6">
        <f>L1755+J1756-K1756</f>
        <v>8050118</v>
      </c>
      <c r="M1756" s="6">
        <f ca="1">IFERROR(__xludf.DUMMYFUNCTION("SUM(FILTER(J:J, H:H=""Tiền mặt"")) - SUM(FILTER(K:K, H:H=""Tiền mặt""))
"),959000)</f>
        <v>959000</v>
      </c>
      <c r="N1756" s="6">
        <f ca="1">IFERROR(__xludf.DUMMYFUNCTION("SUM(FILTER(J:J, H:H=""Chuyển khoản"")) - SUM(FILTER(K:K, H:H=""Chuyển khoản""))
"),4468984)</f>
        <v>4468984</v>
      </c>
      <c r="O1756" s="5"/>
      <c r="P1756" s="5"/>
      <c r="Q1756" s="5"/>
      <c r="R1756" s="5"/>
      <c r="S1756" s="5"/>
    </row>
    <row r="1757" spans="1:19" ht="15.75" customHeight="1" x14ac:dyDescent="0.2">
      <c r="A1757" s="3"/>
      <c r="B1757" s="4" t="str">
        <f>IF(A1757="","","PC-"&amp;TEXT(A1757,"mm/yyyy")&amp;"-"&amp;TEXT(COUNTIFS($A$2:A1757,"&gt;="&amp;EOMONTH(A1757,-1)+1,$A$2:A1757,"&lt;="&amp;EOMONTH(A1757,0)),"000"))</f>
        <v/>
      </c>
      <c r="C1757" s="5"/>
      <c r="D1757" s="5"/>
      <c r="E1757" s="5"/>
      <c r="F1757" s="5"/>
      <c r="G1757" s="5"/>
      <c r="H1757" s="5"/>
      <c r="I1757" s="6"/>
      <c r="J1757" s="6">
        <f>IF(D1757="Thu",I1757,0)</f>
        <v>0</v>
      </c>
      <c r="K1757" s="6">
        <f>IF(D1757="Chi",I1757,0)</f>
        <v>0</v>
      </c>
      <c r="L1757" s="6">
        <f>L1756+J1757-K1757</f>
        <v>8050118</v>
      </c>
      <c r="M1757" s="6">
        <f ca="1">IFERROR(__xludf.DUMMYFUNCTION("SUM(FILTER(J:J, H:H=""Tiền mặt"")) - SUM(FILTER(K:K, H:H=""Tiền mặt""))
"),959000)</f>
        <v>959000</v>
      </c>
      <c r="N1757" s="6">
        <f ca="1">IFERROR(__xludf.DUMMYFUNCTION("SUM(FILTER(J:J, H:H=""Chuyển khoản"")) - SUM(FILTER(K:K, H:H=""Chuyển khoản""))
"),4468984)</f>
        <v>4468984</v>
      </c>
      <c r="O1757" s="5"/>
      <c r="P1757" s="5"/>
      <c r="Q1757" s="5"/>
      <c r="R1757" s="5"/>
      <c r="S1757" s="5"/>
    </row>
    <row r="1758" spans="1:19" ht="15.75" customHeight="1" x14ac:dyDescent="0.2">
      <c r="A1758" s="3"/>
      <c r="B1758" s="4" t="str">
        <f>IF(A1758="","","PC-"&amp;TEXT(A1758,"mm/yyyy")&amp;"-"&amp;TEXT(COUNTIFS($A$2:A1758,"&gt;="&amp;EOMONTH(A1758,-1)+1,$A$2:A1758,"&lt;="&amp;EOMONTH(A1758,0)),"000"))</f>
        <v/>
      </c>
      <c r="C1758" s="5"/>
      <c r="D1758" s="5"/>
      <c r="E1758" s="5"/>
      <c r="F1758" s="5"/>
      <c r="G1758" s="5"/>
      <c r="H1758" s="5"/>
      <c r="I1758" s="6"/>
      <c r="J1758" s="6">
        <f>IF(D1758="Thu",I1758,0)</f>
        <v>0</v>
      </c>
      <c r="K1758" s="6">
        <f>IF(D1758="Chi",I1758,0)</f>
        <v>0</v>
      </c>
      <c r="L1758" s="6">
        <f>L1757+J1758-K1758</f>
        <v>8050118</v>
      </c>
      <c r="M1758" s="6">
        <f ca="1">IFERROR(__xludf.DUMMYFUNCTION("SUM(FILTER(J:J, H:H=""Tiền mặt"")) - SUM(FILTER(K:K, H:H=""Tiền mặt""))
"),959000)</f>
        <v>959000</v>
      </c>
      <c r="N1758" s="6">
        <f ca="1">IFERROR(__xludf.DUMMYFUNCTION("SUM(FILTER(J:J, H:H=""Chuyển khoản"")) - SUM(FILTER(K:K, H:H=""Chuyển khoản""))
"),4468984)</f>
        <v>4468984</v>
      </c>
      <c r="O1758" s="5"/>
      <c r="P1758" s="5"/>
      <c r="Q1758" s="5"/>
      <c r="R1758" s="5"/>
      <c r="S1758" s="5"/>
    </row>
    <row r="1759" spans="1:19" ht="15.75" customHeight="1" x14ac:dyDescent="0.2">
      <c r="A1759" s="3"/>
      <c r="B1759" s="4" t="str">
        <f>IF(A1759="","","PC-"&amp;TEXT(A1759,"mm/yyyy")&amp;"-"&amp;TEXT(COUNTIFS($A$2:A1759,"&gt;="&amp;EOMONTH(A1759,-1)+1,$A$2:A1759,"&lt;="&amp;EOMONTH(A1759,0)),"000"))</f>
        <v/>
      </c>
      <c r="C1759" s="5"/>
      <c r="D1759" s="5"/>
      <c r="E1759" s="5"/>
      <c r="F1759" s="5"/>
      <c r="G1759" s="5"/>
      <c r="H1759" s="5"/>
      <c r="I1759" s="6"/>
      <c r="J1759" s="6">
        <f>IF(D1759="Thu",I1759,0)</f>
        <v>0</v>
      </c>
      <c r="K1759" s="6">
        <f>IF(D1759="Chi",I1759,0)</f>
        <v>0</v>
      </c>
      <c r="L1759" s="6">
        <f>L1758+J1759-K1759</f>
        <v>8050118</v>
      </c>
      <c r="M1759" s="6">
        <f ca="1">IFERROR(__xludf.DUMMYFUNCTION("SUM(FILTER(J:J, H:H=""Tiền mặt"")) - SUM(FILTER(K:K, H:H=""Tiền mặt""))
"),959000)</f>
        <v>959000</v>
      </c>
      <c r="N1759" s="6">
        <f ca="1">IFERROR(__xludf.DUMMYFUNCTION("SUM(FILTER(J:J, H:H=""Chuyển khoản"")) - SUM(FILTER(K:K, H:H=""Chuyển khoản""))
"),4468984)</f>
        <v>4468984</v>
      </c>
      <c r="O1759" s="5"/>
      <c r="P1759" s="5"/>
      <c r="Q1759" s="5"/>
      <c r="R1759" s="5"/>
      <c r="S1759" s="5"/>
    </row>
    <row r="1760" spans="1:19" ht="15.75" customHeight="1" x14ac:dyDescent="0.2">
      <c r="A1760" s="3"/>
      <c r="B1760" s="4" t="str">
        <f>IF(A1760="","","PC-"&amp;TEXT(A1760,"mm/yyyy")&amp;"-"&amp;TEXT(COUNTIFS($A$2:A1760,"&gt;="&amp;EOMONTH(A1760,-1)+1,$A$2:A1760,"&lt;="&amp;EOMONTH(A1760,0)),"000"))</f>
        <v/>
      </c>
      <c r="C1760" s="5"/>
      <c r="D1760" s="5"/>
      <c r="E1760" s="5"/>
      <c r="F1760" s="5"/>
      <c r="G1760" s="5"/>
      <c r="H1760" s="5"/>
      <c r="I1760" s="6"/>
      <c r="J1760" s="6">
        <f>IF(D1760="Thu",I1760,0)</f>
        <v>0</v>
      </c>
      <c r="K1760" s="6">
        <f>IF(D1760="Chi",I1760,0)</f>
        <v>0</v>
      </c>
      <c r="L1760" s="6">
        <f>L1759+J1760-K1760</f>
        <v>8050118</v>
      </c>
      <c r="M1760" s="6">
        <f ca="1">IFERROR(__xludf.DUMMYFUNCTION("SUM(FILTER(J:J, H:H=""Tiền mặt"")) - SUM(FILTER(K:K, H:H=""Tiền mặt""))
"),959000)</f>
        <v>959000</v>
      </c>
      <c r="N1760" s="6">
        <f ca="1">IFERROR(__xludf.DUMMYFUNCTION("SUM(FILTER(J:J, H:H=""Chuyển khoản"")) - SUM(FILTER(K:K, H:H=""Chuyển khoản""))
"),4468984)</f>
        <v>4468984</v>
      </c>
      <c r="O1760" s="5"/>
      <c r="P1760" s="5"/>
      <c r="Q1760" s="5"/>
      <c r="R1760" s="5"/>
      <c r="S1760" s="5"/>
    </row>
    <row r="1761" spans="1:19" ht="15.75" customHeight="1" x14ac:dyDescent="0.2">
      <c r="A1761" s="3"/>
      <c r="B1761" s="4" t="str">
        <f>IF(A1761="","","PC-"&amp;TEXT(A1761,"mm/yyyy")&amp;"-"&amp;TEXT(COUNTIFS($A$2:A1761,"&gt;="&amp;EOMONTH(A1761,-1)+1,$A$2:A1761,"&lt;="&amp;EOMONTH(A1761,0)),"000"))</f>
        <v/>
      </c>
      <c r="C1761" s="5"/>
      <c r="D1761" s="5"/>
      <c r="E1761" s="5"/>
      <c r="F1761" s="5"/>
      <c r="G1761" s="5"/>
      <c r="H1761" s="5"/>
      <c r="I1761" s="6"/>
      <c r="J1761" s="6">
        <f>IF(D1761="Thu",I1761,0)</f>
        <v>0</v>
      </c>
      <c r="K1761" s="6">
        <f>IF(D1761="Chi",I1761,0)</f>
        <v>0</v>
      </c>
      <c r="L1761" s="6">
        <f>L1760+J1761-K1761</f>
        <v>8050118</v>
      </c>
      <c r="M1761" s="6">
        <f ca="1">IFERROR(__xludf.DUMMYFUNCTION("SUM(FILTER(J:J, H:H=""Tiền mặt"")) - SUM(FILTER(K:K, H:H=""Tiền mặt""))
"),959000)</f>
        <v>959000</v>
      </c>
      <c r="N1761" s="6">
        <f ca="1">IFERROR(__xludf.DUMMYFUNCTION("SUM(FILTER(J:J, H:H=""Chuyển khoản"")) - SUM(FILTER(K:K, H:H=""Chuyển khoản""))
"),4468984)</f>
        <v>4468984</v>
      </c>
      <c r="O1761" s="5"/>
      <c r="P1761" s="5"/>
      <c r="Q1761" s="5"/>
      <c r="R1761" s="5"/>
      <c r="S1761" s="5"/>
    </row>
    <row r="1762" spans="1:19" ht="15.75" customHeight="1" x14ac:dyDescent="0.2">
      <c r="A1762" s="3"/>
      <c r="B1762" s="4" t="str">
        <f>IF(A1762="","","PC-"&amp;TEXT(A1762,"mm/yyyy")&amp;"-"&amp;TEXT(COUNTIFS($A$2:A1762,"&gt;="&amp;EOMONTH(A1762,-1)+1,$A$2:A1762,"&lt;="&amp;EOMONTH(A1762,0)),"000"))</f>
        <v/>
      </c>
      <c r="C1762" s="5"/>
      <c r="D1762" s="5"/>
      <c r="E1762" s="5"/>
      <c r="F1762" s="5"/>
      <c r="G1762" s="5"/>
      <c r="H1762" s="5"/>
      <c r="I1762" s="6"/>
      <c r="J1762" s="6">
        <f>IF(D1762="Thu",I1762,0)</f>
        <v>0</v>
      </c>
      <c r="K1762" s="6">
        <f>IF(D1762="Chi",I1762,0)</f>
        <v>0</v>
      </c>
      <c r="L1762" s="6">
        <f>L1761+J1762-K1762</f>
        <v>8050118</v>
      </c>
      <c r="M1762" s="6">
        <f ca="1">IFERROR(__xludf.DUMMYFUNCTION("SUM(FILTER(J:J, H:H=""Tiền mặt"")) - SUM(FILTER(K:K, H:H=""Tiền mặt""))
"),959000)</f>
        <v>959000</v>
      </c>
      <c r="N1762" s="6">
        <f ca="1">IFERROR(__xludf.DUMMYFUNCTION("SUM(FILTER(J:J, H:H=""Chuyển khoản"")) - SUM(FILTER(K:K, H:H=""Chuyển khoản""))
"),4468984)</f>
        <v>4468984</v>
      </c>
      <c r="O1762" s="5"/>
      <c r="P1762" s="5"/>
      <c r="Q1762" s="5"/>
      <c r="R1762" s="5"/>
      <c r="S1762" s="5"/>
    </row>
    <row r="1763" spans="1:19" ht="15.75" customHeight="1" x14ac:dyDescent="0.2">
      <c r="A1763" s="3"/>
      <c r="B1763" s="4" t="str">
        <f>IF(A1763="","","PC-"&amp;TEXT(A1763,"mm/yyyy")&amp;"-"&amp;TEXT(COUNTIFS($A$2:A1763,"&gt;="&amp;EOMONTH(A1763,-1)+1,$A$2:A1763,"&lt;="&amp;EOMONTH(A1763,0)),"000"))</f>
        <v/>
      </c>
      <c r="C1763" s="5"/>
      <c r="D1763" s="5"/>
      <c r="E1763" s="5"/>
      <c r="F1763" s="5"/>
      <c r="G1763" s="5"/>
      <c r="H1763" s="5"/>
      <c r="I1763" s="6"/>
      <c r="J1763" s="6">
        <f>IF(D1763="Thu",I1763,0)</f>
        <v>0</v>
      </c>
      <c r="K1763" s="6">
        <f>IF(D1763="Chi",I1763,0)</f>
        <v>0</v>
      </c>
      <c r="L1763" s="6">
        <f>L1762+J1763-K1763</f>
        <v>8050118</v>
      </c>
      <c r="M1763" s="6">
        <f ca="1">IFERROR(__xludf.DUMMYFUNCTION("SUM(FILTER(J:J, H:H=""Tiền mặt"")) - SUM(FILTER(K:K, H:H=""Tiền mặt""))
"),959000)</f>
        <v>959000</v>
      </c>
      <c r="N1763" s="6">
        <f ca="1">IFERROR(__xludf.DUMMYFUNCTION("SUM(FILTER(J:J, H:H=""Chuyển khoản"")) - SUM(FILTER(K:K, H:H=""Chuyển khoản""))
"),4468984)</f>
        <v>4468984</v>
      </c>
      <c r="O1763" s="5"/>
      <c r="P1763" s="5"/>
      <c r="Q1763" s="5"/>
      <c r="R1763" s="5"/>
      <c r="S1763" s="5"/>
    </row>
    <row r="1764" spans="1:19" ht="15.75" customHeight="1" x14ac:dyDescent="0.2">
      <c r="A1764" s="3"/>
      <c r="B1764" s="4" t="str">
        <f>IF(A1764="","","PC-"&amp;TEXT(A1764,"mm/yyyy")&amp;"-"&amp;TEXT(COUNTIFS($A$2:A1764,"&gt;="&amp;EOMONTH(A1764,-1)+1,$A$2:A1764,"&lt;="&amp;EOMONTH(A1764,0)),"000"))</f>
        <v/>
      </c>
      <c r="C1764" s="5"/>
      <c r="D1764" s="5"/>
      <c r="E1764" s="5"/>
      <c r="F1764" s="5"/>
      <c r="G1764" s="5"/>
      <c r="H1764" s="5"/>
      <c r="I1764" s="6"/>
      <c r="J1764" s="6">
        <f>IF(D1764="Thu",I1764,0)</f>
        <v>0</v>
      </c>
      <c r="K1764" s="6">
        <f>IF(D1764="Chi",I1764,0)</f>
        <v>0</v>
      </c>
      <c r="L1764" s="6">
        <f>L1763+J1764-K1764</f>
        <v>8050118</v>
      </c>
      <c r="M1764" s="6">
        <f ca="1">IFERROR(__xludf.DUMMYFUNCTION("SUM(FILTER(J:J, H:H=""Tiền mặt"")) - SUM(FILTER(K:K, H:H=""Tiền mặt""))
"),959000)</f>
        <v>959000</v>
      </c>
      <c r="N1764" s="6">
        <f ca="1">IFERROR(__xludf.DUMMYFUNCTION("SUM(FILTER(J:J, H:H=""Chuyển khoản"")) - SUM(FILTER(K:K, H:H=""Chuyển khoản""))
"),4468984)</f>
        <v>4468984</v>
      </c>
      <c r="O1764" s="5"/>
      <c r="P1764" s="5"/>
      <c r="Q1764" s="5"/>
      <c r="R1764" s="5"/>
      <c r="S1764" s="5"/>
    </row>
    <row r="1765" spans="1:19" ht="15.75" customHeight="1" x14ac:dyDescent="0.2">
      <c r="A1765" s="3"/>
      <c r="B1765" s="4" t="str">
        <f>IF(A1765="","","PC-"&amp;TEXT(A1765,"mm/yyyy")&amp;"-"&amp;TEXT(COUNTIFS($A$2:A1765,"&gt;="&amp;EOMONTH(A1765,-1)+1,$A$2:A1765,"&lt;="&amp;EOMONTH(A1765,0)),"000"))</f>
        <v/>
      </c>
      <c r="C1765" s="5"/>
      <c r="D1765" s="5"/>
      <c r="E1765" s="5"/>
      <c r="F1765" s="5"/>
      <c r="G1765" s="5"/>
      <c r="H1765" s="5"/>
      <c r="I1765" s="6"/>
      <c r="J1765" s="6">
        <f>IF(D1765="Thu",I1765,0)</f>
        <v>0</v>
      </c>
      <c r="K1765" s="6">
        <f>IF(D1765="Chi",I1765,0)</f>
        <v>0</v>
      </c>
      <c r="L1765" s="6">
        <f>L1764+J1765-K1765</f>
        <v>8050118</v>
      </c>
      <c r="M1765" s="6">
        <f ca="1">IFERROR(__xludf.DUMMYFUNCTION("SUM(FILTER(J:J, H:H=""Tiền mặt"")) - SUM(FILTER(K:K, H:H=""Tiền mặt""))
"),959000)</f>
        <v>959000</v>
      </c>
      <c r="N1765" s="6">
        <f ca="1">IFERROR(__xludf.DUMMYFUNCTION("SUM(FILTER(J:J, H:H=""Chuyển khoản"")) - SUM(FILTER(K:K, H:H=""Chuyển khoản""))
"),4468984)</f>
        <v>4468984</v>
      </c>
      <c r="O1765" s="5"/>
      <c r="P1765" s="5"/>
      <c r="Q1765" s="5"/>
      <c r="R1765" s="5"/>
      <c r="S1765" s="5"/>
    </row>
    <row r="1766" spans="1:19" ht="15.75" customHeight="1" x14ac:dyDescent="0.2">
      <c r="A1766" s="3"/>
      <c r="B1766" s="4" t="str">
        <f>IF(A1766="","","PC-"&amp;TEXT(A1766,"mm/yyyy")&amp;"-"&amp;TEXT(COUNTIFS($A$2:A1766,"&gt;="&amp;EOMONTH(A1766,-1)+1,$A$2:A1766,"&lt;="&amp;EOMONTH(A1766,0)),"000"))</f>
        <v/>
      </c>
      <c r="C1766" s="5"/>
      <c r="D1766" s="5"/>
      <c r="E1766" s="5"/>
      <c r="F1766" s="5"/>
      <c r="G1766" s="5"/>
      <c r="H1766" s="5"/>
      <c r="I1766" s="6"/>
      <c r="J1766" s="6">
        <f>IF(D1766="Thu",I1766,0)</f>
        <v>0</v>
      </c>
      <c r="K1766" s="6">
        <f>IF(D1766="Chi",I1766,0)</f>
        <v>0</v>
      </c>
      <c r="L1766" s="6">
        <f>L1765+J1766-K1766</f>
        <v>8050118</v>
      </c>
      <c r="M1766" s="6">
        <f ca="1">IFERROR(__xludf.DUMMYFUNCTION("SUM(FILTER(J:J, H:H=""Tiền mặt"")) - SUM(FILTER(K:K, H:H=""Tiền mặt""))
"),959000)</f>
        <v>959000</v>
      </c>
      <c r="N1766" s="6">
        <f ca="1">IFERROR(__xludf.DUMMYFUNCTION("SUM(FILTER(J:J, H:H=""Chuyển khoản"")) - SUM(FILTER(K:K, H:H=""Chuyển khoản""))
"),4468984)</f>
        <v>4468984</v>
      </c>
      <c r="O1766" s="5"/>
      <c r="P1766" s="5"/>
      <c r="Q1766" s="5"/>
      <c r="R1766" s="5"/>
      <c r="S1766" s="5"/>
    </row>
    <row r="1767" spans="1:19" ht="15.75" customHeight="1" x14ac:dyDescent="0.2">
      <c r="A1767" s="3"/>
      <c r="B1767" s="4" t="str">
        <f>IF(A1767="","","PC-"&amp;TEXT(A1767,"mm/yyyy")&amp;"-"&amp;TEXT(COUNTIFS($A$2:A1767,"&gt;="&amp;EOMONTH(A1767,-1)+1,$A$2:A1767,"&lt;="&amp;EOMONTH(A1767,0)),"000"))</f>
        <v/>
      </c>
      <c r="C1767" s="5"/>
      <c r="D1767" s="5"/>
      <c r="E1767" s="5"/>
      <c r="F1767" s="5"/>
      <c r="G1767" s="5"/>
      <c r="H1767" s="5"/>
      <c r="I1767" s="6"/>
      <c r="J1767" s="6">
        <f>IF(D1767="Thu",I1767,0)</f>
        <v>0</v>
      </c>
      <c r="K1767" s="6">
        <f>IF(D1767="Chi",I1767,0)</f>
        <v>0</v>
      </c>
      <c r="L1767" s="6">
        <f>L1766+J1767-K1767</f>
        <v>8050118</v>
      </c>
      <c r="M1767" s="6">
        <f ca="1">IFERROR(__xludf.DUMMYFUNCTION("SUM(FILTER(J:J, H:H=""Tiền mặt"")) - SUM(FILTER(K:K, H:H=""Tiền mặt""))
"),959000)</f>
        <v>959000</v>
      </c>
      <c r="N1767" s="6">
        <f ca="1">IFERROR(__xludf.DUMMYFUNCTION("SUM(FILTER(J:J, H:H=""Chuyển khoản"")) - SUM(FILTER(K:K, H:H=""Chuyển khoản""))
"),4468984)</f>
        <v>4468984</v>
      </c>
      <c r="O1767" s="5"/>
      <c r="P1767" s="5"/>
      <c r="Q1767" s="5"/>
      <c r="R1767" s="5"/>
      <c r="S1767" s="5"/>
    </row>
    <row r="1768" spans="1:19" ht="15.75" customHeight="1" x14ac:dyDescent="0.2">
      <c r="A1768" s="3"/>
      <c r="B1768" s="4" t="str">
        <f>IF(A1768="","","PC-"&amp;TEXT(A1768,"mm/yyyy")&amp;"-"&amp;TEXT(COUNTIFS($A$2:A1768,"&gt;="&amp;EOMONTH(A1768,-1)+1,$A$2:A1768,"&lt;="&amp;EOMONTH(A1768,0)),"000"))</f>
        <v/>
      </c>
      <c r="C1768" s="5"/>
      <c r="D1768" s="5"/>
      <c r="E1768" s="5"/>
      <c r="F1768" s="5"/>
      <c r="G1768" s="5"/>
      <c r="H1768" s="5"/>
      <c r="I1768" s="6"/>
      <c r="J1768" s="6">
        <f>IF(D1768="Thu",I1768,0)</f>
        <v>0</v>
      </c>
      <c r="K1768" s="6">
        <f>IF(D1768="Chi",I1768,0)</f>
        <v>0</v>
      </c>
      <c r="L1768" s="6">
        <f>L1767+J1768-K1768</f>
        <v>8050118</v>
      </c>
      <c r="M1768" s="6">
        <f ca="1">IFERROR(__xludf.DUMMYFUNCTION("SUM(FILTER(J:J, H:H=""Tiền mặt"")) - SUM(FILTER(K:K, H:H=""Tiền mặt""))
"),959000)</f>
        <v>959000</v>
      </c>
      <c r="N1768" s="6">
        <f ca="1">IFERROR(__xludf.DUMMYFUNCTION("SUM(FILTER(J:J, H:H=""Chuyển khoản"")) - SUM(FILTER(K:K, H:H=""Chuyển khoản""))
"),4468984)</f>
        <v>4468984</v>
      </c>
      <c r="O1768" s="5"/>
      <c r="P1768" s="5"/>
      <c r="Q1768" s="5"/>
      <c r="R1768" s="5"/>
      <c r="S1768" s="5"/>
    </row>
    <row r="1769" spans="1:19" ht="15.75" customHeight="1" x14ac:dyDescent="0.2">
      <c r="A1769" s="3"/>
      <c r="B1769" s="4" t="str">
        <f>IF(A1769="","","PC-"&amp;TEXT(A1769,"mm/yyyy")&amp;"-"&amp;TEXT(COUNTIFS($A$2:A1769,"&gt;="&amp;EOMONTH(A1769,-1)+1,$A$2:A1769,"&lt;="&amp;EOMONTH(A1769,0)),"000"))</f>
        <v/>
      </c>
      <c r="C1769" s="5"/>
      <c r="D1769" s="5"/>
      <c r="E1769" s="5"/>
      <c r="F1769" s="5"/>
      <c r="G1769" s="5"/>
      <c r="H1769" s="5"/>
      <c r="I1769" s="6"/>
      <c r="J1769" s="6">
        <f>IF(D1769="Thu",I1769,0)</f>
        <v>0</v>
      </c>
      <c r="K1769" s="6">
        <f>IF(D1769="Chi",I1769,0)</f>
        <v>0</v>
      </c>
      <c r="L1769" s="6">
        <f>L1768+J1769-K1769</f>
        <v>8050118</v>
      </c>
      <c r="M1769" s="6">
        <f ca="1">IFERROR(__xludf.DUMMYFUNCTION("SUM(FILTER(J:J, H:H=""Tiền mặt"")) - SUM(FILTER(K:K, H:H=""Tiền mặt""))
"),959000)</f>
        <v>959000</v>
      </c>
      <c r="N1769" s="6">
        <f ca="1">IFERROR(__xludf.DUMMYFUNCTION("SUM(FILTER(J:J, H:H=""Chuyển khoản"")) - SUM(FILTER(K:K, H:H=""Chuyển khoản""))
"),4468984)</f>
        <v>4468984</v>
      </c>
      <c r="O1769" s="5"/>
      <c r="P1769" s="5"/>
      <c r="Q1769" s="5"/>
      <c r="R1769" s="5"/>
      <c r="S1769" s="5"/>
    </row>
    <row r="1770" spans="1:19" ht="15.75" customHeight="1" x14ac:dyDescent="0.2">
      <c r="A1770" s="3"/>
      <c r="B1770" s="4" t="str">
        <f>IF(A1770="","","PC-"&amp;TEXT(A1770,"mm/yyyy")&amp;"-"&amp;TEXT(COUNTIFS($A$2:A1770,"&gt;="&amp;EOMONTH(A1770,-1)+1,$A$2:A1770,"&lt;="&amp;EOMONTH(A1770,0)),"000"))</f>
        <v/>
      </c>
      <c r="C1770" s="5"/>
      <c r="D1770" s="5"/>
      <c r="E1770" s="5"/>
      <c r="F1770" s="5"/>
      <c r="G1770" s="5"/>
      <c r="H1770" s="5"/>
      <c r="I1770" s="6"/>
      <c r="J1770" s="6">
        <f>IF(D1770="Thu",I1770,0)</f>
        <v>0</v>
      </c>
      <c r="K1770" s="6">
        <f>IF(D1770="Chi",I1770,0)</f>
        <v>0</v>
      </c>
      <c r="L1770" s="6">
        <f>L1769+J1770-K1770</f>
        <v>8050118</v>
      </c>
      <c r="M1770" s="6">
        <f ca="1">IFERROR(__xludf.DUMMYFUNCTION("SUM(FILTER(J:J, H:H=""Tiền mặt"")) - SUM(FILTER(K:K, H:H=""Tiền mặt""))
"),959000)</f>
        <v>959000</v>
      </c>
      <c r="N1770" s="6">
        <f ca="1">IFERROR(__xludf.DUMMYFUNCTION("SUM(FILTER(J:J, H:H=""Chuyển khoản"")) - SUM(FILTER(K:K, H:H=""Chuyển khoản""))
"),4468984)</f>
        <v>4468984</v>
      </c>
      <c r="O1770" s="5"/>
      <c r="P1770" s="5"/>
      <c r="Q1770" s="5"/>
      <c r="R1770" s="5"/>
      <c r="S1770" s="5"/>
    </row>
    <row r="1771" spans="1:19" ht="15.75" customHeight="1" x14ac:dyDescent="0.2">
      <c r="A1771" s="3"/>
      <c r="B1771" s="4" t="str">
        <f>IF(A1771="","","PC-"&amp;TEXT(A1771,"mm/yyyy")&amp;"-"&amp;TEXT(COUNTIFS($A$2:A1771,"&gt;="&amp;EOMONTH(A1771,-1)+1,$A$2:A1771,"&lt;="&amp;EOMONTH(A1771,0)),"000"))</f>
        <v/>
      </c>
      <c r="C1771" s="5"/>
      <c r="D1771" s="5"/>
      <c r="E1771" s="5"/>
      <c r="F1771" s="5"/>
      <c r="G1771" s="5"/>
      <c r="H1771" s="5"/>
      <c r="I1771" s="6"/>
      <c r="J1771" s="6">
        <f>IF(D1771="Thu",I1771,0)</f>
        <v>0</v>
      </c>
      <c r="K1771" s="6">
        <f>IF(D1771="Chi",I1771,0)</f>
        <v>0</v>
      </c>
      <c r="L1771" s="6">
        <f>L1770+J1771-K1771</f>
        <v>8050118</v>
      </c>
      <c r="M1771" s="6">
        <f ca="1">IFERROR(__xludf.DUMMYFUNCTION("SUM(FILTER(J:J, H:H=""Tiền mặt"")) - SUM(FILTER(K:K, H:H=""Tiền mặt""))
"),959000)</f>
        <v>959000</v>
      </c>
      <c r="N1771" s="6">
        <f ca="1">IFERROR(__xludf.DUMMYFUNCTION("SUM(FILTER(J:J, H:H=""Chuyển khoản"")) - SUM(FILTER(K:K, H:H=""Chuyển khoản""))
"),4468984)</f>
        <v>4468984</v>
      </c>
      <c r="O1771" s="5"/>
      <c r="P1771" s="5"/>
      <c r="Q1771" s="5"/>
      <c r="R1771" s="5"/>
      <c r="S1771" s="5"/>
    </row>
    <row r="1772" spans="1:19" ht="15.75" customHeight="1" x14ac:dyDescent="0.2">
      <c r="A1772" s="3"/>
      <c r="B1772" s="4" t="str">
        <f>IF(A1772="","","PC-"&amp;TEXT(A1772,"mm/yyyy")&amp;"-"&amp;TEXT(COUNTIFS($A$2:A1772,"&gt;="&amp;EOMONTH(A1772,-1)+1,$A$2:A1772,"&lt;="&amp;EOMONTH(A1772,0)),"000"))</f>
        <v/>
      </c>
      <c r="C1772" s="5"/>
      <c r="D1772" s="5"/>
      <c r="E1772" s="5"/>
      <c r="F1772" s="5"/>
      <c r="G1772" s="5"/>
      <c r="H1772" s="5"/>
      <c r="I1772" s="6"/>
      <c r="J1772" s="6">
        <f>IF(D1772="Thu",I1772,0)</f>
        <v>0</v>
      </c>
      <c r="K1772" s="6">
        <f>IF(D1772="Chi",I1772,0)</f>
        <v>0</v>
      </c>
      <c r="L1772" s="6">
        <f>L1771+J1772-K1772</f>
        <v>8050118</v>
      </c>
      <c r="M1772" s="6">
        <f ca="1">IFERROR(__xludf.DUMMYFUNCTION("SUM(FILTER(J:J, H:H=""Tiền mặt"")) - SUM(FILTER(K:K, H:H=""Tiền mặt""))
"),959000)</f>
        <v>959000</v>
      </c>
      <c r="N1772" s="6">
        <f ca="1">IFERROR(__xludf.DUMMYFUNCTION("SUM(FILTER(J:J, H:H=""Chuyển khoản"")) - SUM(FILTER(K:K, H:H=""Chuyển khoản""))
"),4468984)</f>
        <v>4468984</v>
      </c>
      <c r="O1772" s="5"/>
      <c r="P1772" s="5"/>
      <c r="Q1772" s="5"/>
      <c r="R1772" s="5"/>
      <c r="S1772" s="5"/>
    </row>
    <row r="1773" spans="1:19" ht="15.75" customHeight="1" x14ac:dyDescent="0.2">
      <c r="A1773" s="3"/>
      <c r="B1773" s="4" t="str">
        <f>IF(A1773="","","PC-"&amp;TEXT(A1773,"mm/yyyy")&amp;"-"&amp;TEXT(COUNTIFS($A$2:A1773,"&gt;="&amp;EOMONTH(A1773,-1)+1,$A$2:A1773,"&lt;="&amp;EOMONTH(A1773,0)),"000"))</f>
        <v/>
      </c>
      <c r="C1773" s="5"/>
      <c r="D1773" s="5"/>
      <c r="E1773" s="5"/>
      <c r="F1773" s="5"/>
      <c r="G1773" s="5"/>
      <c r="H1773" s="5"/>
      <c r="I1773" s="6"/>
      <c r="J1773" s="6">
        <f>IF(D1773="Thu",I1773,0)</f>
        <v>0</v>
      </c>
      <c r="K1773" s="6">
        <f>IF(D1773="Chi",I1773,0)</f>
        <v>0</v>
      </c>
      <c r="L1773" s="6">
        <f>L1772+J1773-K1773</f>
        <v>8050118</v>
      </c>
      <c r="M1773" s="6">
        <f ca="1">IFERROR(__xludf.DUMMYFUNCTION("SUM(FILTER(J:J, H:H=""Tiền mặt"")) - SUM(FILTER(K:K, H:H=""Tiền mặt""))
"),959000)</f>
        <v>959000</v>
      </c>
      <c r="N1773" s="6">
        <f ca="1">IFERROR(__xludf.DUMMYFUNCTION("SUM(FILTER(J:J, H:H=""Chuyển khoản"")) - SUM(FILTER(K:K, H:H=""Chuyển khoản""))
"),4468984)</f>
        <v>4468984</v>
      </c>
      <c r="O1773" s="5"/>
      <c r="P1773" s="5"/>
      <c r="Q1773" s="5"/>
      <c r="R1773" s="5"/>
      <c r="S1773" s="5"/>
    </row>
    <row r="1774" spans="1:19" ht="15.75" customHeight="1" x14ac:dyDescent="0.2">
      <c r="A1774" s="3"/>
      <c r="B1774" s="4" t="str">
        <f>IF(A1774="","","PC-"&amp;TEXT(A1774,"mm/yyyy")&amp;"-"&amp;TEXT(COUNTIFS($A$2:A1774,"&gt;="&amp;EOMONTH(A1774,-1)+1,$A$2:A1774,"&lt;="&amp;EOMONTH(A1774,0)),"000"))</f>
        <v/>
      </c>
      <c r="C1774" s="5"/>
      <c r="D1774" s="5"/>
      <c r="E1774" s="5"/>
      <c r="F1774" s="5"/>
      <c r="G1774" s="5"/>
      <c r="H1774" s="5"/>
      <c r="I1774" s="6"/>
      <c r="J1774" s="6">
        <f>IF(D1774="Thu",I1774,0)</f>
        <v>0</v>
      </c>
      <c r="K1774" s="6">
        <f>IF(D1774="Chi",I1774,0)</f>
        <v>0</v>
      </c>
      <c r="L1774" s="6">
        <f>L1773+J1774-K1774</f>
        <v>8050118</v>
      </c>
      <c r="M1774" s="6">
        <f ca="1">IFERROR(__xludf.DUMMYFUNCTION("SUM(FILTER(J:J, H:H=""Tiền mặt"")) - SUM(FILTER(K:K, H:H=""Tiền mặt""))
"),959000)</f>
        <v>959000</v>
      </c>
      <c r="N1774" s="6">
        <f ca="1">IFERROR(__xludf.DUMMYFUNCTION("SUM(FILTER(J:J, H:H=""Chuyển khoản"")) - SUM(FILTER(K:K, H:H=""Chuyển khoản""))
"),4468984)</f>
        <v>4468984</v>
      </c>
      <c r="O1774" s="5"/>
      <c r="P1774" s="5"/>
      <c r="Q1774" s="5"/>
      <c r="R1774" s="5"/>
      <c r="S1774" s="5"/>
    </row>
    <row r="1775" spans="1:19" ht="15.75" customHeight="1" x14ac:dyDescent="0.2">
      <c r="A1775" s="3"/>
      <c r="B1775" s="4" t="str">
        <f>IF(A1775="","","PC-"&amp;TEXT(A1775,"mm/yyyy")&amp;"-"&amp;TEXT(COUNTIFS($A$2:A1775,"&gt;="&amp;EOMONTH(A1775,-1)+1,$A$2:A1775,"&lt;="&amp;EOMONTH(A1775,0)),"000"))</f>
        <v/>
      </c>
      <c r="C1775" s="5"/>
      <c r="D1775" s="5"/>
      <c r="E1775" s="5"/>
      <c r="F1775" s="5"/>
      <c r="G1775" s="5"/>
      <c r="H1775" s="5"/>
      <c r="I1775" s="6"/>
      <c r="J1775" s="6">
        <f>IF(D1775="Thu",I1775,0)</f>
        <v>0</v>
      </c>
      <c r="K1775" s="6">
        <f>IF(D1775="Chi",I1775,0)</f>
        <v>0</v>
      </c>
      <c r="L1775" s="6">
        <f>L1774+J1775-K1775</f>
        <v>8050118</v>
      </c>
      <c r="M1775" s="6">
        <f ca="1">IFERROR(__xludf.DUMMYFUNCTION("SUM(FILTER(J:J, H:H=""Tiền mặt"")) - SUM(FILTER(K:K, H:H=""Tiền mặt""))
"),959000)</f>
        <v>959000</v>
      </c>
      <c r="N1775" s="6">
        <f ca="1">IFERROR(__xludf.DUMMYFUNCTION("SUM(FILTER(J:J, H:H=""Chuyển khoản"")) - SUM(FILTER(K:K, H:H=""Chuyển khoản""))
"),4468984)</f>
        <v>4468984</v>
      </c>
      <c r="O1775" s="5"/>
      <c r="P1775" s="5"/>
      <c r="Q1775" s="5"/>
      <c r="R1775" s="5"/>
      <c r="S1775" s="5"/>
    </row>
    <row r="1776" spans="1:19" ht="15.75" customHeight="1" x14ac:dyDescent="0.2">
      <c r="A1776" s="3"/>
      <c r="B1776" s="4" t="str">
        <f>IF(A1776="","","PC-"&amp;TEXT(A1776,"mm/yyyy")&amp;"-"&amp;TEXT(COUNTIFS($A$2:A1776,"&gt;="&amp;EOMONTH(A1776,-1)+1,$A$2:A1776,"&lt;="&amp;EOMONTH(A1776,0)),"000"))</f>
        <v/>
      </c>
      <c r="C1776" s="5"/>
      <c r="D1776" s="5"/>
      <c r="E1776" s="5"/>
      <c r="F1776" s="5"/>
      <c r="G1776" s="5"/>
      <c r="H1776" s="5"/>
      <c r="I1776" s="6"/>
      <c r="J1776" s="6">
        <f>IF(D1776="Thu",I1776,0)</f>
        <v>0</v>
      </c>
      <c r="K1776" s="6">
        <f>IF(D1776="Chi",I1776,0)</f>
        <v>0</v>
      </c>
      <c r="L1776" s="6">
        <f>L1775+J1776-K1776</f>
        <v>8050118</v>
      </c>
      <c r="M1776" s="6">
        <f ca="1">IFERROR(__xludf.DUMMYFUNCTION("SUM(FILTER(J:J, H:H=""Tiền mặt"")) - SUM(FILTER(K:K, H:H=""Tiền mặt""))
"),959000)</f>
        <v>959000</v>
      </c>
      <c r="N1776" s="6">
        <f ca="1">IFERROR(__xludf.DUMMYFUNCTION("SUM(FILTER(J:J, H:H=""Chuyển khoản"")) - SUM(FILTER(K:K, H:H=""Chuyển khoản""))
"),4468984)</f>
        <v>4468984</v>
      </c>
      <c r="O1776" s="5"/>
      <c r="P1776" s="5"/>
      <c r="Q1776" s="5"/>
      <c r="R1776" s="5"/>
      <c r="S1776" s="5"/>
    </row>
    <row r="1777" spans="1:19" ht="15.75" customHeight="1" x14ac:dyDescent="0.2">
      <c r="A1777" s="3"/>
      <c r="B1777" s="4" t="str">
        <f>IF(A1777="","","PC-"&amp;TEXT(A1777,"mm/yyyy")&amp;"-"&amp;TEXT(COUNTIFS($A$2:A1777,"&gt;="&amp;EOMONTH(A1777,-1)+1,$A$2:A1777,"&lt;="&amp;EOMONTH(A1777,0)),"000"))</f>
        <v/>
      </c>
      <c r="C1777" s="5"/>
      <c r="D1777" s="5"/>
      <c r="E1777" s="5"/>
      <c r="F1777" s="5"/>
      <c r="G1777" s="5"/>
      <c r="H1777" s="5"/>
      <c r="I1777" s="6"/>
      <c r="J1777" s="6">
        <f>IF(D1777="Thu",I1777,0)</f>
        <v>0</v>
      </c>
      <c r="K1777" s="6">
        <f>IF(D1777="Chi",I1777,0)</f>
        <v>0</v>
      </c>
      <c r="L1777" s="6">
        <f>L1776+J1777-K1777</f>
        <v>8050118</v>
      </c>
      <c r="M1777" s="6">
        <f ca="1">IFERROR(__xludf.DUMMYFUNCTION("SUM(FILTER(J:J, H:H=""Tiền mặt"")) - SUM(FILTER(K:K, H:H=""Tiền mặt""))
"),959000)</f>
        <v>959000</v>
      </c>
      <c r="N1777" s="6">
        <f ca="1">IFERROR(__xludf.DUMMYFUNCTION("SUM(FILTER(J:J, H:H=""Chuyển khoản"")) - SUM(FILTER(K:K, H:H=""Chuyển khoản""))
"),4468984)</f>
        <v>4468984</v>
      </c>
      <c r="O1777" s="5"/>
      <c r="P1777" s="5"/>
      <c r="Q1777" s="5"/>
      <c r="R1777" s="5"/>
      <c r="S1777" s="5"/>
    </row>
    <row r="1778" spans="1:19" ht="15.75" customHeight="1" x14ac:dyDescent="0.2">
      <c r="A1778" s="3"/>
      <c r="B1778" s="4" t="str">
        <f>IF(A1778="","","PC-"&amp;TEXT(A1778,"mm/yyyy")&amp;"-"&amp;TEXT(COUNTIFS($A$2:A1778,"&gt;="&amp;EOMONTH(A1778,-1)+1,$A$2:A1778,"&lt;="&amp;EOMONTH(A1778,0)),"000"))</f>
        <v/>
      </c>
      <c r="C1778" s="5"/>
      <c r="D1778" s="5"/>
      <c r="E1778" s="5"/>
      <c r="F1778" s="5"/>
      <c r="G1778" s="5"/>
      <c r="H1778" s="5"/>
      <c r="I1778" s="6"/>
      <c r="J1778" s="6">
        <f>IF(D1778="Thu",I1778,0)</f>
        <v>0</v>
      </c>
      <c r="K1778" s="6">
        <f>IF(D1778="Chi",I1778,0)</f>
        <v>0</v>
      </c>
      <c r="L1778" s="6">
        <f>L1777+J1778-K1778</f>
        <v>8050118</v>
      </c>
      <c r="M1778" s="6">
        <f ca="1">IFERROR(__xludf.DUMMYFUNCTION("SUM(FILTER(J:J, H:H=""Tiền mặt"")) - SUM(FILTER(K:K, H:H=""Tiền mặt""))
"),959000)</f>
        <v>959000</v>
      </c>
      <c r="N1778" s="6">
        <f ca="1">IFERROR(__xludf.DUMMYFUNCTION("SUM(FILTER(J:J, H:H=""Chuyển khoản"")) - SUM(FILTER(K:K, H:H=""Chuyển khoản""))
"),4468984)</f>
        <v>4468984</v>
      </c>
      <c r="O1778" s="5"/>
      <c r="P1778" s="5"/>
      <c r="Q1778" s="5"/>
      <c r="R1778" s="5"/>
      <c r="S1778" s="5"/>
    </row>
    <row r="1779" spans="1:19" ht="15.75" customHeight="1" x14ac:dyDescent="0.2">
      <c r="A1779" s="3"/>
      <c r="B1779" s="4" t="str">
        <f>IF(A1779="","","PC-"&amp;TEXT(A1779,"mm/yyyy")&amp;"-"&amp;TEXT(COUNTIFS($A$2:A1779,"&gt;="&amp;EOMONTH(A1779,-1)+1,$A$2:A1779,"&lt;="&amp;EOMONTH(A1779,0)),"000"))</f>
        <v/>
      </c>
      <c r="C1779" s="5"/>
      <c r="D1779" s="5"/>
      <c r="E1779" s="5"/>
      <c r="F1779" s="5"/>
      <c r="G1779" s="5"/>
      <c r="H1779" s="5"/>
      <c r="I1779" s="6"/>
      <c r="J1779" s="6">
        <f>IF(D1779="Thu",I1779,0)</f>
        <v>0</v>
      </c>
      <c r="K1779" s="6">
        <f>IF(D1779="Chi",I1779,0)</f>
        <v>0</v>
      </c>
      <c r="L1779" s="6">
        <f>L1778+J1779-K1779</f>
        <v>8050118</v>
      </c>
      <c r="M1779" s="6">
        <f ca="1">IFERROR(__xludf.DUMMYFUNCTION("SUM(FILTER(J:J, H:H=""Tiền mặt"")) - SUM(FILTER(K:K, H:H=""Tiền mặt""))
"),959000)</f>
        <v>959000</v>
      </c>
      <c r="N1779" s="6">
        <f ca="1">IFERROR(__xludf.DUMMYFUNCTION("SUM(FILTER(J:J, H:H=""Chuyển khoản"")) - SUM(FILTER(K:K, H:H=""Chuyển khoản""))
"),4468984)</f>
        <v>4468984</v>
      </c>
      <c r="O1779" s="5"/>
      <c r="P1779" s="5"/>
      <c r="Q1779" s="5"/>
      <c r="R1779" s="5"/>
      <c r="S1779" s="5"/>
    </row>
    <row r="1780" spans="1:19" ht="15.75" customHeight="1" x14ac:dyDescent="0.2">
      <c r="A1780" s="3"/>
      <c r="B1780" s="4" t="str">
        <f>IF(A1780="","","PC-"&amp;TEXT(A1780,"mm/yyyy")&amp;"-"&amp;TEXT(COUNTIFS($A$2:A1780,"&gt;="&amp;EOMONTH(A1780,-1)+1,$A$2:A1780,"&lt;="&amp;EOMONTH(A1780,0)),"000"))</f>
        <v/>
      </c>
      <c r="C1780" s="5"/>
      <c r="D1780" s="5"/>
      <c r="E1780" s="5"/>
      <c r="F1780" s="5"/>
      <c r="G1780" s="5"/>
      <c r="H1780" s="5"/>
      <c r="I1780" s="6"/>
      <c r="J1780" s="6">
        <f>IF(D1780="Thu",I1780,0)</f>
        <v>0</v>
      </c>
      <c r="K1780" s="6">
        <f>IF(D1780="Chi",I1780,0)</f>
        <v>0</v>
      </c>
      <c r="L1780" s="6">
        <f>L1779+J1780-K1780</f>
        <v>8050118</v>
      </c>
      <c r="M1780" s="6">
        <f ca="1">IFERROR(__xludf.DUMMYFUNCTION("SUM(FILTER(J:J, H:H=""Tiền mặt"")) - SUM(FILTER(K:K, H:H=""Tiền mặt""))
"),959000)</f>
        <v>959000</v>
      </c>
      <c r="N1780" s="6">
        <f ca="1">IFERROR(__xludf.DUMMYFUNCTION("SUM(FILTER(J:J, H:H=""Chuyển khoản"")) - SUM(FILTER(K:K, H:H=""Chuyển khoản""))
"),4468984)</f>
        <v>4468984</v>
      </c>
      <c r="O1780" s="5"/>
      <c r="P1780" s="5"/>
      <c r="Q1780" s="5"/>
      <c r="R1780" s="5"/>
      <c r="S1780" s="5"/>
    </row>
    <row r="1781" spans="1:19" ht="15.75" customHeight="1" x14ac:dyDescent="0.2">
      <c r="A1781" s="3"/>
      <c r="B1781" s="4" t="str">
        <f>IF(A1781="","","PC-"&amp;TEXT(A1781,"mm/yyyy")&amp;"-"&amp;TEXT(COUNTIFS($A$2:A1781,"&gt;="&amp;EOMONTH(A1781,-1)+1,$A$2:A1781,"&lt;="&amp;EOMONTH(A1781,0)),"000"))</f>
        <v/>
      </c>
      <c r="C1781" s="5"/>
      <c r="D1781" s="5"/>
      <c r="E1781" s="5"/>
      <c r="F1781" s="5"/>
      <c r="G1781" s="5"/>
      <c r="H1781" s="5"/>
      <c r="I1781" s="6"/>
      <c r="J1781" s="6">
        <f>IF(D1781="Thu",I1781,0)</f>
        <v>0</v>
      </c>
      <c r="K1781" s="6">
        <f>IF(D1781="Chi",I1781,0)</f>
        <v>0</v>
      </c>
      <c r="L1781" s="6">
        <f>L1780+J1781-K1781</f>
        <v>8050118</v>
      </c>
      <c r="M1781" s="6">
        <f ca="1">IFERROR(__xludf.DUMMYFUNCTION("SUM(FILTER(J:J, H:H=""Tiền mặt"")) - SUM(FILTER(K:K, H:H=""Tiền mặt""))
"),959000)</f>
        <v>959000</v>
      </c>
      <c r="N1781" s="6">
        <f ca="1">IFERROR(__xludf.DUMMYFUNCTION("SUM(FILTER(J:J, H:H=""Chuyển khoản"")) - SUM(FILTER(K:K, H:H=""Chuyển khoản""))
"),4468984)</f>
        <v>4468984</v>
      </c>
      <c r="O1781" s="5"/>
      <c r="P1781" s="5"/>
      <c r="Q1781" s="5"/>
      <c r="R1781" s="5"/>
      <c r="S1781" s="5"/>
    </row>
    <row r="1782" spans="1:19" ht="15.75" customHeight="1" x14ac:dyDescent="0.2">
      <c r="A1782" s="3"/>
      <c r="B1782" s="4" t="str">
        <f>IF(A1782="","","PC-"&amp;TEXT(A1782,"mm/yyyy")&amp;"-"&amp;TEXT(COUNTIFS($A$2:A1782,"&gt;="&amp;EOMONTH(A1782,-1)+1,$A$2:A1782,"&lt;="&amp;EOMONTH(A1782,0)),"000"))</f>
        <v/>
      </c>
      <c r="C1782" s="5"/>
      <c r="D1782" s="5"/>
      <c r="E1782" s="5"/>
      <c r="F1782" s="5"/>
      <c r="G1782" s="5"/>
      <c r="H1782" s="5"/>
      <c r="I1782" s="6"/>
      <c r="J1782" s="6">
        <f>IF(D1782="Thu",I1782,0)</f>
        <v>0</v>
      </c>
      <c r="K1782" s="6">
        <f>IF(D1782="Chi",I1782,0)</f>
        <v>0</v>
      </c>
      <c r="L1782" s="6">
        <f>L1781+J1782-K1782</f>
        <v>8050118</v>
      </c>
      <c r="M1782" s="6">
        <f ca="1">IFERROR(__xludf.DUMMYFUNCTION("SUM(FILTER(J:J, H:H=""Tiền mặt"")) - SUM(FILTER(K:K, H:H=""Tiền mặt""))
"),959000)</f>
        <v>959000</v>
      </c>
      <c r="N1782" s="6">
        <f ca="1">IFERROR(__xludf.DUMMYFUNCTION("SUM(FILTER(J:J, H:H=""Chuyển khoản"")) - SUM(FILTER(K:K, H:H=""Chuyển khoản""))
"),4468984)</f>
        <v>4468984</v>
      </c>
      <c r="O1782" s="5"/>
      <c r="P1782" s="5"/>
      <c r="Q1782" s="5"/>
      <c r="R1782" s="5"/>
      <c r="S1782" s="5"/>
    </row>
    <row r="1783" spans="1:19" ht="15.75" customHeight="1" x14ac:dyDescent="0.2">
      <c r="A1783" s="3"/>
      <c r="B1783" s="4" t="str">
        <f>IF(A1783="","","PC-"&amp;TEXT(A1783,"mm/yyyy")&amp;"-"&amp;TEXT(COUNTIFS($A$2:A1783,"&gt;="&amp;EOMONTH(A1783,-1)+1,$A$2:A1783,"&lt;="&amp;EOMONTH(A1783,0)),"000"))</f>
        <v/>
      </c>
      <c r="C1783" s="5"/>
      <c r="D1783" s="5"/>
      <c r="E1783" s="5"/>
      <c r="F1783" s="5"/>
      <c r="G1783" s="5"/>
      <c r="H1783" s="5"/>
      <c r="I1783" s="6"/>
      <c r="J1783" s="6">
        <f>IF(D1783="Thu",I1783,0)</f>
        <v>0</v>
      </c>
      <c r="K1783" s="6">
        <f>IF(D1783="Chi",I1783,0)</f>
        <v>0</v>
      </c>
      <c r="L1783" s="6">
        <f>L1782+J1783-K1783</f>
        <v>8050118</v>
      </c>
      <c r="M1783" s="6">
        <f ca="1">IFERROR(__xludf.DUMMYFUNCTION("SUM(FILTER(J:J, H:H=""Tiền mặt"")) - SUM(FILTER(K:K, H:H=""Tiền mặt""))
"),959000)</f>
        <v>959000</v>
      </c>
      <c r="N1783" s="6">
        <f ca="1">IFERROR(__xludf.DUMMYFUNCTION("SUM(FILTER(J:J, H:H=""Chuyển khoản"")) - SUM(FILTER(K:K, H:H=""Chuyển khoản""))
"),4468984)</f>
        <v>4468984</v>
      </c>
      <c r="O1783" s="5"/>
      <c r="P1783" s="5"/>
      <c r="Q1783" s="5"/>
      <c r="R1783" s="5"/>
      <c r="S1783" s="5"/>
    </row>
    <row r="1784" spans="1:19" ht="15.75" customHeight="1" x14ac:dyDescent="0.2">
      <c r="A1784" s="3"/>
      <c r="B1784" s="4" t="str">
        <f>IF(A1784="","","PC-"&amp;TEXT(A1784,"mm/yyyy")&amp;"-"&amp;TEXT(COUNTIFS($A$2:A1784,"&gt;="&amp;EOMONTH(A1784,-1)+1,$A$2:A1784,"&lt;="&amp;EOMONTH(A1784,0)),"000"))</f>
        <v/>
      </c>
      <c r="C1784" s="5"/>
      <c r="D1784" s="5"/>
      <c r="E1784" s="5"/>
      <c r="F1784" s="5"/>
      <c r="G1784" s="5"/>
      <c r="H1784" s="5"/>
      <c r="I1784" s="6"/>
      <c r="J1784" s="6">
        <f>IF(D1784="Thu",I1784,0)</f>
        <v>0</v>
      </c>
      <c r="K1784" s="6">
        <f>IF(D1784="Chi",I1784,0)</f>
        <v>0</v>
      </c>
      <c r="L1784" s="6">
        <f>L1783+J1784-K1784</f>
        <v>8050118</v>
      </c>
      <c r="M1784" s="6">
        <f ca="1">IFERROR(__xludf.DUMMYFUNCTION("SUM(FILTER(J:J, H:H=""Tiền mặt"")) - SUM(FILTER(K:K, H:H=""Tiền mặt""))
"),959000)</f>
        <v>959000</v>
      </c>
      <c r="N1784" s="6">
        <f ca="1">IFERROR(__xludf.DUMMYFUNCTION("SUM(FILTER(J:J, H:H=""Chuyển khoản"")) - SUM(FILTER(K:K, H:H=""Chuyển khoản""))
"),4468984)</f>
        <v>4468984</v>
      </c>
      <c r="O1784" s="5"/>
      <c r="P1784" s="5"/>
      <c r="Q1784" s="5"/>
      <c r="R1784" s="5"/>
      <c r="S1784" s="5"/>
    </row>
    <row r="1785" spans="1:19" ht="15.75" customHeight="1" x14ac:dyDescent="0.2">
      <c r="A1785" s="3"/>
      <c r="B1785" s="4" t="str">
        <f>IF(A1785="","","PC-"&amp;TEXT(A1785,"mm/yyyy")&amp;"-"&amp;TEXT(COUNTIFS($A$2:A1785,"&gt;="&amp;EOMONTH(A1785,-1)+1,$A$2:A1785,"&lt;="&amp;EOMONTH(A1785,0)),"000"))</f>
        <v/>
      </c>
      <c r="C1785" s="5"/>
      <c r="D1785" s="5"/>
      <c r="E1785" s="5"/>
      <c r="F1785" s="5"/>
      <c r="G1785" s="5"/>
      <c r="H1785" s="5"/>
      <c r="I1785" s="6"/>
      <c r="J1785" s="6">
        <f>IF(D1785="Thu",I1785,0)</f>
        <v>0</v>
      </c>
      <c r="K1785" s="6">
        <f>IF(D1785="Chi",I1785,0)</f>
        <v>0</v>
      </c>
      <c r="L1785" s="6">
        <f>L1784+J1785-K1785</f>
        <v>8050118</v>
      </c>
      <c r="M1785" s="6">
        <f ca="1">IFERROR(__xludf.DUMMYFUNCTION("SUM(FILTER(J:J, H:H=""Tiền mặt"")) - SUM(FILTER(K:K, H:H=""Tiền mặt""))
"),959000)</f>
        <v>959000</v>
      </c>
      <c r="N1785" s="6">
        <f ca="1">IFERROR(__xludf.DUMMYFUNCTION("SUM(FILTER(J:J, H:H=""Chuyển khoản"")) - SUM(FILTER(K:K, H:H=""Chuyển khoản""))
"),4468984)</f>
        <v>4468984</v>
      </c>
      <c r="O1785" s="5"/>
      <c r="P1785" s="5"/>
      <c r="Q1785" s="5"/>
      <c r="R1785" s="5"/>
      <c r="S1785" s="5"/>
    </row>
    <row r="1786" spans="1:19" ht="15.75" customHeight="1" x14ac:dyDescent="0.2">
      <c r="A1786" s="3"/>
      <c r="B1786" s="4" t="str">
        <f>IF(A1786="","","PC-"&amp;TEXT(A1786,"mm/yyyy")&amp;"-"&amp;TEXT(COUNTIFS($A$2:A1786,"&gt;="&amp;EOMONTH(A1786,-1)+1,$A$2:A1786,"&lt;="&amp;EOMONTH(A1786,0)),"000"))</f>
        <v/>
      </c>
      <c r="C1786" s="5"/>
      <c r="D1786" s="5"/>
      <c r="E1786" s="5"/>
      <c r="F1786" s="5"/>
      <c r="G1786" s="5"/>
      <c r="H1786" s="5"/>
      <c r="I1786" s="6"/>
      <c r="J1786" s="6">
        <f>IF(D1786="Thu",I1786,0)</f>
        <v>0</v>
      </c>
      <c r="K1786" s="6">
        <f>IF(D1786="Chi",I1786,0)</f>
        <v>0</v>
      </c>
      <c r="L1786" s="6">
        <f>L1785+J1786-K1786</f>
        <v>8050118</v>
      </c>
      <c r="M1786" s="6">
        <f ca="1">IFERROR(__xludf.DUMMYFUNCTION("SUM(FILTER(J:J, H:H=""Tiền mặt"")) - SUM(FILTER(K:K, H:H=""Tiền mặt""))
"),959000)</f>
        <v>959000</v>
      </c>
      <c r="N1786" s="6">
        <f ca="1">IFERROR(__xludf.DUMMYFUNCTION("SUM(FILTER(J:J, H:H=""Chuyển khoản"")) - SUM(FILTER(K:K, H:H=""Chuyển khoản""))
"),4468984)</f>
        <v>4468984</v>
      </c>
      <c r="O1786" s="5"/>
      <c r="P1786" s="5"/>
      <c r="Q1786" s="5"/>
      <c r="R1786" s="5"/>
      <c r="S1786" s="5"/>
    </row>
    <row r="1787" spans="1:19" ht="15.75" customHeight="1" x14ac:dyDescent="0.2">
      <c r="A1787" s="3"/>
      <c r="B1787" s="4" t="str">
        <f>IF(A1787="","","PC-"&amp;TEXT(A1787,"mm/yyyy")&amp;"-"&amp;TEXT(COUNTIFS($A$2:A1787,"&gt;="&amp;EOMONTH(A1787,-1)+1,$A$2:A1787,"&lt;="&amp;EOMONTH(A1787,0)),"000"))</f>
        <v/>
      </c>
      <c r="C1787" s="5"/>
      <c r="D1787" s="5"/>
      <c r="E1787" s="5"/>
      <c r="F1787" s="5"/>
      <c r="G1787" s="5"/>
      <c r="H1787" s="5"/>
      <c r="I1787" s="6"/>
      <c r="J1787" s="6">
        <f>IF(D1787="Thu",I1787,0)</f>
        <v>0</v>
      </c>
      <c r="K1787" s="6">
        <f>IF(D1787="Chi",I1787,0)</f>
        <v>0</v>
      </c>
      <c r="L1787" s="6">
        <f>L1786+J1787-K1787</f>
        <v>8050118</v>
      </c>
      <c r="M1787" s="6">
        <f ca="1">IFERROR(__xludf.DUMMYFUNCTION("SUM(FILTER(J:J, H:H=""Tiền mặt"")) - SUM(FILTER(K:K, H:H=""Tiền mặt""))
"),959000)</f>
        <v>959000</v>
      </c>
      <c r="N1787" s="6">
        <f ca="1">IFERROR(__xludf.DUMMYFUNCTION("SUM(FILTER(J:J, H:H=""Chuyển khoản"")) - SUM(FILTER(K:K, H:H=""Chuyển khoản""))
"),4468984)</f>
        <v>4468984</v>
      </c>
      <c r="O1787" s="5"/>
      <c r="P1787" s="5"/>
      <c r="Q1787" s="5"/>
      <c r="R1787" s="5"/>
      <c r="S1787" s="5"/>
    </row>
    <row r="1788" spans="1:19" ht="15.75" customHeight="1" x14ac:dyDescent="0.2">
      <c r="A1788" s="3"/>
      <c r="B1788" s="4" t="str">
        <f>IF(A1788="","","PC-"&amp;TEXT(A1788,"mm/yyyy")&amp;"-"&amp;TEXT(COUNTIFS($A$2:A1788,"&gt;="&amp;EOMONTH(A1788,-1)+1,$A$2:A1788,"&lt;="&amp;EOMONTH(A1788,0)),"000"))</f>
        <v/>
      </c>
      <c r="C1788" s="5"/>
      <c r="D1788" s="5"/>
      <c r="E1788" s="5"/>
      <c r="F1788" s="5"/>
      <c r="G1788" s="5"/>
      <c r="H1788" s="5"/>
      <c r="I1788" s="6"/>
      <c r="J1788" s="6">
        <f>IF(D1788="Thu",I1788,0)</f>
        <v>0</v>
      </c>
      <c r="K1788" s="6">
        <f>IF(D1788="Chi",I1788,0)</f>
        <v>0</v>
      </c>
      <c r="L1788" s="6">
        <f>L1787+J1788-K1788</f>
        <v>8050118</v>
      </c>
      <c r="M1788" s="6">
        <f ca="1">IFERROR(__xludf.DUMMYFUNCTION("SUM(FILTER(J:J, H:H=""Tiền mặt"")) - SUM(FILTER(K:K, H:H=""Tiền mặt""))
"),959000)</f>
        <v>959000</v>
      </c>
      <c r="N1788" s="6">
        <f ca="1">IFERROR(__xludf.DUMMYFUNCTION("SUM(FILTER(J:J, H:H=""Chuyển khoản"")) - SUM(FILTER(K:K, H:H=""Chuyển khoản""))
"),4468984)</f>
        <v>4468984</v>
      </c>
      <c r="O1788" s="5"/>
      <c r="P1788" s="5"/>
      <c r="Q1788" s="5"/>
      <c r="R1788" s="5"/>
      <c r="S1788" s="5"/>
    </row>
    <row r="1789" spans="1:19" ht="15.75" customHeight="1" x14ac:dyDescent="0.2">
      <c r="A1789" s="3"/>
      <c r="B1789" s="4" t="str">
        <f>IF(A1789="","","PC-"&amp;TEXT(A1789,"mm/yyyy")&amp;"-"&amp;TEXT(COUNTIFS($A$2:A1789,"&gt;="&amp;EOMONTH(A1789,-1)+1,$A$2:A1789,"&lt;="&amp;EOMONTH(A1789,0)),"000"))</f>
        <v/>
      </c>
      <c r="C1789" s="5"/>
      <c r="D1789" s="5"/>
      <c r="E1789" s="5"/>
      <c r="F1789" s="5"/>
      <c r="G1789" s="5"/>
      <c r="H1789" s="5"/>
      <c r="I1789" s="6"/>
      <c r="J1789" s="6">
        <f>IF(D1789="Thu",I1789,0)</f>
        <v>0</v>
      </c>
      <c r="K1789" s="6">
        <f>IF(D1789="Chi",I1789,0)</f>
        <v>0</v>
      </c>
      <c r="L1789" s="6">
        <f>L1788+J1789-K1789</f>
        <v>8050118</v>
      </c>
      <c r="M1789" s="6">
        <f ca="1">IFERROR(__xludf.DUMMYFUNCTION("SUM(FILTER(J:J, H:H=""Tiền mặt"")) - SUM(FILTER(K:K, H:H=""Tiền mặt""))
"),959000)</f>
        <v>959000</v>
      </c>
      <c r="N1789" s="6">
        <f ca="1">IFERROR(__xludf.DUMMYFUNCTION("SUM(FILTER(J:J, H:H=""Chuyển khoản"")) - SUM(FILTER(K:K, H:H=""Chuyển khoản""))
"),4468984)</f>
        <v>4468984</v>
      </c>
      <c r="O1789" s="5"/>
      <c r="P1789" s="5"/>
      <c r="Q1789" s="5"/>
      <c r="R1789" s="5"/>
      <c r="S1789" s="5"/>
    </row>
    <row r="1790" spans="1:19" ht="15.75" customHeight="1" x14ac:dyDescent="0.2">
      <c r="A1790" s="3"/>
      <c r="B1790" s="4" t="str">
        <f>IF(A1790="","","PC-"&amp;TEXT(A1790,"mm/yyyy")&amp;"-"&amp;TEXT(COUNTIFS($A$2:A1790,"&gt;="&amp;EOMONTH(A1790,-1)+1,$A$2:A1790,"&lt;="&amp;EOMONTH(A1790,0)),"000"))</f>
        <v/>
      </c>
      <c r="C1790" s="5"/>
      <c r="D1790" s="5"/>
      <c r="E1790" s="5"/>
      <c r="F1790" s="5"/>
      <c r="G1790" s="5"/>
      <c r="H1790" s="5"/>
      <c r="I1790" s="6"/>
      <c r="J1790" s="6">
        <f>IF(D1790="Thu",I1790,0)</f>
        <v>0</v>
      </c>
      <c r="K1790" s="6">
        <f>IF(D1790="Chi",I1790,0)</f>
        <v>0</v>
      </c>
      <c r="L1790" s="6">
        <f>L1789+J1790-K1790</f>
        <v>8050118</v>
      </c>
      <c r="M1790" s="6">
        <f ca="1">IFERROR(__xludf.DUMMYFUNCTION("SUM(FILTER(J:J, H:H=""Tiền mặt"")) - SUM(FILTER(K:K, H:H=""Tiền mặt""))
"),959000)</f>
        <v>959000</v>
      </c>
      <c r="N1790" s="6">
        <f ca="1">IFERROR(__xludf.DUMMYFUNCTION("SUM(FILTER(J:J, H:H=""Chuyển khoản"")) - SUM(FILTER(K:K, H:H=""Chuyển khoản""))
"),4468984)</f>
        <v>4468984</v>
      </c>
      <c r="O1790" s="5"/>
      <c r="P1790" s="5"/>
      <c r="Q1790" s="5"/>
      <c r="R1790" s="5"/>
      <c r="S1790" s="5"/>
    </row>
    <row r="1791" spans="1:19" ht="15.75" customHeight="1" x14ac:dyDescent="0.2">
      <c r="A1791" s="3"/>
      <c r="B1791" s="4" t="str">
        <f>IF(A1791="","","PC-"&amp;TEXT(A1791,"mm/yyyy")&amp;"-"&amp;TEXT(COUNTIFS($A$2:A1791,"&gt;="&amp;EOMONTH(A1791,-1)+1,$A$2:A1791,"&lt;="&amp;EOMONTH(A1791,0)),"000"))</f>
        <v/>
      </c>
      <c r="C1791" s="5"/>
      <c r="D1791" s="5"/>
      <c r="E1791" s="5"/>
      <c r="F1791" s="5"/>
      <c r="G1791" s="5"/>
      <c r="H1791" s="5"/>
      <c r="I1791" s="6"/>
      <c r="J1791" s="6">
        <f>IF(D1791="Thu",I1791,0)</f>
        <v>0</v>
      </c>
      <c r="K1791" s="6">
        <f>IF(D1791="Chi",I1791,0)</f>
        <v>0</v>
      </c>
      <c r="L1791" s="6">
        <f>L1790+J1791-K1791</f>
        <v>8050118</v>
      </c>
      <c r="M1791" s="6">
        <f ca="1">IFERROR(__xludf.DUMMYFUNCTION("SUM(FILTER(J:J, H:H=""Tiền mặt"")) - SUM(FILTER(K:K, H:H=""Tiền mặt""))
"),959000)</f>
        <v>959000</v>
      </c>
      <c r="N1791" s="6">
        <f ca="1">IFERROR(__xludf.DUMMYFUNCTION("SUM(FILTER(J:J, H:H=""Chuyển khoản"")) - SUM(FILTER(K:K, H:H=""Chuyển khoản""))
"),4468984)</f>
        <v>4468984</v>
      </c>
      <c r="O1791" s="5"/>
      <c r="P1791" s="5"/>
      <c r="Q1791" s="5"/>
      <c r="R1791" s="5"/>
      <c r="S1791" s="5"/>
    </row>
    <row r="1792" spans="1:19" ht="15.75" customHeight="1" x14ac:dyDescent="0.2">
      <c r="A1792" s="3"/>
      <c r="B1792" s="4" t="str">
        <f>IF(A1792="","","PC-"&amp;TEXT(A1792,"mm/yyyy")&amp;"-"&amp;TEXT(COUNTIFS($A$2:A1792,"&gt;="&amp;EOMONTH(A1792,-1)+1,$A$2:A1792,"&lt;="&amp;EOMONTH(A1792,0)),"000"))</f>
        <v/>
      </c>
      <c r="C1792" s="5"/>
      <c r="D1792" s="5"/>
      <c r="E1792" s="5"/>
      <c r="F1792" s="5"/>
      <c r="G1792" s="5"/>
      <c r="H1792" s="5"/>
      <c r="I1792" s="6"/>
      <c r="J1792" s="6">
        <f>IF(D1792="Thu",I1792,0)</f>
        <v>0</v>
      </c>
      <c r="K1792" s="6">
        <f>IF(D1792="Chi",I1792,0)</f>
        <v>0</v>
      </c>
      <c r="L1792" s="6">
        <f>L1791+J1792-K1792</f>
        <v>8050118</v>
      </c>
      <c r="M1792" s="6">
        <f ca="1">IFERROR(__xludf.DUMMYFUNCTION("SUM(FILTER(J:J, H:H=""Tiền mặt"")) - SUM(FILTER(K:K, H:H=""Tiền mặt""))
"),959000)</f>
        <v>959000</v>
      </c>
      <c r="N1792" s="6">
        <f ca="1">IFERROR(__xludf.DUMMYFUNCTION("SUM(FILTER(J:J, H:H=""Chuyển khoản"")) - SUM(FILTER(K:K, H:H=""Chuyển khoản""))
"),4468984)</f>
        <v>4468984</v>
      </c>
      <c r="O1792" s="5"/>
      <c r="P1792" s="5"/>
      <c r="Q1792" s="5"/>
      <c r="R1792" s="5"/>
      <c r="S1792" s="5"/>
    </row>
    <row r="1793" spans="1:19" ht="15.75" customHeight="1" x14ac:dyDescent="0.2">
      <c r="A1793" s="3"/>
      <c r="B1793" s="4" t="str">
        <f>IF(A1793="","","PC-"&amp;TEXT(A1793,"mm/yyyy")&amp;"-"&amp;TEXT(COUNTIFS($A$2:A1793,"&gt;="&amp;EOMONTH(A1793,-1)+1,$A$2:A1793,"&lt;="&amp;EOMONTH(A1793,0)),"000"))</f>
        <v/>
      </c>
      <c r="C1793" s="5"/>
      <c r="D1793" s="5"/>
      <c r="E1793" s="5"/>
      <c r="F1793" s="5"/>
      <c r="G1793" s="5"/>
      <c r="H1793" s="5"/>
      <c r="I1793" s="6"/>
      <c r="J1793" s="6">
        <f>IF(D1793="Thu",I1793,0)</f>
        <v>0</v>
      </c>
      <c r="K1793" s="6">
        <f>IF(D1793="Chi",I1793,0)</f>
        <v>0</v>
      </c>
      <c r="L1793" s="6">
        <f>L1792+J1793-K1793</f>
        <v>8050118</v>
      </c>
      <c r="M1793" s="6">
        <f ca="1">IFERROR(__xludf.DUMMYFUNCTION("SUM(FILTER(J:J, H:H=""Tiền mặt"")) - SUM(FILTER(K:K, H:H=""Tiền mặt""))
"),959000)</f>
        <v>959000</v>
      </c>
      <c r="N1793" s="6">
        <f ca="1">IFERROR(__xludf.DUMMYFUNCTION("SUM(FILTER(J:J, H:H=""Chuyển khoản"")) - SUM(FILTER(K:K, H:H=""Chuyển khoản""))
"),4468984)</f>
        <v>4468984</v>
      </c>
      <c r="O1793" s="5"/>
      <c r="P1793" s="5"/>
      <c r="Q1793" s="5"/>
      <c r="R1793" s="5"/>
      <c r="S1793" s="5"/>
    </row>
    <row r="1794" spans="1:19" ht="15.75" customHeight="1" x14ac:dyDescent="0.2">
      <c r="A1794" s="3"/>
      <c r="B1794" s="4" t="str">
        <f>IF(A1794="","","PC-"&amp;TEXT(A1794,"mm/yyyy")&amp;"-"&amp;TEXT(COUNTIFS($A$2:A1794,"&gt;="&amp;EOMONTH(A1794,-1)+1,$A$2:A1794,"&lt;="&amp;EOMONTH(A1794,0)),"000"))</f>
        <v/>
      </c>
      <c r="C1794" s="5"/>
      <c r="D1794" s="5"/>
      <c r="E1794" s="5"/>
      <c r="F1794" s="5"/>
      <c r="G1794" s="5"/>
      <c r="H1794" s="5"/>
      <c r="I1794" s="6"/>
      <c r="J1794" s="6">
        <f>IF(D1794="Thu",I1794,0)</f>
        <v>0</v>
      </c>
      <c r="K1794" s="6">
        <f>IF(D1794="Chi",I1794,0)</f>
        <v>0</v>
      </c>
      <c r="L1794" s="6">
        <f>L1793+J1794-K1794</f>
        <v>8050118</v>
      </c>
      <c r="M1794" s="6">
        <f ca="1">IFERROR(__xludf.DUMMYFUNCTION("SUM(FILTER(J:J, H:H=""Tiền mặt"")) - SUM(FILTER(K:K, H:H=""Tiền mặt""))
"),959000)</f>
        <v>959000</v>
      </c>
      <c r="N1794" s="6">
        <f ca="1">IFERROR(__xludf.DUMMYFUNCTION("SUM(FILTER(J:J, H:H=""Chuyển khoản"")) - SUM(FILTER(K:K, H:H=""Chuyển khoản""))
"),4468984)</f>
        <v>4468984</v>
      </c>
      <c r="O1794" s="5"/>
      <c r="P1794" s="5"/>
      <c r="Q1794" s="5"/>
      <c r="R1794" s="5"/>
      <c r="S1794" s="5"/>
    </row>
    <row r="1795" spans="1:19" ht="15.75" customHeight="1" x14ac:dyDescent="0.2">
      <c r="A1795" s="3"/>
      <c r="B1795" s="4" t="str">
        <f>IF(A1795="","","PC-"&amp;TEXT(A1795,"mm/yyyy")&amp;"-"&amp;TEXT(COUNTIFS($A$2:A1795,"&gt;="&amp;EOMONTH(A1795,-1)+1,$A$2:A1795,"&lt;="&amp;EOMONTH(A1795,0)),"000"))</f>
        <v/>
      </c>
      <c r="C1795" s="5"/>
      <c r="D1795" s="5"/>
      <c r="E1795" s="5"/>
      <c r="F1795" s="5"/>
      <c r="G1795" s="5"/>
      <c r="H1795" s="5"/>
      <c r="I1795" s="6"/>
      <c r="J1795" s="6">
        <f>IF(D1795="Thu",I1795,0)</f>
        <v>0</v>
      </c>
      <c r="K1795" s="6">
        <f>IF(D1795="Chi",I1795,0)</f>
        <v>0</v>
      </c>
      <c r="L1795" s="6">
        <f>L1794+J1795-K1795</f>
        <v>8050118</v>
      </c>
      <c r="M1795" s="6">
        <f ca="1">IFERROR(__xludf.DUMMYFUNCTION("SUM(FILTER(J:J, H:H=""Tiền mặt"")) - SUM(FILTER(K:K, H:H=""Tiền mặt""))
"),959000)</f>
        <v>959000</v>
      </c>
      <c r="N1795" s="6">
        <f ca="1">IFERROR(__xludf.DUMMYFUNCTION("SUM(FILTER(J:J, H:H=""Chuyển khoản"")) - SUM(FILTER(K:K, H:H=""Chuyển khoản""))
"),4468984)</f>
        <v>4468984</v>
      </c>
      <c r="O1795" s="5"/>
      <c r="P1795" s="5"/>
      <c r="Q1795" s="5"/>
      <c r="R1795" s="5"/>
      <c r="S1795" s="5"/>
    </row>
    <row r="1796" spans="1:19" ht="15.75" customHeight="1" x14ac:dyDescent="0.2">
      <c r="A1796" s="3"/>
      <c r="B1796" s="4" t="str">
        <f>IF(A1796="","","PC-"&amp;TEXT(A1796,"mm/yyyy")&amp;"-"&amp;TEXT(COUNTIFS($A$2:A1796,"&gt;="&amp;EOMONTH(A1796,-1)+1,$A$2:A1796,"&lt;="&amp;EOMONTH(A1796,0)),"000"))</f>
        <v/>
      </c>
      <c r="C1796" s="5"/>
      <c r="D1796" s="5"/>
      <c r="E1796" s="5"/>
      <c r="F1796" s="5"/>
      <c r="G1796" s="5"/>
      <c r="H1796" s="5"/>
      <c r="I1796" s="6"/>
      <c r="J1796" s="6">
        <f>IF(D1796="Thu",I1796,0)</f>
        <v>0</v>
      </c>
      <c r="K1796" s="6">
        <f>IF(D1796="Chi",I1796,0)</f>
        <v>0</v>
      </c>
      <c r="L1796" s="6">
        <f>L1795+J1796-K1796</f>
        <v>8050118</v>
      </c>
      <c r="M1796" s="6">
        <f ca="1">IFERROR(__xludf.DUMMYFUNCTION("SUM(FILTER(J:J, H:H=""Tiền mặt"")) - SUM(FILTER(K:K, H:H=""Tiền mặt""))
"),959000)</f>
        <v>959000</v>
      </c>
      <c r="N1796" s="6">
        <f ca="1">IFERROR(__xludf.DUMMYFUNCTION("SUM(FILTER(J:J, H:H=""Chuyển khoản"")) - SUM(FILTER(K:K, H:H=""Chuyển khoản""))
"),4468984)</f>
        <v>4468984</v>
      </c>
      <c r="O1796" s="5"/>
      <c r="P1796" s="5"/>
      <c r="Q1796" s="5"/>
      <c r="R1796" s="5"/>
      <c r="S1796" s="5"/>
    </row>
    <row r="1797" spans="1:19" ht="15.75" customHeight="1" x14ac:dyDescent="0.2">
      <c r="A1797" s="3"/>
      <c r="B1797" s="4" t="str">
        <f>IF(A1797="","","PC-"&amp;TEXT(A1797,"mm/yyyy")&amp;"-"&amp;TEXT(COUNTIFS($A$2:A1797,"&gt;="&amp;EOMONTH(A1797,-1)+1,$A$2:A1797,"&lt;="&amp;EOMONTH(A1797,0)),"000"))</f>
        <v/>
      </c>
      <c r="C1797" s="5"/>
      <c r="D1797" s="5"/>
      <c r="E1797" s="5"/>
      <c r="F1797" s="5"/>
      <c r="G1797" s="5"/>
      <c r="H1797" s="5"/>
      <c r="I1797" s="6"/>
      <c r="J1797" s="6">
        <f>IF(D1797="Thu",I1797,0)</f>
        <v>0</v>
      </c>
      <c r="K1797" s="6">
        <f>IF(D1797="Chi",I1797,0)</f>
        <v>0</v>
      </c>
      <c r="L1797" s="6">
        <f>L1796+J1797-K1797</f>
        <v>8050118</v>
      </c>
      <c r="M1797" s="6">
        <f ca="1">IFERROR(__xludf.DUMMYFUNCTION("SUM(FILTER(J:J, H:H=""Tiền mặt"")) - SUM(FILTER(K:K, H:H=""Tiền mặt""))
"),959000)</f>
        <v>959000</v>
      </c>
      <c r="N1797" s="6">
        <f ca="1">IFERROR(__xludf.DUMMYFUNCTION("SUM(FILTER(J:J, H:H=""Chuyển khoản"")) - SUM(FILTER(K:K, H:H=""Chuyển khoản""))
"),4468984)</f>
        <v>4468984</v>
      </c>
      <c r="O1797" s="5"/>
      <c r="P1797" s="5"/>
      <c r="Q1797" s="5"/>
      <c r="R1797" s="5"/>
      <c r="S1797" s="5"/>
    </row>
    <row r="1798" spans="1:19" ht="15.75" customHeight="1" x14ac:dyDescent="0.2">
      <c r="A1798" s="3"/>
      <c r="B1798" s="4" t="str">
        <f>IF(A1798="","","PC-"&amp;TEXT(A1798,"mm/yyyy")&amp;"-"&amp;TEXT(COUNTIFS($A$2:A1798,"&gt;="&amp;EOMONTH(A1798,-1)+1,$A$2:A1798,"&lt;="&amp;EOMONTH(A1798,0)),"000"))</f>
        <v/>
      </c>
      <c r="C1798" s="5"/>
      <c r="D1798" s="5"/>
      <c r="E1798" s="5"/>
      <c r="F1798" s="5"/>
      <c r="G1798" s="5"/>
      <c r="H1798" s="5"/>
      <c r="I1798" s="6"/>
      <c r="J1798" s="6">
        <f>IF(D1798="Thu",I1798,0)</f>
        <v>0</v>
      </c>
      <c r="K1798" s="6">
        <f>IF(D1798="Chi",I1798,0)</f>
        <v>0</v>
      </c>
      <c r="L1798" s="6">
        <f>L1797+J1798-K1798</f>
        <v>8050118</v>
      </c>
      <c r="M1798" s="6">
        <f ca="1">IFERROR(__xludf.DUMMYFUNCTION("SUM(FILTER(J:J, H:H=""Tiền mặt"")) - SUM(FILTER(K:K, H:H=""Tiền mặt""))
"),959000)</f>
        <v>959000</v>
      </c>
      <c r="N1798" s="6">
        <f ca="1">IFERROR(__xludf.DUMMYFUNCTION("SUM(FILTER(J:J, H:H=""Chuyển khoản"")) - SUM(FILTER(K:K, H:H=""Chuyển khoản""))
"),4468984)</f>
        <v>4468984</v>
      </c>
      <c r="O1798" s="5"/>
      <c r="P1798" s="5"/>
      <c r="Q1798" s="5"/>
      <c r="R1798" s="5"/>
      <c r="S1798" s="5"/>
    </row>
    <row r="1799" spans="1:19" ht="15.75" customHeight="1" x14ac:dyDescent="0.2">
      <c r="A1799" s="3"/>
      <c r="B1799" s="4" t="str">
        <f>IF(A1799="","","PC-"&amp;TEXT(A1799,"mm/yyyy")&amp;"-"&amp;TEXT(COUNTIFS($A$2:A1799,"&gt;="&amp;EOMONTH(A1799,-1)+1,$A$2:A1799,"&lt;="&amp;EOMONTH(A1799,0)),"000"))</f>
        <v/>
      </c>
      <c r="C1799" s="5"/>
      <c r="D1799" s="5"/>
      <c r="E1799" s="5"/>
      <c r="F1799" s="5"/>
      <c r="G1799" s="5"/>
      <c r="H1799" s="5"/>
      <c r="I1799" s="6"/>
      <c r="J1799" s="6">
        <f>IF(D1799="Thu",I1799,0)</f>
        <v>0</v>
      </c>
      <c r="K1799" s="6">
        <f>IF(D1799="Chi",I1799,0)</f>
        <v>0</v>
      </c>
      <c r="L1799" s="6">
        <f>L1798+J1799-K1799</f>
        <v>8050118</v>
      </c>
      <c r="M1799" s="6">
        <f ca="1">IFERROR(__xludf.DUMMYFUNCTION("SUM(FILTER(J:J, H:H=""Tiền mặt"")) - SUM(FILTER(K:K, H:H=""Tiền mặt""))
"),959000)</f>
        <v>959000</v>
      </c>
      <c r="N1799" s="6">
        <f ca="1">IFERROR(__xludf.DUMMYFUNCTION("SUM(FILTER(J:J, H:H=""Chuyển khoản"")) - SUM(FILTER(K:K, H:H=""Chuyển khoản""))
"),4468984)</f>
        <v>4468984</v>
      </c>
      <c r="O1799" s="5"/>
      <c r="P1799" s="5"/>
      <c r="Q1799" s="5"/>
      <c r="R1799" s="5"/>
      <c r="S1799" s="5"/>
    </row>
    <row r="1800" spans="1:19" ht="15.75" customHeight="1" x14ac:dyDescent="0.2">
      <c r="A1800" s="3"/>
      <c r="B1800" s="4" t="str">
        <f>IF(A1800="","","PC-"&amp;TEXT(A1800,"mm/yyyy")&amp;"-"&amp;TEXT(COUNTIFS($A$2:A1800,"&gt;="&amp;EOMONTH(A1800,-1)+1,$A$2:A1800,"&lt;="&amp;EOMONTH(A1800,0)),"000"))</f>
        <v/>
      </c>
      <c r="C1800" s="5"/>
      <c r="D1800" s="5"/>
      <c r="E1800" s="5"/>
      <c r="F1800" s="5"/>
      <c r="G1800" s="5"/>
      <c r="H1800" s="5"/>
      <c r="I1800" s="6"/>
      <c r="J1800" s="6">
        <f>IF(D1800="Thu",I1800,0)</f>
        <v>0</v>
      </c>
      <c r="K1800" s="6">
        <f>IF(D1800="Chi",I1800,0)</f>
        <v>0</v>
      </c>
      <c r="L1800" s="6">
        <f>L1799+J1800-K1800</f>
        <v>8050118</v>
      </c>
      <c r="M1800" s="6">
        <f ca="1">IFERROR(__xludf.DUMMYFUNCTION("SUM(FILTER(J:J, H:H=""Tiền mặt"")) - SUM(FILTER(K:K, H:H=""Tiền mặt""))
"),959000)</f>
        <v>959000</v>
      </c>
      <c r="N1800" s="6">
        <f ca="1">IFERROR(__xludf.DUMMYFUNCTION("SUM(FILTER(J:J, H:H=""Chuyển khoản"")) - SUM(FILTER(K:K, H:H=""Chuyển khoản""))
"),4468984)</f>
        <v>4468984</v>
      </c>
      <c r="O1800" s="5"/>
      <c r="P1800" s="5"/>
      <c r="Q1800" s="5"/>
      <c r="R1800" s="5"/>
      <c r="S1800" s="5"/>
    </row>
    <row r="1801" spans="1:19" ht="15.75" customHeight="1" x14ac:dyDescent="0.2">
      <c r="A1801" s="3"/>
      <c r="B1801" s="4" t="str">
        <f>IF(A1801="","","PC-"&amp;TEXT(A1801,"mm/yyyy")&amp;"-"&amp;TEXT(COUNTIFS($A$2:A1801,"&gt;="&amp;EOMONTH(A1801,-1)+1,$A$2:A1801,"&lt;="&amp;EOMONTH(A1801,0)),"000"))</f>
        <v/>
      </c>
      <c r="C1801" s="5"/>
      <c r="D1801" s="5"/>
      <c r="E1801" s="5"/>
      <c r="F1801" s="5"/>
      <c r="G1801" s="5"/>
      <c r="H1801" s="5"/>
      <c r="I1801" s="6"/>
      <c r="J1801" s="6">
        <f>IF(D1801="Thu",I1801,0)</f>
        <v>0</v>
      </c>
      <c r="K1801" s="6">
        <f>IF(D1801="Chi",I1801,0)</f>
        <v>0</v>
      </c>
      <c r="L1801" s="6">
        <f>L1800+J1801-K1801</f>
        <v>8050118</v>
      </c>
      <c r="M1801" s="6">
        <f ca="1">IFERROR(__xludf.DUMMYFUNCTION("SUM(FILTER(J:J, H:H=""Tiền mặt"")) - SUM(FILTER(K:K, H:H=""Tiền mặt""))
"),959000)</f>
        <v>959000</v>
      </c>
      <c r="N1801" s="6">
        <f ca="1">IFERROR(__xludf.DUMMYFUNCTION("SUM(FILTER(J:J, H:H=""Chuyển khoản"")) - SUM(FILTER(K:K, H:H=""Chuyển khoản""))
"),4468984)</f>
        <v>4468984</v>
      </c>
      <c r="O1801" s="5"/>
      <c r="P1801" s="5"/>
      <c r="Q1801" s="5"/>
      <c r="R1801" s="5"/>
      <c r="S1801" s="5"/>
    </row>
    <row r="1802" spans="1:19" ht="15.75" customHeight="1" x14ac:dyDescent="0.2">
      <c r="A1802" s="3"/>
      <c r="B1802" s="4" t="str">
        <f>IF(A1802="","","PC-"&amp;TEXT(A1802,"mm/yyyy")&amp;"-"&amp;TEXT(COUNTIFS($A$2:A1802,"&gt;="&amp;EOMONTH(A1802,-1)+1,$A$2:A1802,"&lt;="&amp;EOMONTH(A1802,0)),"000"))</f>
        <v/>
      </c>
      <c r="C1802" s="5"/>
      <c r="D1802" s="5"/>
      <c r="E1802" s="5"/>
      <c r="F1802" s="5"/>
      <c r="G1802" s="5"/>
      <c r="H1802" s="5"/>
      <c r="I1802" s="6"/>
      <c r="J1802" s="6">
        <f>IF(D1802="Thu",I1802,0)</f>
        <v>0</v>
      </c>
      <c r="K1802" s="6">
        <f>IF(D1802="Chi",I1802,0)</f>
        <v>0</v>
      </c>
      <c r="L1802" s="6">
        <f>L1801+J1802-K1802</f>
        <v>8050118</v>
      </c>
      <c r="M1802" s="6">
        <f ca="1">IFERROR(__xludf.DUMMYFUNCTION("SUM(FILTER(J:J, H:H=""Tiền mặt"")) - SUM(FILTER(K:K, H:H=""Tiền mặt""))
"),959000)</f>
        <v>959000</v>
      </c>
      <c r="N1802" s="6">
        <f ca="1">IFERROR(__xludf.DUMMYFUNCTION("SUM(FILTER(J:J, H:H=""Chuyển khoản"")) - SUM(FILTER(K:K, H:H=""Chuyển khoản""))
"),4468984)</f>
        <v>4468984</v>
      </c>
      <c r="O1802" s="5"/>
      <c r="P1802" s="5"/>
      <c r="Q1802" s="5"/>
      <c r="R1802" s="5"/>
      <c r="S1802" s="5"/>
    </row>
    <row r="1803" spans="1:19" ht="15.75" customHeight="1" x14ac:dyDescent="0.2">
      <c r="A1803" s="3"/>
      <c r="B1803" s="4" t="str">
        <f>IF(A1803="","","PC-"&amp;TEXT(A1803,"mm/yyyy")&amp;"-"&amp;TEXT(COUNTIFS($A$2:A1803,"&gt;="&amp;EOMONTH(A1803,-1)+1,$A$2:A1803,"&lt;="&amp;EOMONTH(A1803,0)),"000"))</f>
        <v/>
      </c>
      <c r="C1803" s="5"/>
      <c r="D1803" s="5"/>
      <c r="E1803" s="5"/>
      <c r="F1803" s="5"/>
      <c r="G1803" s="5"/>
      <c r="H1803" s="5"/>
      <c r="I1803" s="6"/>
      <c r="J1803" s="6">
        <f>IF(D1803="Thu",I1803,0)</f>
        <v>0</v>
      </c>
      <c r="K1803" s="6">
        <f>IF(D1803="Chi",I1803,0)</f>
        <v>0</v>
      </c>
      <c r="L1803" s="6">
        <f>L1802+J1803-K1803</f>
        <v>8050118</v>
      </c>
      <c r="M1803" s="6">
        <f ca="1">IFERROR(__xludf.DUMMYFUNCTION("SUM(FILTER(J:J, H:H=""Tiền mặt"")) - SUM(FILTER(K:K, H:H=""Tiền mặt""))
"),959000)</f>
        <v>959000</v>
      </c>
      <c r="N1803" s="6">
        <f ca="1">IFERROR(__xludf.DUMMYFUNCTION("SUM(FILTER(J:J, H:H=""Chuyển khoản"")) - SUM(FILTER(K:K, H:H=""Chuyển khoản""))
"),4468984)</f>
        <v>4468984</v>
      </c>
      <c r="O1803" s="5"/>
      <c r="P1803" s="5"/>
      <c r="Q1803" s="5"/>
      <c r="R1803" s="5"/>
      <c r="S1803" s="5"/>
    </row>
    <row r="1804" spans="1:19" ht="15.75" customHeight="1" x14ac:dyDescent="0.2">
      <c r="A1804" s="3"/>
      <c r="B1804" s="4" t="str">
        <f>IF(A1804="","","PC-"&amp;TEXT(A1804,"mm/yyyy")&amp;"-"&amp;TEXT(COUNTIFS($A$2:A1804,"&gt;="&amp;EOMONTH(A1804,-1)+1,$A$2:A1804,"&lt;="&amp;EOMONTH(A1804,0)),"000"))</f>
        <v/>
      </c>
      <c r="C1804" s="5"/>
      <c r="D1804" s="5"/>
      <c r="E1804" s="5"/>
      <c r="F1804" s="5"/>
      <c r="G1804" s="5"/>
      <c r="H1804" s="5"/>
      <c r="I1804" s="6"/>
      <c r="J1804" s="6">
        <f>IF(D1804="Thu",I1804,0)</f>
        <v>0</v>
      </c>
      <c r="K1804" s="6">
        <f>IF(D1804="Chi",I1804,0)</f>
        <v>0</v>
      </c>
      <c r="L1804" s="6">
        <f>L1803+J1804-K1804</f>
        <v>8050118</v>
      </c>
      <c r="M1804" s="6">
        <f ca="1">IFERROR(__xludf.DUMMYFUNCTION("SUM(FILTER(J:J, H:H=""Tiền mặt"")) - SUM(FILTER(K:K, H:H=""Tiền mặt""))
"),959000)</f>
        <v>959000</v>
      </c>
      <c r="N1804" s="6">
        <f ca="1">IFERROR(__xludf.DUMMYFUNCTION("SUM(FILTER(J:J, H:H=""Chuyển khoản"")) - SUM(FILTER(K:K, H:H=""Chuyển khoản""))
"),4468984)</f>
        <v>4468984</v>
      </c>
      <c r="O1804" s="5"/>
      <c r="P1804" s="5"/>
      <c r="Q1804" s="5"/>
      <c r="R1804" s="5"/>
      <c r="S1804" s="5"/>
    </row>
    <row r="1805" spans="1:19" ht="15.75" customHeight="1" x14ac:dyDescent="0.2">
      <c r="A1805" s="3"/>
      <c r="B1805" s="4" t="str">
        <f>IF(A1805="","","PC-"&amp;TEXT(A1805,"mm/yyyy")&amp;"-"&amp;TEXT(COUNTIFS($A$2:A1805,"&gt;="&amp;EOMONTH(A1805,-1)+1,$A$2:A1805,"&lt;="&amp;EOMONTH(A1805,0)),"000"))</f>
        <v/>
      </c>
      <c r="C1805" s="5"/>
      <c r="D1805" s="5"/>
      <c r="E1805" s="5"/>
      <c r="F1805" s="5"/>
      <c r="G1805" s="5"/>
      <c r="H1805" s="5"/>
      <c r="I1805" s="6"/>
      <c r="J1805" s="6">
        <f>IF(D1805="Thu",I1805,0)</f>
        <v>0</v>
      </c>
      <c r="K1805" s="6">
        <f>IF(D1805="Chi",I1805,0)</f>
        <v>0</v>
      </c>
      <c r="L1805" s="6">
        <f>L1804+J1805-K1805</f>
        <v>8050118</v>
      </c>
      <c r="M1805" s="6">
        <f ca="1">IFERROR(__xludf.DUMMYFUNCTION("SUM(FILTER(J:J, H:H=""Tiền mặt"")) - SUM(FILTER(K:K, H:H=""Tiền mặt""))
"),959000)</f>
        <v>959000</v>
      </c>
      <c r="N1805" s="6">
        <f ca="1">IFERROR(__xludf.DUMMYFUNCTION("SUM(FILTER(J:J, H:H=""Chuyển khoản"")) - SUM(FILTER(K:K, H:H=""Chuyển khoản""))
"),4468984)</f>
        <v>4468984</v>
      </c>
      <c r="O1805" s="5"/>
      <c r="P1805" s="5"/>
      <c r="Q1805" s="5"/>
      <c r="R1805" s="5"/>
      <c r="S1805" s="5"/>
    </row>
    <row r="1806" spans="1:19" ht="15.75" customHeight="1" x14ac:dyDescent="0.2">
      <c r="A1806" s="3"/>
      <c r="B1806" s="4" t="str">
        <f>IF(A1806="","","PC-"&amp;TEXT(A1806,"mm/yyyy")&amp;"-"&amp;TEXT(COUNTIFS($A$2:A1806,"&gt;="&amp;EOMONTH(A1806,-1)+1,$A$2:A1806,"&lt;="&amp;EOMONTH(A1806,0)),"000"))</f>
        <v/>
      </c>
      <c r="C1806" s="5"/>
      <c r="D1806" s="5"/>
      <c r="E1806" s="5"/>
      <c r="F1806" s="5"/>
      <c r="G1806" s="5"/>
      <c r="H1806" s="5"/>
      <c r="I1806" s="6"/>
      <c r="J1806" s="6">
        <f>IF(D1806="Thu",I1806,0)</f>
        <v>0</v>
      </c>
      <c r="K1806" s="6">
        <f>IF(D1806="Chi",I1806,0)</f>
        <v>0</v>
      </c>
      <c r="L1806" s="6">
        <f>L1805+J1806-K1806</f>
        <v>8050118</v>
      </c>
      <c r="M1806" s="6">
        <f ca="1">IFERROR(__xludf.DUMMYFUNCTION("SUM(FILTER(J:J, H:H=""Tiền mặt"")) - SUM(FILTER(K:K, H:H=""Tiền mặt""))
"),959000)</f>
        <v>959000</v>
      </c>
      <c r="N1806" s="6">
        <f ca="1">IFERROR(__xludf.DUMMYFUNCTION("SUM(FILTER(J:J, H:H=""Chuyển khoản"")) - SUM(FILTER(K:K, H:H=""Chuyển khoản""))
"),4468984)</f>
        <v>4468984</v>
      </c>
      <c r="O1806" s="5"/>
      <c r="P1806" s="5"/>
      <c r="Q1806" s="5"/>
      <c r="R1806" s="5"/>
      <c r="S1806" s="5"/>
    </row>
    <row r="1807" spans="1:19" ht="15.75" customHeight="1" x14ac:dyDescent="0.2">
      <c r="A1807" s="3"/>
      <c r="B1807" s="4" t="str">
        <f>IF(A1807="","","PC-"&amp;TEXT(A1807,"mm/yyyy")&amp;"-"&amp;TEXT(COUNTIFS($A$2:A1807,"&gt;="&amp;EOMONTH(A1807,-1)+1,$A$2:A1807,"&lt;="&amp;EOMONTH(A1807,0)),"000"))</f>
        <v/>
      </c>
      <c r="C1807" s="5"/>
      <c r="D1807" s="5"/>
      <c r="E1807" s="5"/>
      <c r="F1807" s="5"/>
      <c r="G1807" s="5"/>
      <c r="H1807" s="5"/>
      <c r="I1807" s="6"/>
      <c r="J1807" s="6">
        <f>IF(D1807="Thu",I1807,0)</f>
        <v>0</v>
      </c>
      <c r="K1807" s="6">
        <f>IF(D1807="Chi",I1807,0)</f>
        <v>0</v>
      </c>
      <c r="L1807" s="6">
        <f>L1806+J1807-K1807</f>
        <v>8050118</v>
      </c>
      <c r="M1807" s="6">
        <f ca="1">IFERROR(__xludf.DUMMYFUNCTION("SUM(FILTER(J:J, H:H=""Tiền mặt"")) - SUM(FILTER(K:K, H:H=""Tiền mặt""))
"),959000)</f>
        <v>959000</v>
      </c>
      <c r="N1807" s="6">
        <f ca="1">IFERROR(__xludf.DUMMYFUNCTION("SUM(FILTER(J:J, H:H=""Chuyển khoản"")) - SUM(FILTER(K:K, H:H=""Chuyển khoản""))
"),4468984)</f>
        <v>4468984</v>
      </c>
      <c r="O1807" s="5"/>
      <c r="P1807" s="5"/>
      <c r="Q1807" s="5"/>
      <c r="R1807" s="5"/>
      <c r="S1807" s="5"/>
    </row>
    <row r="1808" spans="1:19" ht="15.75" customHeight="1" x14ac:dyDescent="0.2">
      <c r="A1808" s="3"/>
      <c r="B1808" s="4" t="str">
        <f>IF(A1808="","","PC-"&amp;TEXT(A1808,"mm/yyyy")&amp;"-"&amp;TEXT(COUNTIFS($A$2:A1808,"&gt;="&amp;EOMONTH(A1808,-1)+1,$A$2:A1808,"&lt;="&amp;EOMONTH(A1808,0)),"000"))</f>
        <v/>
      </c>
      <c r="C1808" s="5"/>
      <c r="D1808" s="5"/>
      <c r="E1808" s="5"/>
      <c r="F1808" s="5"/>
      <c r="G1808" s="5"/>
      <c r="H1808" s="5"/>
      <c r="I1808" s="6"/>
      <c r="J1808" s="6">
        <f>IF(D1808="Thu",I1808,0)</f>
        <v>0</v>
      </c>
      <c r="K1808" s="6">
        <f>IF(D1808="Chi",I1808,0)</f>
        <v>0</v>
      </c>
      <c r="L1808" s="6">
        <f>L1807+J1808-K1808</f>
        <v>8050118</v>
      </c>
      <c r="M1808" s="6">
        <f ca="1">IFERROR(__xludf.DUMMYFUNCTION("SUM(FILTER(J:J, H:H=""Tiền mặt"")) - SUM(FILTER(K:K, H:H=""Tiền mặt""))
"),959000)</f>
        <v>959000</v>
      </c>
      <c r="N1808" s="6">
        <f ca="1">IFERROR(__xludf.DUMMYFUNCTION("SUM(FILTER(J:J, H:H=""Chuyển khoản"")) - SUM(FILTER(K:K, H:H=""Chuyển khoản""))
"),4468984)</f>
        <v>4468984</v>
      </c>
      <c r="O1808" s="5"/>
      <c r="P1808" s="5"/>
      <c r="Q1808" s="5"/>
      <c r="R1808" s="5"/>
      <c r="S1808" s="5"/>
    </row>
    <row r="1809" spans="1:19" ht="15.75" customHeight="1" x14ac:dyDescent="0.2">
      <c r="A1809" s="3"/>
      <c r="B1809" s="4" t="str">
        <f>IF(A1809="","","PC-"&amp;TEXT(A1809,"mm/yyyy")&amp;"-"&amp;TEXT(COUNTIFS($A$2:A1809,"&gt;="&amp;EOMONTH(A1809,-1)+1,$A$2:A1809,"&lt;="&amp;EOMONTH(A1809,0)),"000"))</f>
        <v/>
      </c>
      <c r="C1809" s="5"/>
      <c r="D1809" s="5"/>
      <c r="E1809" s="5"/>
      <c r="F1809" s="5"/>
      <c r="G1809" s="5"/>
      <c r="H1809" s="5"/>
      <c r="I1809" s="6"/>
      <c r="J1809" s="6">
        <f>IF(D1809="Thu",I1809,0)</f>
        <v>0</v>
      </c>
      <c r="K1809" s="6">
        <f>IF(D1809="Chi",I1809,0)</f>
        <v>0</v>
      </c>
      <c r="L1809" s="6">
        <f>L1808+J1809-K1809</f>
        <v>8050118</v>
      </c>
      <c r="M1809" s="6">
        <f ca="1">IFERROR(__xludf.DUMMYFUNCTION("SUM(FILTER(J:J, H:H=""Tiền mặt"")) - SUM(FILTER(K:K, H:H=""Tiền mặt""))
"),959000)</f>
        <v>959000</v>
      </c>
      <c r="N1809" s="6">
        <f ca="1">IFERROR(__xludf.DUMMYFUNCTION("SUM(FILTER(J:J, H:H=""Chuyển khoản"")) - SUM(FILTER(K:K, H:H=""Chuyển khoản""))
"),4468984)</f>
        <v>4468984</v>
      </c>
      <c r="O1809" s="5"/>
      <c r="P1809" s="5"/>
      <c r="Q1809" s="5"/>
      <c r="R1809" s="5"/>
      <c r="S1809" s="5"/>
    </row>
    <row r="1810" spans="1:19" ht="15.75" customHeight="1" x14ac:dyDescent="0.2">
      <c r="A1810" s="3"/>
      <c r="B1810" s="4" t="str">
        <f>IF(A1810="","","PC-"&amp;TEXT(A1810,"mm/yyyy")&amp;"-"&amp;TEXT(COUNTIFS($A$2:A1810,"&gt;="&amp;EOMONTH(A1810,-1)+1,$A$2:A1810,"&lt;="&amp;EOMONTH(A1810,0)),"000"))</f>
        <v/>
      </c>
      <c r="C1810" s="5"/>
      <c r="D1810" s="5"/>
      <c r="E1810" s="5"/>
      <c r="F1810" s="5"/>
      <c r="G1810" s="5"/>
      <c r="H1810" s="5"/>
      <c r="I1810" s="6"/>
      <c r="J1810" s="6">
        <f>IF(D1810="Thu",I1810,0)</f>
        <v>0</v>
      </c>
      <c r="K1810" s="6">
        <f>IF(D1810="Chi",I1810,0)</f>
        <v>0</v>
      </c>
      <c r="L1810" s="6">
        <f>L1809+J1810-K1810</f>
        <v>8050118</v>
      </c>
      <c r="M1810" s="6">
        <f ca="1">IFERROR(__xludf.DUMMYFUNCTION("SUM(FILTER(J:J, H:H=""Tiền mặt"")) - SUM(FILTER(K:K, H:H=""Tiền mặt""))
"),959000)</f>
        <v>959000</v>
      </c>
      <c r="N1810" s="6">
        <f ca="1">IFERROR(__xludf.DUMMYFUNCTION("SUM(FILTER(J:J, H:H=""Chuyển khoản"")) - SUM(FILTER(K:K, H:H=""Chuyển khoản""))
"),4468984)</f>
        <v>4468984</v>
      </c>
      <c r="O1810" s="5"/>
      <c r="P1810" s="5"/>
      <c r="Q1810" s="5"/>
      <c r="R1810" s="5"/>
      <c r="S1810" s="5"/>
    </row>
    <row r="1811" spans="1:19" ht="15.75" customHeight="1" x14ac:dyDescent="0.2">
      <c r="A1811" s="3"/>
      <c r="B1811" s="4" t="str">
        <f>IF(A1811="","","PC-"&amp;TEXT(A1811,"mm/yyyy")&amp;"-"&amp;TEXT(COUNTIFS($A$2:A1811,"&gt;="&amp;EOMONTH(A1811,-1)+1,$A$2:A1811,"&lt;="&amp;EOMONTH(A1811,0)),"000"))</f>
        <v/>
      </c>
      <c r="C1811" s="5"/>
      <c r="D1811" s="5"/>
      <c r="E1811" s="5"/>
      <c r="F1811" s="5"/>
      <c r="G1811" s="5"/>
      <c r="H1811" s="5"/>
      <c r="I1811" s="6"/>
      <c r="J1811" s="6">
        <f>IF(D1811="Thu",I1811,0)</f>
        <v>0</v>
      </c>
      <c r="K1811" s="6">
        <f>IF(D1811="Chi",I1811,0)</f>
        <v>0</v>
      </c>
      <c r="L1811" s="6">
        <f>L1810+J1811-K1811</f>
        <v>8050118</v>
      </c>
      <c r="M1811" s="6">
        <f ca="1">IFERROR(__xludf.DUMMYFUNCTION("SUM(FILTER(J:J, H:H=""Tiền mặt"")) - SUM(FILTER(K:K, H:H=""Tiền mặt""))
"),959000)</f>
        <v>959000</v>
      </c>
      <c r="N1811" s="6">
        <f ca="1">IFERROR(__xludf.DUMMYFUNCTION("SUM(FILTER(J:J, H:H=""Chuyển khoản"")) - SUM(FILTER(K:K, H:H=""Chuyển khoản""))
"),4468984)</f>
        <v>4468984</v>
      </c>
      <c r="O1811" s="5"/>
      <c r="P1811" s="5"/>
      <c r="Q1811" s="5"/>
      <c r="R1811" s="5"/>
      <c r="S1811" s="5"/>
    </row>
    <row r="1812" spans="1:19" ht="15.75" customHeight="1" x14ac:dyDescent="0.2">
      <c r="A1812" s="3"/>
      <c r="B1812" s="4" t="str">
        <f>IF(A1812="","","PC-"&amp;TEXT(A1812,"mm/yyyy")&amp;"-"&amp;TEXT(COUNTIFS($A$2:A1812,"&gt;="&amp;EOMONTH(A1812,-1)+1,$A$2:A1812,"&lt;="&amp;EOMONTH(A1812,0)),"000"))</f>
        <v/>
      </c>
      <c r="C1812" s="5"/>
      <c r="D1812" s="5"/>
      <c r="E1812" s="5"/>
      <c r="F1812" s="5"/>
      <c r="G1812" s="5"/>
      <c r="H1812" s="5"/>
      <c r="I1812" s="6"/>
      <c r="J1812" s="6">
        <f>IF(D1812="Thu",I1812,0)</f>
        <v>0</v>
      </c>
      <c r="K1812" s="6">
        <f>IF(D1812="Chi",I1812,0)</f>
        <v>0</v>
      </c>
      <c r="L1812" s="6">
        <f>L1811+J1812-K1812</f>
        <v>8050118</v>
      </c>
      <c r="M1812" s="6">
        <f ca="1">IFERROR(__xludf.DUMMYFUNCTION("SUM(FILTER(J:J, H:H=""Tiền mặt"")) - SUM(FILTER(K:K, H:H=""Tiền mặt""))
"),959000)</f>
        <v>959000</v>
      </c>
      <c r="N1812" s="6">
        <f ca="1">IFERROR(__xludf.DUMMYFUNCTION("SUM(FILTER(J:J, H:H=""Chuyển khoản"")) - SUM(FILTER(K:K, H:H=""Chuyển khoản""))
"),4468984)</f>
        <v>4468984</v>
      </c>
      <c r="O1812" s="5"/>
      <c r="P1812" s="5"/>
      <c r="Q1812" s="5"/>
      <c r="R1812" s="5"/>
      <c r="S1812" s="5"/>
    </row>
    <row r="1813" spans="1:19" ht="15.75" customHeight="1" x14ac:dyDescent="0.2">
      <c r="A1813" s="3"/>
      <c r="B1813" s="4" t="str">
        <f>IF(A1813="","","PC-"&amp;TEXT(A1813,"mm/yyyy")&amp;"-"&amp;TEXT(COUNTIFS($A$2:A1813,"&gt;="&amp;EOMONTH(A1813,-1)+1,$A$2:A1813,"&lt;="&amp;EOMONTH(A1813,0)),"000"))</f>
        <v/>
      </c>
      <c r="C1813" s="5"/>
      <c r="D1813" s="5"/>
      <c r="E1813" s="5"/>
      <c r="F1813" s="5"/>
      <c r="G1813" s="5"/>
      <c r="H1813" s="5"/>
      <c r="I1813" s="6"/>
      <c r="J1813" s="6">
        <f>IF(D1813="Thu",I1813,0)</f>
        <v>0</v>
      </c>
      <c r="K1813" s="6">
        <f>IF(D1813="Chi",I1813,0)</f>
        <v>0</v>
      </c>
      <c r="L1813" s="6">
        <f>L1812+J1813-K1813</f>
        <v>8050118</v>
      </c>
      <c r="M1813" s="6">
        <f ca="1">IFERROR(__xludf.DUMMYFUNCTION("SUM(FILTER(J:J, H:H=""Tiền mặt"")) - SUM(FILTER(K:K, H:H=""Tiền mặt""))
"),959000)</f>
        <v>959000</v>
      </c>
      <c r="N1813" s="6">
        <f ca="1">IFERROR(__xludf.DUMMYFUNCTION("SUM(FILTER(J:J, H:H=""Chuyển khoản"")) - SUM(FILTER(K:K, H:H=""Chuyển khoản""))
"),4468984)</f>
        <v>4468984</v>
      </c>
      <c r="O1813" s="5"/>
      <c r="P1813" s="5"/>
      <c r="Q1813" s="5"/>
      <c r="R1813" s="5"/>
      <c r="S1813" s="5"/>
    </row>
    <row r="1814" spans="1:19" ht="15.75" customHeight="1" x14ac:dyDescent="0.2">
      <c r="A1814" s="3"/>
      <c r="B1814" s="4" t="str">
        <f>IF(A1814="","","PC-"&amp;TEXT(A1814,"mm/yyyy")&amp;"-"&amp;TEXT(COUNTIFS($A$2:A1814,"&gt;="&amp;EOMONTH(A1814,-1)+1,$A$2:A1814,"&lt;="&amp;EOMONTH(A1814,0)),"000"))</f>
        <v/>
      </c>
      <c r="C1814" s="5"/>
      <c r="D1814" s="5"/>
      <c r="E1814" s="5"/>
      <c r="F1814" s="5"/>
      <c r="G1814" s="5"/>
      <c r="H1814" s="5"/>
      <c r="I1814" s="6"/>
      <c r="J1814" s="6">
        <f>IF(D1814="Thu",I1814,0)</f>
        <v>0</v>
      </c>
      <c r="K1814" s="6">
        <f>IF(D1814="Chi",I1814,0)</f>
        <v>0</v>
      </c>
      <c r="L1814" s="6">
        <f>L1813+J1814-K1814</f>
        <v>8050118</v>
      </c>
      <c r="M1814" s="6">
        <f ca="1">IFERROR(__xludf.DUMMYFUNCTION("SUM(FILTER(J:J, H:H=""Tiền mặt"")) - SUM(FILTER(K:K, H:H=""Tiền mặt""))
"),959000)</f>
        <v>959000</v>
      </c>
      <c r="N1814" s="6">
        <f ca="1">IFERROR(__xludf.DUMMYFUNCTION("SUM(FILTER(J:J, H:H=""Chuyển khoản"")) - SUM(FILTER(K:K, H:H=""Chuyển khoản""))
"),4468984)</f>
        <v>4468984</v>
      </c>
      <c r="O1814" s="5"/>
      <c r="P1814" s="5"/>
      <c r="Q1814" s="5"/>
      <c r="R1814" s="5"/>
      <c r="S1814" s="5"/>
    </row>
    <row r="1815" spans="1:19" ht="15.75" customHeight="1" x14ac:dyDescent="0.2">
      <c r="A1815" s="3"/>
      <c r="B1815" s="4" t="str">
        <f>IF(A1815="","","PC-"&amp;TEXT(A1815,"mm/yyyy")&amp;"-"&amp;TEXT(COUNTIFS($A$2:A1815,"&gt;="&amp;EOMONTH(A1815,-1)+1,$A$2:A1815,"&lt;="&amp;EOMONTH(A1815,0)),"000"))</f>
        <v/>
      </c>
      <c r="C1815" s="5"/>
      <c r="D1815" s="5"/>
      <c r="E1815" s="5"/>
      <c r="F1815" s="5"/>
      <c r="G1815" s="5"/>
      <c r="H1815" s="5"/>
      <c r="I1815" s="6"/>
      <c r="J1815" s="6">
        <f>IF(D1815="Thu",I1815,0)</f>
        <v>0</v>
      </c>
      <c r="K1815" s="6">
        <f>IF(D1815="Chi",I1815,0)</f>
        <v>0</v>
      </c>
      <c r="L1815" s="6">
        <f>L1814+J1815-K1815</f>
        <v>8050118</v>
      </c>
      <c r="M1815" s="6">
        <f ca="1">IFERROR(__xludf.DUMMYFUNCTION("SUM(FILTER(J:J, H:H=""Tiền mặt"")) - SUM(FILTER(K:K, H:H=""Tiền mặt""))
"),959000)</f>
        <v>959000</v>
      </c>
      <c r="N1815" s="6">
        <f ca="1">IFERROR(__xludf.DUMMYFUNCTION("SUM(FILTER(J:J, H:H=""Chuyển khoản"")) - SUM(FILTER(K:K, H:H=""Chuyển khoản""))
"),4468984)</f>
        <v>4468984</v>
      </c>
      <c r="O1815" s="5"/>
      <c r="P1815" s="5"/>
      <c r="Q1815" s="5"/>
      <c r="R1815" s="5"/>
      <c r="S1815" s="5"/>
    </row>
    <row r="1816" spans="1:19" ht="15.75" customHeight="1" x14ac:dyDescent="0.2">
      <c r="A1816" s="3"/>
      <c r="B1816" s="4" t="str">
        <f>IF(A1816="","","PC-"&amp;TEXT(A1816,"mm/yyyy")&amp;"-"&amp;TEXT(COUNTIFS($A$2:A1816,"&gt;="&amp;EOMONTH(A1816,-1)+1,$A$2:A1816,"&lt;="&amp;EOMONTH(A1816,0)),"000"))</f>
        <v/>
      </c>
      <c r="C1816" s="5"/>
      <c r="D1816" s="5"/>
      <c r="E1816" s="5"/>
      <c r="F1816" s="5"/>
      <c r="G1816" s="5"/>
      <c r="H1816" s="5"/>
      <c r="I1816" s="6"/>
      <c r="J1816" s="6">
        <f>IF(D1816="Thu",I1816,0)</f>
        <v>0</v>
      </c>
      <c r="K1816" s="6">
        <f>IF(D1816="Chi",I1816,0)</f>
        <v>0</v>
      </c>
      <c r="L1816" s="6">
        <f>L1815+J1816-K1816</f>
        <v>8050118</v>
      </c>
      <c r="M1816" s="6">
        <f ca="1">IFERROR(__xludf.DUMMYFUNCTION("SUM(FILTER(J:J, H:H=""Tiền mặt"")) - SUM(FILTER(K:K, H:H=""Tiền mặt""))
"),959000)</f>
        <v>959000</v>
      </c>
      <c r="N1816" s="6">
        <f ca="1">IFERROR(__xludf.DUMMYFUNCTION("SUM(FILTER(J:J, H:H=""Chuyển khoản"")) - SUM(FILTER(K:K, H:H=""Chuyển khoản""))
"),4468984)</f>
        <v>4468984</v>
      </c>
      <c r="O1816" s="5"/>
      <c r="P1816" s="5"/>
      <c r="Q1816" s="5"/>
      <c r="R1816" s="5"/>
      <c r="S1816" s="5"/>
    </row>
    <row r="1817" spans="1:19" ht="15.75" customHeight="1" x14ac:dyDescent="0.2">
      <c r="A1817" s="3"/>
      <c r="B1817" s="4" t="str">
        <f>IF(A1817="","","PC-"&amp;TEXT(A1817,"mm/yyyy")&amp;"-"&amp;TEXT(COUNTIFS($A$2:A1817,"&gt;="&amp;EOMONTH(A1817,-1)+1,$A$2:A1817,"&lt;="&amp;EOMONTH(A1817,0)),"000"))</f>
        <v/>
      </c>
      <c r="C1817" s="5"/>
      <c r="D1817" s="5"/>
      <c r="E1817" s="5"/>
      <c r="F1817" s="5"/>
      <c r="G1817" s="5"/>
      <c r="H1817" s="5"/>
      <c r="I1817" s="6"/>
      <c r="J1817" s="6">
        <f>IF(D1817="Thu",I1817,0)</f>
        <v>0</v>
      </c>
      <c r="K1817" s="6">
        <f>IF(D1817="Chi",I1817,0)</f>
        <v>0</v>
      </c>
      <c r="L1817" s="6">
        <f>L1816+J1817-K1817</f>
        <v>8050118</v>
      </c>
      <c r="M1817" s="6">
        <f ca="1">IFERROR(__xludf.DUMMYFUNCTION("SUM(FILTER(J:J, H:H=""Tiền mặt"")) - SUM(FILTER(K:K, H:H=""Tiền mặt""))
"),959000)</f>
        <v>959000</v>
      </c>
      <c r="N1817" s="6">
        <f ca="1">IFERROR(__xludf.DUMMYFUNCTION("SUM(FILTER(J:J, H:H=""Chuyển khoản"")) - SUM(FILTER(K:K, H:H=""Chuyển khoản""))
"),4468984)</f>
        <v>4468984</v>
      </c>
      <c r="O1817" s="5"/>
      <c r="P1817" s="5"/>
      <c r="Q1817" s="5"/>
      <c r="R1817" s="5"/>
      <c r="S1817" s="5"/>
    </row>
    <row r="1818" spans="1:19" ht="15.75" customHeight="1" x14ac:dyDescent="0.2">
      <c r="A1818" s="3"/>
      <c r="B1818" s="4" t="str">
        <f>IF(A1818="","","PC-"&amp;TEXT(A1818,"mm/yyyy")&amp;"-"&amp;TEXT(COUNTIFS($A$2:A1818,"&gt;="&amp;EOMONTH(A1818,-1)+1,$A$2:A1818,"&lt;="&amp;EOMONTH(A1818,0)),"000"))</f>
        <v/>
      </c>
      <c r="C1818" s="5"/>
      <c r="D1818" s="5"/>
      <c r="E1818" s="5"/>
      <c r="F1818" s="5"/>
      <c r="G1818" s="5"/>
      <c r="H1818" s="5"/>
      <c r="I1818" s="6"/>
      <c r="J1818" s="6">
        <f>IF(D1818="Thu",I1818,0)</f>
        <v>0</v>
      </c>
      <c r="K1818" s="6">
        <f>IF(D1818="Chi",I1818,0)</f>
        <v>0</v>
      </c>
      <c r="L1818" s="6">
        <f>L1817+J1818-K1818</f>
        <v>8050118</v>
      </c>
      <c r="M1818" s="6">
        <f ca="1">IFERROR(__xludf.DUMMYFUNCTION("SUM(FILTER(J:J, H:H=""Tiền mặt"")) - SUM(FILTER(K:K, H:H=""Tiền mặt""))
"),959000)</f>
        <v>959000</v>
      </c>
      <c r="N1818" s="6">
        <f ca="1">IFERROR(__xludf.DUMMYFUNCTION("SUM(FILTER(J:J, H:H=""Chuyển khoản"")) - SUM(FILTER(K:K, H:H=""Chuyển khoản""))
"),4468984)</f>
        <v>4468984</v>
      </c>
      <c r="O1818" s="5"/>
      <c r="P1818" s="5"/>
      <c r="Q1818" s="5"/>
      <c r="R1818" s="5"/>
      <c r="S1818" s="5"/>
    </row>
    <row r="1819" spans="1:19" ht="15.75" customHeight="1" x14ac:dyDescent="0.2">
      <c r="A1819" s="3"/>
      <c r="B1819" s="4" t="str">
        <f>IF(A1819="","","PC-"&amp;TEXT(A1819,"mm/yyyy")&amp;"-"&amp;TEXT(COUNTIFS($A$2:A1819,"&gt;="&amp;EOMONTH(A1819,-1)+1,$A$2:A1819,"&lt;="&amp;EOMONTH(A1819,0)),"000"))</f>
        <v/>
      </c>
      <c r="C1819" s="5"/>
      <c r="D1819" s="5"/>
      <c r="E1819" s="5"/>
      <c r="F1819" s="5"/>
      <c r="G1819" s="5"/>
      <c r="H1819" s="5"/>
      <c r="I1819" s="6"/>
      <c r="J1819" s="6">
        <f>IF(D1819="Thu",I1819,0)</f>
        <v>0</v>
      </c>
      <c r="K1819" s="6">
        <f>IF(D1819="Chi",I1819,0)</f>
        <v>0</v>
      </c>
      <c r="L1819" s="6">
        <f>L1818+J1819-K1819</f>
        <v>8050118</v>
      </c>
      <c r="M1819" s="6">
        <f ca="1">IFERROR(__xludf.DUMMYFUNCTION("SUM(FILTER(J:J, H:H=""Tiền mặt"")) - SUM(FILTER(K:K, H:H=""Tiền mặt""))
"),959000)</f>
        <v>959000</v>
      </c>
      <c r="N1819" s="6">
        <f ca="1">IFERROR(__xludf.DUMMYFUNCTION("SUM(FILTER(J:J, H:H=""Chuyển khoản"")) - SUM(FILTER(K:K, H:H=""Chuyển khoản""))
"),4468984)</f>
        <v>4468984</v>
      </c>
      <c r="O1819" s="5"/>
      <c r="P1819" s="5"/>
      <c r="Q1819" s="5"/>
      <c r="R1819" s="5"/>
      <c r="S1819" s="5"/>
    </row>
    <row r="1820" spans="1:19" ht="15.75" customHeight="1" x14ac:dyDescent="0.2">
      <c r="A1820" s="3"/>
      <c r="B1820" s="4" t="str">
        <f>IF(A1820="","","PC-"&amp;TEXT(A1820,"mm/yyyy")&amp;"-"&amp;TEXT(COUNTIFS($A$2:A1820,"&gt;="&amp;EOMONTH(A1820,-1)+1,$A$2:A1820,"&lt;="&amp;EOMONTH(A1820,0)),"000"))</f>
        <v/>
      </c>
      <c r="C1820" s="5"/>
      <c r="D1820" s="5"/>
      <c r="E1820" s="5"/>
      <c r="F1820" s="5"/>
      <c r="G1820" s="5"/>
      <c r="H1820" s="5"/>
      <c r="I1820" s="6"/>
      <c r="J1820" s="6">
        <f>IF(D1820="Thu",I1820,0)</f>
        <v>0</v>
      </c>
      <c r="K1820" s="6">
        <f>IF(D1820="Chi",I1820,0)</f>
        <v>0</v>
      </c>
      <c r="L1820" s="6">
        <f>L1819+J1820-K1820</f>
        <v>8050118</v>
      </c>
      <c r="M1820" s="6">
        <f ca="1">IFERROR(__xludf.DUMMYFUNCTION("SUM(FILTER(J:J, H:H=""Tiền mặt"")) - SUM(FILTER(K:K, H:H=""Tiền mặt""))
"),959000)</f>
        <v>959000</v>
      </c>
      <c r="N1820" s="6">
        <f ca="1">IFERROR(__xludf.DUMMYFUNCTION("SUM(FILTER(J:J, H:H=""Chuyển khoản"")) - SUM(FILTER(K:K, H:H=""Chuyển khoản""))
"),4468984)</f>
        <v>4468984</v>
      </c>
      <c r="O1820" s="5"/>
      <c r="P1820" s="5"/>
      <c r="Q1820" s="5"/>
      <c r="R1820" s="5"/>
      <c r="S1820" s="5"/>
    </row>
    <row r="1821" spans="1:19" ht="15.75" customHeight="1" x14ac:dyDescent="0.2">
      <c r="A1821" s="3"/>
      <c r="B1821" s="4" t="str">
        <f>IF(A1821="","","PC-"&amp;TEXT(A1821,"mm/yyyy")&amp;"-"&amp;TEXT(COUNTIFS($A$2:A1821,"&gt;="&amp;EOMONTH(A1821,-1)+1,$A$2:A1821,"&lt;="&amp;EOMONTH(A1821,0)),"000"))</f>
        <v/>
      </c>
      <c r="C1821" s="5"/>
      <c r="D1821" s="5"/>
      <c r="E1821" s="5"/>
      <c r="F1821" s="5"/>
      <c r="G1821" s="5"/>
      <c r="H1821" s="5"/>
      <c r="I1821" s="6"/>
      <c r="J1821" s="6">
        <f>IF(D1821="Thu",I1821,0)</f>
        <v>0</v>
      </c>
      <c r="K1821" s="6">
        <f>IF(D1821="Chi",I1821,0)</f>
        <v>0</v>
      </c>
      <c r="L1821" s="6">
        <f>L1820+J1821-K1821</f>
        <v>8050118</v>
      </c>
      <c r="M1821" s="6">
        <f ca="1">IFERROR(__xludf.DUMMYFUNCTION("SUM(FILTER(J:J, H:H=""Tiền mặt"")) - SUM(FILTER(K:K, H:H=""Tiền mặt""))
"),959000)</f>
        <v>959000</v>
      </c>
      <c r="N1821" s="6">
        <f ca="1">IFERROR(__xludf.DUMMYFUNCTION("SUM(FILTER(J:J, H:H=""Chuyển khoản"")) - SUM(FILTER(K:K, H:H=""Chuyển khoản""))
"),4468984)</f>
        <v>4468984</v>
      </c>
      <c r="O1821" s="5"/>
      <c r="P1821" s="5"/>
      <c r="Q1821" s="5"/>
      <c r="R1821" s="5"/>
      <c r="S1821" s="5"/>
    </row>
    <row r="1822" spans="1:19" ht="15.75" customHeight="1" x14ac:dyDescent="0.2">
      <c r="A1822" s="3"/>
      <c r="B1822" s="4" t="str">
        <f>IF(A1822="","","PC-"&amp;TEXT(A1822,"mm/yyyy")&amp;"-"&amp;TEXT(COUNTIFS($A$2:A1822,"&gt;="&amp;EOMONTH(A1822,-1)+1,$A$2:A1822,"&lt;="&amp;EOMONTH(A1822,0)),"000"))</f>
        <v/>
      </c>
      <c r="C1822" s="5"/>
      <c r="D1822" s="5"/>
      <c r="E1822" s="5"/>
      <c r="F1822" s="5"/>
      <c r="G1822" s="5"/>
      <c r="H1822" s="5"/>
      <c r="I1822" s="6"/>
      <c r="J1822" s="6">
        <f>IF(D1822="Thu",I1822,0)</f>
        <v>0</v>
      </c>
      <c r="K1822" s="6">
        <f>IF(D1822="Chi",I1822,0)</f>
        <v>0</v>
      </c>
      <c r="L1822" s="6">
        <f>L1821+J1822-K1822</f>
        <v>8050118</v>
      </c>
      <c r="M1822" s="6">
        <f ca="1">IFERROR(__xludf.DUMMYFUNCTION("SUM(FILTER(J:J, H:H=""Tiền mặt"")) - SUM(FILTER(K:K, H:H=""Tiền mặt""))
"),959000)</f>
        <v>959000</v>
      </c>
      <c r="N1822" s="6">
        <f ca="1">IFERROR(__xludf.DUMMYFUNCTION("SUM(FILTER(J:J, H:H=""Chuyển khoản"")) - SUM(FILTER(K:K, H:H=""Chuyển khoản""))
"),4468984)</f>
        <v>4468984</v>
      </c>
      <c r="O1822" s="5"/>
      <c r="P1822" s="5"/>
      <c r="Q1822" s="5"/>
      <c r="R1822" s="5"/>
      <c r="S1822" s="5"/>
    </row>
    <row r="1823" spans="1:19" ht="15.75" customHeight="1" x14ac:dyDescent="0.2">
      <c r="A1823" s="3"/>
      <c r="B1823" s="4" t="str">
        <f>IF(A1823="","","PC-"&amp;TEXT(A1823,"mm/yyyy")&amp;"-"&amp;TEXT(COUNTIFS($A$2:A1823,"&gt;="&amp;EOMONTH(A1823,-1)+1,$A$2:A1823,"&lt;="&amp;EOMONTH(A1823,0)),"000"))</f>
        <v/>
      </c>
      <c r="C1823" s="5"/>
      <c r="D1823" s="5"/>
      <c r="E1823" s="5"/>
      <c r="F1823" s="5"/>
      <c r="G1823" s="5"/>
      <c r="H1823" s="5"/>
      <c r="I1823" s="6"/>
      <c r="J1823" s="6">
        <f>IF(D1823="Thu",I1823,0)</f>
        <v>0</v>
      </c>
      <c r="K1823" s="6">
        <f>IF(D1823="Chi",I1823,0)</f>
        <v>0</v>
      </c>
      <c r="L1823" s="6">
        <f>L1822+J1823-K1823</f>
        <v>8050118</v>
      </c>
      <c r="M1823" s="6">
        <f ca="1">IFERROR(__xludf.DUMMYFUNCTION("SUM(FILTER(J:J, H:H=""Tiền mặt"")) - SUM(FILTER(K:K, H:H=""Tiền mặt""))
"),959000)</f>
        <v>959000</v>
      </c>
      <c r="N1823" s="6">
        <f ca="1">IFERROR(__xludf.DUMMYFUNCTION("SUM(FILTER(J:J, H:H=""Chuyển khoản"")) - SUM(FILTER(K:K, H:H=""Chuyển khoản""))
"),4468984)</f>
        <v>4468984</v>
      </c>
      <c r="O1823" s="5"/>
      <c r="P1823" s="5"/>
      <c r="Q1823" s="5"/>
      <c r="R1823" s="5"/>
      <c r="S1823" s="5"/>
    </row>
    <row r="1824" spans="1:19" ht="15.75" customHeight="1" x14ac:dyDescent="0.2">
      <c r="A1824" s="3"/>
      <c r="B1824" s="4" t="str">
        <f>IF(A1824="","","PC-"&amp;TEXT(A1824,"mm/yyyy")&amp;"-"&amp;TEXT(COUNTIFS($A$2:A1824,"&gt;="&amp;EOMONTH(A1824,-1)+1,$A$2:A1824,"&lt;="&amp;EOMONTH(A1824,0)),"000"))</f>
        <v/>
      </c>
      <c r="C1824" s="5"/>
      <c r="D1824" s="5"/>
      <c r="E1824" s="5"/>
      <c r="F1824" s="5"/>
      <c r="G1824" s="5"/>
      <c r="H1824" s="5"/>
      <c r="I1824" s="6"/>
      <c r="J1824" s="6">
        <f>IF(D1824="Thu",I1824,0)</f>
        <v>0</v>
      </c>
      <c r="K1824" s="6">
        <f>IF(D1824="Chi",I1824,0)</f>
        <v>0</v>
      </c>
      <c r="L1824" s="6">
        <f>L1823+J1824-K1824</f>
        <v>8050118</v>
      </c>
      <c r="M1824" s="6">
        <f ca="1">IFERROR(__xludf.DUMMYFUNCTION("SUM(FILTER(J:J, H:H=""Tiền mặt"")) - SUM(FILTER(K:K, H:H=""Tiền mặt""))
"),959000)</f>
        <v>959000</v>
      </c>
      <c r="N1824" s="6">
        <f ca="1">IFERROR(__xludf.DUMMYFUNCTION("SUM(FILTER(J:J, H:H=""Chuyển khoản"")) - SUM(FILTER(K:K, H:H=""Chuyển khoản""))
"),4468984)</f>
        <v>4468984</v>
      </c>
      <c r="O1824" s="5"/>
      <c r="P1824" s="5"/>
      <c r="Q1824" s="5"/>
      <c r="R1824" s="5"/>
      <c r="S1824" s="5"/>
    </row>
    <row r="1825" spans="1:19" ht="15.75" customHeight="1" x14ac:dyDescent="0.2">
      <c r="A1825" s="3"/>
      <c r="B1825" s="4" t="str">
        <f>IF(A1825="","","PC-"&amp;TEXT(A1825,"mm/yyyy")&amp;"-"&amp;TEXT(COUNTIFS($A$2:A1825,"&gt;="&amp;EOMONTH(A1825,-1)+1,$A$2:A1825,"&lt;="&amp;EOMONTH(A1825,0)),"000"))</f>
        <v/>
      </c>
      <c r="C1825" s="5"/>
      <c r="D1825" s="5"/>
      <c r="E1825" s="5"/>
      <c r="F1825" s="5"/>
      <c r="G1825" s="5"/>
      <c r="H1825" s="5"/>
      <c r="I1825" s="6"/>
      <c r="J1825" s="6">
        <f>IF(D1825="Thu",I1825,0)</f>
        <v>0</v>
      </c>
      <c r="K1825" s="6">
        <f>IF(D1825="Chi",I1825,0)</f>
        <v>0</v>
      </c>
      <c r="L1825" s="6">
        <f>L1824+J1825-K1825</f>
        <v>8050118</v>
      </c>
      <c r="M1825" s="6">
        <f ca="1">IFERROR(__xludf.DUMMYFUNCTION("SUM(FILTER(J:J, H:H=""Tiền mặt"")) - SUM(FILTER(K:K, H:H=""Tiền mặt""))
"),959000)</f>
        <v>959000</v>
      </c>
      <c r="N1825" s="6">
        <f ca="1">IFERROR(__xludf.DUMMYFUNCTION("SUM(FILTER(J:J, H:H=""Chuyển khoản"")) - SUM(FILTER(K:K, H:H=""Chuyển khoản""))
"),4468984)</f>
        <v>4468984</v>
      </c>
      <c r="O1825" s="5"/>
      <c r="P1825" s="5"/>
      <c r="Q1825" s="5"/>
      <c r="R1825" s="5"/>
      <c r="S1825" s="5"/>
    </row>
    <row r="1826" spans="1:19" ht="15.75" customHeight="1" x14ac:dyDescent="0.2">
      <c r="A1826" s="3"/>
      <c r="B1826" s="4" t="str">
        <f>IF(A1826="","","PC-"&amp;TEXT(A1826,"mm/yyyy")&amp;"-"&amp;TEXT(COUNTIFS($A$2:A1826,"&gt;="&amp;EOMONTH(A1826,-1)+1,$A$2:A1826,"&lt;="&amp;EOMONTH(A1826,0)),"000"))</f>
        <v/>
      </c>
      <c r="C1826" s="5"/>
      <c r="D1826" s="5"/>
      <c r="E1826" s="5"/>
      <c r="F1826" s="5"/>
      <c r="G1826" s="5"/>
      <c r="H1826" s="5"/>
      <c r="I1826" s="6"/>
      <c r="J1826" s="6">
        <f>IF(D1826="Thu",I1826,0)</f>
        <v>0</v>
      </c>
      <c r="K1826" s="6">
        <f>IF(D1826="Chi",I1826,0)</f>
        <v>0</v>
      </c>
      <c r="L1826" s="6">
        <f>L1825+J1826-K1826</f>
        <v>8050118</v>
      </c>
      <c r="M1826" s="6">
        <f ca="1">IFERROR(__xludf.DUMMYFUNCTION("SUM(FILTER(J:J, H:H=""Tiền mặt"")) - SUM(FILTER(K:K, H:H=""Tiền mặt""))
"),959000)</f>
        <v>959000</v>
      </c>
      <c r="N1826" s="6">
        <f ca="1">IFERROR(__xludf.DUMMYFUNCTION("SUM(FILTER(J:J, H:H=""Chuyển khoản"")) - SUM(FILTER(K:K, H:H=""Chuyển khoản""))
"),4468984)</f>
        <v>4468984</v>
      </c>
      <c r="O1826" s="5"/>
      <c r="P1826" s="5"/>
      <c r="Q1826" s="5"/>
      <c r="R1826" s="5"/>
      <c r="S1826" s="5"/>
    </row>
    <row r="1827" spans="1:19" ht="15.75" customHeight="1" x14ac:dyDescent="0.2">
      <c r="A1827" s="3"/>
      <c r="B1827" s="4" t="str">
        <f>IF(A1827="","","PC-"&amp;TEXT(A1827,"mm/yyyy")&amp;"-"&amp;TEXT(COUNTIFS($A$2:A1827,"&gt;="&amp;EOMONTH(A1827,-1)+1,$A$2:A1827,"&lt;="&amp;EOMONTH(A1827,0)),"000"))</f>
        <v/>
      </c>
      <c r="C1827" s="5"/>
      <c r="D1827" s="5"/>
      <c r="E1827" s="5"/>
      <c r="F1827" s="5"/>
      <c r="G1827" s="5"/>
      <c r="H1827" s="5"/>
      <c r="I1827" s="6"/>
      <c r="J1827" s="6">
        <f>IF(D1827="Thu",I1827,0)</f>
        <v>0</v>
      </c>
      <c r="K1827" s="6">
        <f>IF(D1827="Chi",I1827,0)</f>
        <v>0</v>
      </c>
      <c r="L1827" s="6">
        <f>L1826+J1827-K1827</f>
        <v>8050118</v>
      </c>
      <c r="M1827" s="6">
        <f ca="1">IFERROR(__xludf.DUMMYFUNCTION("SUM(FILTER(J:J, H:H=""Tiền mặt"")) - SUM(FILTER(K:K, H:H=""Tiền mặt""))
"),959000)</f>
        <v>959000</v>
      </c>
      <c r="N1827" s="6">
        <f ca="1">IFERROR(__xludf.DUMMYFUNCTION("SUM(FILTER(J:J, H:H=""Chuyển khoản"")) - SUM(FILTER(K:K, H:H=""Chuyển khoản""))
"),4468984)</f>
        <v>4468984</v>
      </c>
      <c r="O1827" s="5"/>
      <c r="P1827" s="5"/>
      <c r="Q1827" s="5"/>
      <c r="R1827" s="5"/>
      <c r="S1827" s="5"/>
    </row>
    <row r="1828" spans="1:19" ht="15.75" customHeight="1" x14ac:dyDescent="0.2">
      <c r="A1828" s="3"/>
      <c r="B1828" s="4" t="str">
        <f>IF(A1828="","","PC-"&amp;TEXT(A1828,"mm/yyyy")&amp;"-"&amp;TEXT(COUNTIFS($A$2:A1828,"&gt;="&amp;EOMONTH(A1828,-1)+1,$A$2:A1828,"&lt;="&amp;EOMONTH(A1828,0)),"000"))</f>
        <v/>
      </c>
      <c r="C1828" s="5"/>
      <c r="D1828" s="5"/>
      <c r="E1828" s="5"/>
      <c r="F1828" s="5"/>
      <c r="G1828" s="5"/>
      <c r="H1828" s="5"/>
      <c r="I1828" s="6"/>
      <c r="J1828" s="6">
        <f>IF(D1828="Thu",I1828,0)</f>
        <v>0</v>
      </c>
      <c r="K1828" s="6">
        <f>IF(D1828="Chi",I1828,0)</f>
        <v>0</v>
      </c>
      <c r="L1828" s="6">
        <f>L1827+J1828-K1828</f>
        <v>8050118</v>
      </c>
      <c r="M1828" s="6">
        <f ca="1">IFERROR(__xludf.DUMMYFUNCTION("SUM(FILTER(J:J, H:H=""Tiền mặt"")) - SUM(FILTER(K:K, H:H=""Tiền mặt""))
"),959000)</f>
        <v>959000</v>
      </c>
      <c r="N1828" s="6">
        <f ca="1">IFERROR(__xludf.DUMMYFUNCTION("SUM(FILTER(J:J, H:H=""Chuyển khoản"")) - SUM(FILTER(K:K, H:H=""Chuyển khoản""))
"),4468984)</f>
        <v>4468984</v>
      </c>
      <c r="O1828" s="5"/>
      <c r="P1828" s="5"/>
      <c r="Q1828" s="5"/>
      <c r="R1828" s="5"/>
      <c r="S1828" s="5"/>
    </row>
    <row r="1829" spans="1:19" ht="15.75" customHeight="1" x14ac:dyDescent="0.2">
      <c r="A1829" s="3"/>
      <c r="B1829" s="4" t="str">
        <f>IF(A1829="","","PC-"&amp;TEXT(A1829,"mm/yyyy")&amp;"-"&amp;TEXT(COUNTIFS($A$2:A1829,"&gt;="&amp;EOMONTH(A1829,-1)+1,$A$2:A1829,"&lt;="&amp;EOMONTH(A1829,0)),"000"))</f>
        <v/>
      </c>
      <c r="C1829" s="5"/>
      <c r="D1829" s="5"/>
      <c r="E1829" s="5"/>
      <c r="F1829" s="5"/>
      <c r="G1829" s="5"/>
      <c r="H1829" s="5"/>
      <c r="I1829" s="6"/>
      <c r="J1829" s="6">
        <f>IF(D1829="Thu",I1829,0)</f>
        <v>0</v>
      </c>
      <c r="K1829" s="6">
        <f>IF(D1829="Chi",I1829,0)</f>
        <v>0</v>
      </c>
      <c r="L1829" s="6">
        <f>L1828+J1829-K1829</f>
        <v>8050118</v>
      </c>
      <c r="M1829" s="6">
        <f ca="1">IFERROR(__xludf.DUMMYFUNCTION("SUM(FILTER(J:J, H:H=""Tiền mặt"")) - SUM(FILTER(K:K, H:H=""Tiền mặt""))
"),959000)</f>
        <v>959000</v>
      </c>
      <c r="N1829" s="6">
        <f ca="1">IFERROR(__xludf.DUMMYFUNCTION("SUM(FILTER(J:J, H:H=""Chuyển khoản"")) - SUM(FILTER(K:K, H:H=""Chuyển khoản""))
"),4468984)</f>
        <v>4468984</v>
      </c>
      <c r="O1829" s="5"/>
      <c r="P1829" s="5"/>
      <c r="Q1829" s="5"/>
      <c r="R1829" s="5"/>
      <c r="S1829" s="5"/>
    </row>
    <row r="1830" spans="1:19" ht="15.75" customHeight="1" x14ac:dyDescent="0.2">
      <c r="A1830" s="3"/>
      <c r="B1830" s="4" t="str">
        <f>IF(A1830="","","PC-"&amp;TEXT(A1830,"mm/yyyy")&amp;"-"&amp;TEXT(COUNTIFS($A$2:A1830,"&gt;="&amp;EOMONTH(A1830,-1)+1,$A$2:A1830,"&lt;="&amp;EOMONTH(A1830,0)),"000"))</f>
        <v/>
      </c>
      <c r="C1830" s="5"/>
      <c r="D1830" s="5"/>
      <c r="E1830" s="5"/>
      <c r="F1830" s="5"/>
      <c r="G1830" s="5"/>
      <c r="H1830" s="5"/>
      <c r="I1830" s="6"/>
      <c r="J1830" s="6">
        <f>IF(D1830="Thu",I1830,0)</f>
        <v>0</v>
      </c>
      <c r="K1830" s="6">
        <f>IF(D1830="Chi",I1830,0)</f>
        <v>0</v>
      </c>
      <c r="L1830" s="6">
        <f>L1829+J1830-K1830</f>
        <v>8050118</v>
      </c>
      <c r="M1830" s="6">
        <f ca="1">IFERROR(__xludf.DUMMYFUNCTION("SUM(FILTER(J:J, H:H=""Tiền mặt"")) - SUM(FILTER(K:K, H:H=""Tiền mặt""))
"),959000)</f>
        <v>959000</v>
      </c>
      <c r="N1830" s="6">
        <f ca="1">IFERROR(__xludf.DUMMYFUNCTION("SUM(FILTER(J:J, H:H=""Chuyển khoản"")) - SUM(FILTER(K:K, H:H=""Chuyển khoản""))
"),4468984)</f>
        <v>4468984</v>
      </c>
      <c r="O1830" s="5"/>
      <c r="P1830" s="5"/>
      <c r="Q1830" s="5"/>
      <c r="R1830" s="5"/>
      <c r="S1830" s="5"/>
    </row>
    <row r="1831" spans="1:19" ht="15.75" customHeight="1" x14ac:dyDescent="0.2">
      <c r="A1831" s="3"/>
      <c r="B1831" s="4" t="str">
        <f>IF(A1831="","","PC-"&amp;TEXT(A1831,"mm/yyyy")&amp;"-"&amp;TEXT(COUNTIFS($A$2:A1831,"&gt;="&amp;EOMONTH(A1831,-1)+1,$A$2:A1831,"&lt;="&amp;EOMONTH(A1831,0)),"000"))</f>
        <v/>
      </c>
      <c r="C1831" s="5"/>
      <c r="D1831" s="5"/>
      <c r="E1831" s="5"/>
      <c r="F1831" s="5"/>
      <c r="G1831" s="5"/>
      <c r="H1831" s="5"/>
      <c r="I1831" s="6"/>
      <c r="J1831" s="6">
        <f>IF(D1831="Thu",I1831,0)</f>
        <v>0</v>
      </c>
      <c r="K1831" s="6">
        <f>IF(D1831="Chi",I1831,0)</f>
        <v>0</v>
      </c>
      <c r="L1831" s="6">
        <f>L1830+J1831-K1831</f>
        <v>8050118</v>
      </c>
      <c r="M1831" s="6">
        <f ca="1">IFERROR(__xludf.DUMMYFUNCTION("SUM(FILTER(J:J, H:H=""Tiền mặt"")) - SUM(FILTER(K:K, H:H=""Tiền mặt""))
"),959000)</f>
        <v>959000</v>
      </c>
      <c r="N1831" s="6">
        <f ca="1">IFERROR(__xludf.DUMMYFUNCTION("SUM(FILTER(J:J, H:H=""Chuyển khoản"")) - SUM(FILTER(K:K, H:H=""Chuyển khoản""))
"),4468984)</f>
        <v>4468984</v>
      </c>
      <c r="O1831" s="5"/>
      <c r="P1831" s="5"/>
      <c r="Q1831" s="5"/>
      <c r="R1831" s="5"/>
      <c r="S1831" s="5"/>
    </row>
    <row r="1832" spans="1:19" ht="15.75" customHeight="1" x14ac:dyDescent="0.2">
      <c r="A1832" s="3"/>
      <c r="B1832" s="4" t="str">
        <f>IF(A1832="","","PC-"&amp;TEXT(A1832,"mm/yyyy")&amp;"-"&amp;TEXT(COUNTIFS($A$2:A1832,"&gt;="&amp;EOMONTH(A1832,-1)+1,$A$2:A1832,"&lt;="&amp;EOMONTH(A1832,0)),"000"))</f>
        <v/>
      </c>
      <c r="C1832" s="5"/>
      <c r="D1832" s="5"/>
      <c r="E1832" s="5"/>
      <c r="F1832" s="5"/>
      <c r="G1832" s="5"/>
      <c r="H1832" s="5"/>
      <c r="I1832" s="6"/>
      <c r="J1832" s="6">
        <f>IF(D1832="Thu",I1832,0)</f>
        <v>0</v>
      </c>
      <c r="K1832" s="6">
        <f>IF(D1832="Chi",I1832,0)</f>
        <v>0</v>
      </c>
      <c r="L1832" s="6">
        <f>L1831+J1832-K1832</f>
        <v>8050118</v>
      </c>
      <c r="M1832" s="6">
        <f ca="1">IFERROR(__xludf.DUMMYFUNCTION("SUM(FILTER(J:J, H:H=""Tiền mặt"")) - SUM(FILTER(K:K, H:H=""Tiền mặt""))
"),959000)</f>
        <v>959000</v>
      </c>
      <c r="N1832" s="6">
        <f ca="1">IFERROR(__xludf.DUMMYFUNCTION("SUM(FILTER(J:J, H:H=""Chuyển khoản"")) - SUM(FILTER(K:K, H:H=""Chuyển khoản""))
"),4468984)</f>
        <v>4468984</v>
      </c>
      <c r="O1832" s="5"/>
      <c r="P1832" s="5"/>
      <c r="Q1832" s="5"/>
      <c r="R1832" s="5"/>
      <c r="S1832" s="5"/>
    </row>
    <row r="1833" spans="1:19" ht="15.75" customHeight="1" x14ac:dyDescent="0.2">
      <c r="A1833" s="3"/>
      <c r="B1833" s="4" t="str">
        <f>IF(A1833="","","PC-"&amp;TEXT(A1833,"mm/yyyy")&amp;"-"&amp;TEXT(COUNTIFS($A$2:A1833,"&gt;="&amp;EOMONTH(A1833,-1)+1,$A$2:A1833,"&lt;="&amp;EOMONTH(A1833,0)),"000"))</f>
        <v/>
      </c>
      <c r="C1833" s="5"/>
      <c r="D1833" s="5"/>
      <c r="E1833" s="5"/>
      <c r="F1833" s="5"/>
      <c r="G1833" s="5"/>
      <c r="H1833" s="5"/>
      <c r="I1833" s="6"/>
      <c r="J1833" s="6">
        <f>IF(D1833="Thu",I1833,0)</f>
        <v>0</v>
      </c>
      <c r="K1833" s="6">
        <f>IF(D1833="Chi",I1833,0)</f>
        <v>0</v>
      </c>
      <c r="L1833" s="6">
        <f>L1832+J1833-K1833</f>
        <v>8050118</v>
      </c>
      <c r="M1833" s="6">
        <f ca="1">IFERROR(__xludf.DUMMYFUNCTION("SUM(FILTER(J:J, H:H=""Tiền mặt"")) - SUM(FILTER(K:K, H:H=""Tiền mặt""))
"),959000)</f>
        <v>959000</v>
      </c>
      <c r="N1833" s="6">
        <f ca="1">IFERROR(__xludf.DUMMYFUNCTION("SUM(FILTER(J:J, H:H=""Chuyển khoản"")) - SUM(FILTER(K:K, H:H=""Chuyển khoản""))
"),4468984)</f>
        <v>4468984</v>
      </c>
      <c r="O1833" s="5"/>
      <c r="P1833" s="5"/>
      <c r="Q1833" s="5"/>
      <c r="R1833" s="5"/>
      <c r="S1833" s="5"/>
    </row>
    <row r="1834" spans="1:19" ht="15.75" customHeight="1" x14ac:dyDescent="0.2">
      <c r="A1834" s="3"/>
      <c r="B1834" s="4" t="str">
        <f>IF(A1834="","","PC-"&amp;TEXT(A1834,"mm/yyyy")&amp;"-"&amp;TEXT(COUNTIFS($A$2:A1834,"&gt;="&amp;EOMONTH(A1834,-1)+1,$A$2:A1834,"&lt;="&amp;EOMONTH(A1834,0)),"000"))</f>
        <v/>
      </c>
      <c r="C1834" s="5"/>
      <c r="D1834" s="5"/>
      <c r="E1834" s="5"/>
      <c r="F1834" s="5"/>
      <c r="G1834" s="5"/>
      <c r="H1834" s="5"/>
      <c r="I1834" s="6"/>
      <c r="J1834" s="6">
        <f>IF(D1834="Thu",I1834,0)</f>
        <v>0</v>
      </c>
      <c r="K1834" s="6">
        <f>IF(D1834="Chi",I1834,0)</f>
        <v>0</v>
      </c>
      <c r="L1834" s="6">
        <f>L1833+J1834-K1834</f>
        <v>8050118</v>
      </c>
      <c r="M1834" s="6">
        <f ca="1">IFERROR(__xludf.DUMMYFUNCTION("SUM(FILTER(J:J, H:H=""Tiền mặt"")) - SUM(FILTER(K:K, H:H=""Tiền mặt""))
"),959000)</f>
        <v>959000</v>
      </c>
      <c r="N1834" s="6">
        <f ca="1">IFERROR(__xludf.DUMMYFUNCTION("SUM(FILTER(J:J, H:H=""Chuyển khoản"")) - SUM(FILTER(K:K, H:H=""Chuyển khoản""))
"),4468984)</f>
        <v>4468984</v>
      </c>
      <c r="O1834" s="5"/>
      <c r="P1834" s="5"/>
      <c r="Q1834" s="5"/>
      <c r="R1834" s="5"/>
      <c r="S1834" s="5"/>
    </row>
    <row r="1835" spans="1:19" ht="15.75" customHeight="1" x14ac:dyDescent="0.2">
      <c r="A1835" s="3"/>
      <c r="B1835" s="4" t="str">
        <f>IF(A1835="","","PC-"&amp;TEXT(A1835,"mm/yyyy")&amp;"-"&amp;TEXT(COUNTIFS($A$2:A1835,"&gt;="&amp;EOMONTH(A1835,-1)+1,$A$2:A1835,"&lt;="&amp;EOMONTH(A1835,0)),"000"))</f>
        <v/>
      </c>
      <c r="C1835" s="5"/>
      <c r="D1835" s="5"/>
      <c r="E1835" s="5"/>
      <c r="F1835" s="5"/>
      <c r="G1835" s="5"/>
      <c r="H1835" s="5"/>
      <c r="I1835" s="6"/>
      <c r="J1835" s="6">
        <f>IF(D1835="Thu",I1835,0)</f>
        <v>0</v>
      </c>
      <c r="K1835" s="6">
        <f>IF(D1835="Chi",I1835,0)</f>
        <v>0</v>
      </c>
      <c r="L1835" s="6">
        <f>L1834+J1835-K1835</f>
        <v>8050118</v>
      </c>
      <c r="M1835" s="6">
        <f ca="1">IFERROR(__xludf.DUMMYFUNCTION("SUM(FILTER(J:J, H:H=""Tiền mặt"")) - SUM(FILTER(K:K, H:H=""Tiền mặt""))
"),959000)</f>
        <v>959000</v>
      </c>
      <c r="N1835" s="6">
        <f ca="1">IFERROR(__xludf.DUMMYFUNCTION("SUM(FILTER(J:J, H:H=""Chuyển khoản"")) - SUM(FILTER(K:K, H:H=""Chuyển khoản""))
"),4468984)</f>
        <v>4468984</v>
      </c>
      <c r="O1835" s="5"/>
      <c r="P1835" s="5"/>
      <c r="Q1835" s="5"/>
      <c r="R1835" s="5"/>
      <c r="S1835" s="5"/>
    </row>
    <row r="1836" spans="1:19" ht="15.75" customHeight="1" x14ac:dyDescent="0.2">
      <c r="A1836" s="3"/>
      <c r="B1836" s="4" t="str">
        <f>IF(A1836="","","PC-"&amp;TEXT(A1836,"mm/yyyy")&amp;"-"&amp;TEXT(COUNTIFS($A$2:A1836,"&gt;="&amp;EOMONTH(A1836,-1)+1,$A$2:A1836,"&lt;="&amp;EOMONTH(A1836,0)),"000"))</f>
        <v/>
      </c>
      <c r="C1836" s="5"/>
      <c r="D1836" s="5"/>
      <c r="E1836" s="5"/>
      <c r="F1836" s="5"/>
      <c r="G1836" s="5"/>
      <c r="H1836" s="5"/>
      <c r="I1836" s="6"/>
      <c r="J1836" s="6">
        <f>IF(D1836="Thu",I1836,0)</f>
        <v>0</v>
      </c>
      <c r="K1836" s="6">
        <f>IF(D1836="Chi",I1836,0)</f>
        <v>0</v>
      </c>
      <c r="L1836" s="6">
        <f>L1835+J1836-K1836</f>
        <v>8050118</v>
      </c>
      <c r="M1836" s="6">
        <f ca="1">IFERROR(__xludf.DUMMYFUNCTION("SUM(FILTER(J:J, H:H=""Tiền mặt"")) - SUM(FILTER(K:K, H:H=""Tiền mặt""))
"),959000)</f>
        <v>959000</v>
      </c>
      <c r="N1836" s="6">
        <f ca="1">IFERROR(__xludf.DUMMYFUNCTION("SUM(FILTER(J:J, H:H=""Chuyển khoản"")) - SUM(FILTER(K:K, H:H=""Chuyển khoản""))
"),4468984)</f>
        <v>4468984</v>
      </c>
      <c r="O1836" s="5"/>
      <c r="P1836" s="5"/>
      <c r="Q1836" s="5"/>
      <c r="R1836" s="5"/>
      <c r="S1836" s="5"/>
    </row>
    <row r="1837" spans="1:19" ht="15.75" customHeight="1" x14ac:dyDescent="0.2">
      <c r="A1837" s="3"/>
      <c r="B1837" s="4" t="str">
        <f>IF(A1837="","","PC-"&amp;TEXT(A1837,"mm/yyyy")&amp;"-"&amp;TEXT(COUNTIFS($A$2:A1837,"&gt;="&amp;EOMONTH(A1837,-1)+1,$A$2:A1837,"&lt;="&amp;EOMONTH(A1837,0)),"000"))</f>
        <v/>
      </c>
      <c r="C1837" s="5"/>
      <c r="D1837" s="5"/>
      <c r="E1837" s="5"/>
      <c r="F1837" s="5"/>
      <c r="G1837" s="5"/>
      <c r="H1837" s="5"/>
      <c r="I1837" s="6"/>
      <c r="J1837" s="6">
        <f>IF(D1837="Thu",I1837,0)</f>
        <v>0</v>
      </c>
      <c r="K1837" s="6">
        <f>IF(D1837="Chi",I1837,0)</f>
        <v>0</v>
      </c>
      <c r="L1837" s="6">
        <f>L1836+J1837-K1837</f>
        <v>8050118</v>
      </c>
      <c r="M1837" s="6">
        <f ca="1">IFERROR(__xludf.DUMMYFUNCTION("SUM(FILTER(J:J, H:H=""Tiền mặt"")) - SUM(FILTER(K:K, H:H=""Tiền mặt""))
"),959000)</f>
        <v>959000</v>
      </c>
      <c r="N1837" s="6">
        <f ca="1">IFERROR(__xludf.DUMMYFUNCTION("SUM(FILTER(J:J, H:H=""Chuyển khoản"")) - SUM(FILTER(K:K, H:H=""Chuyển khoản""))
"),4468984)</f>
        <v>4468984</v>
      </c>
      <c r="O1837" s="5"/>
      <c r="P1837" s="5"/>
      <c r="Q1837" s="5"/>
      <c r="R1837" s="5"/>
      <c r="S1837" s="5"/>
    </row>
    <row r="1838" spans="1:19" ht="15.75" customHeight="1" x14ac:dyDescent="0.2">
      <c r="A1838" s="3"/>
      <c r="B1838" s="4" t="str">
        <f>IF(A1838="","","PC-"&amp;TEXT(A1838,"mm/yyyy")&amp;"-"&amp;TEXT(COUNTIFS($A$2:A1838,"&gt;="&amp;EOMONTH(A1838,-1)+1,$A$2:A1838,"&lt;="&amp;EOMONTH(A1838,0)),"000"))</f>
        <v/>
      </c>
      <c r="C1838" s="5"/>
      <c r="D1838" s="5"/>
      <c r="E1838" s="5"/>
      <c r="F1838" s="5"/>
      <c r="G1838" s="5"/>
      <c r="H1838" s="5"/>
      <c r="I1838" s="6"/>
      <c r="J1838" s="6">
        <f>IF(D1838="Thu",I1838,0)</f>
        <v>0</v>
      </c>
      <c r="K1838" s="6">
        <f>IF(D1838="Chi",I1838,0)</f>
        <v>0</v>
      </c>
      <c r="L1838" s="6">
        <f>L1837+J1838-K1838</f>
        <v>8050118</v>
      </c>
      <c r="M1838" s="6">
        <f ca="1">IFERROR(__xludf.DUMMYFUNCTION("SUM(FILTER(J:J, H:H=""Tiền mặt"")) - SUM(FILTER(K:K, H:H=""Tiền mặt""))
"),959000)</f>
        <v>959000</v>
      </c>
      <c r="N1838" s="6">
        <f ca="1">IFERROR(__xludf.DUMMYFUNCTION("SUM(FILTER(J:J, H:H=""Chuyển khoản"")) - SUM(FILTER(K:K, H:H=""Chuyển khoản""))
"),4468984)</f>
        <v>4468984</v>
      </c>
      <c r="O1838" s="5"/>
      <c r="P1838" s="5"/>
      <c r="Q1838" s="5"/>
      <c r="R1838" s="5"/>
      <c r="S1838" s="5"/>
    </row>
    <row r="1839" spans="1:19" ht="15.75" customHeight="1" x14ac:dyDescent="0.2">
      <c r="A1839" s="3"/>
      <c r="B1839" s="4" t="str">
        <f>IF(A1839="","","PC-"&amp;TEXT(A1839,"mm/yyyy")&amp;"-"&amp;TEXT(COUNTIFS($A$2:A1839,"&gt;="&amp;EOMONTH(A1839,-1)+1,$A$2:A1839,"&lt;="&amp;EOMONTH(A1839,0)),"000"))</f>
        <v/>
      </c>
      <c r="C1839" s="5"/>
      <c r="D1839" s="5"/>
      <c r="E1839" s="5"/>
      <c r="F1839" s="5"/>
      <c r="G1839" s="5"/>
      <c r="H1839" s="5"/>
      <c r="I1839" s="6"/>
      <c r="J1839" s="6">
        <f>IF(D1839="Thu",I1839,0)</f>
        <v>0</v>
      </c>
      <c r="K1839" s="6">
        <f>IF(D1839="Chi",I1839,0)</f>
        <v>0</v>
      </c>
      <c r="L1839" s="6">
        <f>L1838+J1839-K1839</f>
        <v>8050118</v>
      </c>
      <c r="M1839" s="6">
        <f ca="1">IFERROR(__xludf.DUMMYFUNCTION("SUM(FILTER(J:J, H:H=""Tiền mặt"")) - SUM(FILTER(K:K, H:H=""Tiền mặt""))
"),959000)</f>
        <v>959000</v>
      </c>
      <c r="N1839" s="6">
        <f ca="1">IFERROR(__xludf.DUMMYFUNCTION("SUM(FILTER(J:J, H:H=""Chuyển khoản"")) - SUM(FILTER(K:K, H:H=""Chuyển khoản""))
"),4468984)</f>
        <v>4468984</v>
      </c>
      <c r="O1839" s="5"/>
      <c r="P1839" s="5"/>
      <c r="Q1839" s="5"/>
      <c r="R1839" s="5"/>
      <c r="S1839" s="5"/>
    </row>
    <row r="1840" spans="1:19" ht="15.75" customHeight="1" x14ac:dyDescent="0.2">
      <c r="A1840" s="3"/>
      <c r="B1840" s="4" t="str">
        <f>IF(A1840="","","PC-"&amp;TEXT(A1840,"mm/yyyy")&amp;"-"&amp;TEXT(COUNTIFS($A$2:A1840,"&gt;="&amp;EOMONTH(A1840,-1)+1,$A$2:A1840,"&lt;="&amp;EOMONTH(A1840,0)),"000"))</f>
        <v/>
      </c>
      <c r="C1840" s="5"/>
      <c r="D1840" s="5"/>
      <c r="E1840" s="5"/>
      <c r="F1840" s="5"/>
      <c r="G1840" s="5"/>
      <c r="H1840" s="5"/>
      <c r="I1840" s="6"/>
      <c r="J1840" s="6">
        <f>IF(D1840="Thu",I1840,0)</f>
        <v>0</v>
      </c>
      <c r="K1840" s="6">
        <f>IF(D1840="Chi",I1840,0)</f>
        <v>0</v>
      </c>
      <c r="L1840" s="6">
        <f>L1839+J1840-K1840</f>
        <v>8050118</v>
      </c>
      <c r="M1840" s="6">
        <f ca="1">IFERROR(__xludf.DUMMYFUNCTION("SUM(FILTER(J:J, H:H=""Tiền mặt"")) - SUM(FILTER(K:K, H:H=""Tiền mặt""))
"),959000)</f>
        <v>959000</v>
      </c>
      <c r="N1840" s="6">
        <f ca="1">IFERROR(__xludf.DUMMYFUNCTION("SUM(FILTER(J:J, H:H=""Chuyển khoản"")) - SUM(FILTER(K:K, H:H=""Chuyển khoản""))
"),4468984)</f>
        <v>4468984</v>
      </c>
      <c r="O1840" s="5"/>
      <c r="P1840" s="5"/>
      <c r="Q1840" s="5"/>
      <c r="R1840" s="5"/>
      <c r="S1840" s="5"/>
    </row>
    <row r="1841" spans="1:19" ht="15.75" customHeight="1" x14ac:dyDescent="0.2">
      <c r="A1841" s="3"/>
      <c r="B1841" s="4" t="str">
        <f>IF(A1841="","","PC-"&amp;TEXT(A1841,"mm/yyyy")&amp;"-"&amp;TEXT(COUNTIFS($A$2:A1841,"&gt;="&amp;EOMONTH(A1841,-1)+1,$A$2:A1841,"&lt;="&amp;EOMONTH(A1841,0)),"000"))</f>
        <v/>
      </c>
      <c r="C1841" s="5"/>
      <c r="D1841" s="5"/>
      <c r="E1841" s="5"/>
      <c r="F1841" s="5"/>
      <c r="G1841" s="5"/>
      <c r="H1841" s="5"/>
      <c r="I1841" s="6"/>
      <c r="J1841" s="6">
        <f>IF(D1841="Thu",I1841,0)</f>
        <v>0</v>
      </c>
      <c r="K1841" s="6">
        <f>IF(D1841="Chi",I1841,0)</f>
        <v>0</v>
      </c>
      <c r="L1841" s="6">
        <f>L1840+J1841-K1841</f>
        <v>8050118</v>
      </c>
      <c r="M1841" s="6">
        <f ca="1">IFERROR(__xludf.DUMMYFUNCTION("SUM(FILTER(J:J, H:H=""Tiền mặt"")) - SUM(FILTER(K:K, H:H=""Tiền mặt""))
"),959000)</f>
        <v>959000</v>
      </c>
      <c r="N1841" s="6">
        <f ca="1">IFERROR(__xludf.DUMMYFUNCTION("SUM(FILTER(J:J, H:H=""Chuyển khoản"")) - SUM(FILTER(K:K, H:H=""Chuyển khoản""))
"),4468984)</f>
        <v>4468984</v>
      </c>
      <c r="O1841" s="5"/>
      <c r="P1841" s="5"/>
      <c r="Q1841" s="5"/>
      <c r="R1841" s="5"/>
      <c r="S1841" s="5"/>
    </row>
    <row r="1842" spans="1:19" ht="15.75" customHeight="1" x14ac:dyDescent="0.2">
      <c r="A1842" s="3"/>
      <c r="B1842" s="4" t="str">
        <f>IF(A1842="","","PC-"&amp;TEXT(A1842,"mm/yyyy")&amp;"-"&amp;TEXT(COUNTIFS($A$2:A1842,"&gt;="&amp;EOMONTH(A1842,-1)+1,$A$2:A1842,"&lt;="&amp;EOMONTH(A1842,0)),"000"))</f>
        <v/>
      </c>
      <c r="C1842" s="5"/>
      <c r="D1842" s="5"/>
      <c r="E1842" s="5"/>
      <c r="F1842" s="5"/>
      <c r="G1842" s="5"/>
      <c r="H1842" s="5"/>
      <c r="I1842" s="6"/>
      <c r="J1842" s="6">
        <f>IF(D1842="Thu",I1842,0)</f>
        <v>0</v>
      </c>
      <c r="K1842" s="6">
        <f>IF(D1842="Chi",I1842,0)</f>
        <v>0</v>
      </c>
      <c r="L1842" s="6">
        <f>L1841+J1842-K1842</f>
        <v>8050118</v>
      </c>
      <c r="M1842" s="6">
        <f ca="1">IFERROR(__xludf.DUMMYFUNCTION("SUM(FILTER(J:J, H:H=""Tiền mặt"")) - SUM(FILTER(K:K, H:H=""Tiền mặt""))
"),959000)</f>
        <v>959000</v>
      </c>
      <c r="N1842" s="6">
        <f ca="1">IFERROR(__xludf.DUMMYFUNCTION("SUM(FILTER(J:J, H:H=""Chuyển khoản"")) - SUM(FILTER(K:K, H:H=""Chuyển khoản""))
"),4468984)</f>
        <v>4468984</v>
      </c>
      <c r="O1842" s="5"/>
      <c r="P1842" s="5"/>
      <c r="Q1842" s="5"/>
      <c r="R1842" s="5"/>
      <c r="S1842" s="5"/>
    </row>
    <row r="1843" spans="1:19" ht="15.75" customHeight="1" x14ac:dyDescent="0.2">
      <c r="A1843" s="3"/>
      <c r="B1843" s="4" t="str">
        <f>IF(A1843="","","PC-"&amp;TEXT(A1843,"mm/yyyy")&amp;"-"&amp;TEXT(COUNTIFS($A$2:A1843,"&gt;="&amp;EOMONTH(A1843,-1)+1,$A$2:A1843,"&lt;="&amp;EOMONTH(A1843,0)),"000"))</f>
        <v/>
      </c>
      <c r="C1843" s="5"/>
      <c r="D1843" s="5"/>
      <c r="E1843" s="5"/>
      <c r="F1843" s="5"/>
      <c r="G1843" s="5"/>
      <c r="H1843" s="5"/>
      <c r="I1843" s="6"/>
      <c r="J1843" s="6">
        <f>IF(D1843="Thu",I1843,0)</f>
        <v>0</v>
      </c>
      <c r="K1843" s="6">
        <f>IF(D1843="Chi",I1843,0)</f>
        <v>0</v>
      </c>
      <c r="L1843" s="6">
        <f>L1842+J1843-K1843</f>
        <v>8050118</v>
      </c>
      <c r="M1843" s="6">
        <f ca="1">IFERROR(__xludf.DUMMYFUNCTION("SUM(FILTER(J:J, H:H=""Tiền mặt"")) - SUM(FILTER(K:K, H:H=""Tiền mặt""))
"),959000)</f>
        <v>959000</v>
      </c>
      <c r="N1843" s="6">
        <f ca="1">IFERROR(__xludf.DUMMYFUNCTION("SUM(FILTER(J:J, H:H=""Chuyển khoản"")) - SUM(FILTER(K:K, H:H=""Chuyển khoản""))
"),4468984)</f>
        <v>4468984</v>
      </c>
      <c r="O1843" s="5"/>
      <c r="P1843" s="5"/>
      <c r="Q1843" s="5"/>
      <c r="R1843" s="5"/>
      <c r="S1843" s="5"/>
    </row>
    <row r="1844" spans="1:19" ht="15.75" customHeight="1" x14ac:dyDescent="0.2">
      <c r="A1844" s="3"/>
      <c r="B1844" s="4" t="str">
        <f>IF(A1844="","","PC-"&amp;TEXT(A1844,"mm/yyyy")&amp;"-"&amp;TEXT(COUNTIFS($A$2:A1844,"&gt;="&amp;EOMONTH(A1844,-1)+1,$A$2:A1844,"&lt;="&amp;EOMONTH(A1844,0)),"000"))</f>
        <v/>
      </c>
      <c r="C1844" s="5"/>
      <c r="D1844" s="5"/>
      <c r="E1844" s="5"/>
      <c r="F1844" s="5"/>
      <c r="G1844" s="5"/>
      <c r="H1844" s="5"/>
      <c r="I1844" s="6"/>
      <c r="J1844" s="6">
        <f>IF(D1844="Thu",I1844,0)</f>
        <v>0</v>
      </c>
      <c r="K1844" s="6">
        <f>IF(D1844="Chi",I1844,0)</f>
        <v>0</v>
      </c>
      <c r="L1844" s="6">
        <f>L1843+J1844-K1844</f>
        <v>8050118</v>
      </c>
      <c r="M1844" s="6">
        <f ca="1">IFERROR(__xludf.DUMMYFUNCTION("SUM(FILTER(J:J, H:H=""Tiền mặt"")) - SUM(FILTER(K:K, H:H=""Tiền mặt""))
"),959000)</f>
        <v>959000</v>
      </c>
      <c r="N1844" s="6">
        <f ca="1">IFERROR(__xludf.DUMMYFUNCTION("SUM(FILTER(J:J, H:H=""Chuyển khoản"")) - SUM(FILTER(K:K, H:H=""Chuyển khoản""))
"),4468984)</f>
        <v>4468984</v>
      </c>
      <c r="O1844" s="5"/>
      <c r="P1844" s="5"/>
      <c r="Q1844" s="5"/>
      <c r="R1844" s="5"/>
      <c r="S1844" s="5"/>
    </row>
    <row r="1845" spans="1:19" ht="15.75" customHeight="1" x14ac:dyDescent="0.2">
      <c r="A1845" s="3"/>
      <c r="B1845" s="4" t="str">
        <f>IF(A1845="","","PC-"&amp;TEXT(A1845,"mm/yyyy")&amp;"-"&amp;TEXT(COUNTIFS($A$2:A1845,"&gt;="&amp;EOMONTH(A1845,-1)+1,$A$2:A1845,"&lt;="&amp;EOMONTH(A1845,0)),"000"))</f>
        <v/>
      </c>
      <c r="C1845" s="5"/>
      <c r="D1845" s="5"/>
      <c r="E1845" s="5"/>
      <c r="F1845" s="5"/>
      <c r="G1845" s="5"/>
      <c r="H1845" s="5"/>
      <c r="I1845" s="6"/>
      <c r="J1845" s="6">
        <f>IF(D1845="Thu",I1845,0)</f>
        <v>0</v>
      </c>
      <c r="K1845" s="6">
        <f>IF(D1845="Chi",I1845,0)</f>
        <v>0</v>
      </c>
      <c r="L1845" s="6">
        <f>L1844+J1845-K1845</f>
        <v>8050118</v>
      </c>
      <c r="M1845" s="6">
        <f ca="1">IFERROR(__xludf.DUMMYFUNCTION("SUM(FILTER(J:J, H:H=""Tiền mặt"")) - SUM(FILTER(K:K, H:H=""Tiền mặt""))
"),959000)</f>
        <v>959000</v>
      </c>
      <c r="N1845" s="6">
        <f ca="1">IFERROR(__xludf.DUMMYFUNCTION("SUM(FILTER(J:J, H:H=""Chuyển khoản"")) - SUM(FILTER(K:K, H:H=""Chuyển khoản""))
"),4468984)</f>
        <v>4468984</v>
      </c>
      <c r="O1845" s="5"/>
      <c r="P1845" s="5"/>
      <c r="Q1845" s="5"/>
      <c r="R1845" s="5"/>
      <c r="S1845" s="5"/>
    </row>
    <row r="1846" spans="1:19" ht="15.75" customHeight="1" x14ac:dyDescent="0.2">
      <c r="A1846" s="3"/>
      <c r="B1846" s="4" t="str">
        <f>IF(A1846="","","PC-"&amp;TEXT(A1846,"mm/yyyy")&amp;"-"&amp;TEXT(COUNTIFS($A$2:A1846,"&gt;="&amp;EOMONTH(A1846,-1)+1,$A$2:A1846,"&lt;="&amp;EOMONTH(A1846,0)),"000"))</f>
        <v/>
      </c>
      <c r="C1846" s="5"/>
      <c r="D1846" s="5"/>
      <c r="E1846" s="5"/>
      <c r="F1846" s="5"/>
      <c r="G1846" s="5"/>
      <c r="H1846" s="5"/>
      <c r="I1846" s="6"/>
      <c r="J1846" s="6">
        <f>IF(D1846="Thu",I1846,0)</f>
        <v>0</v>
      </c>
      <c r="K1846" s="6">
        <f>IF(D1846="Chi",I1846,0)</f>
        <v>0</v>
      </c>
      <c r="L1846" s="6">
        <f>L1845+J1846-K1846</f>
        <v>8050118</v>
      </c>
      <c r="M1846" s="6">
        <f ca="1">IFERROR(__xludf.DUMMYFUNCTION("SUM(FILTER(J:J, H:H=""Tiền mặt"")) - SUM(FILTER(K:K, H:H=""Tiền mặt""))
"),959000)</f>
        <v>959000</v>
      </c>
      <c r="N1846" s="6">
        <f ca="1">IFERROR(__xludf.DUMMYFUNCTION("SUM(FILTER(J:J, H:H=""Chuyển khoản"")) - SUM(FILTER(K:K, H:H=""Chuyển khoản""))
"),4468984)</f>
        <v>4468984</v>
      </c>
      <c r="O1846" s="5"/>
      <c r="P1846" s="5"/>
      <c r="Q1846" s="5"/>
      <c r="R1846" s="5"/>
      <c r="S1846" s="5"/>
    </row>
    <row r="1847" spans="1:19" ht="15.75" customHeight="1" x14ac:dyDescent="0.2">
      <c r="A1847" s="3"/>
      <c r="B1847" s="4" t="str">
        <f>IF(A1847="","","PC-"&amp;TEXT(A1847,"mm/yyyy")&amp;"-"&amp;TEXT(COUNTIFS($A$2:A1847,"&gt;="&amp;EOMONTH(A1847,-1)+1,$A$2:A1847,"&lt;="&amp;EOMONTH(A1847,0)),"000"))</f>
        <v/>
      </c>
      <c r="C1847" s="5"/>
      <c r="D1847" s="5"/>
      <c r="E1847" s="5"/>
      <c r="F1847" s="5"/>
      <c r="G1847" s="5"/>
      <c r="H1847" s="5"/>
      <c r="I1847" s="6"/>
      <c r="J1847" s="6">
        <f>IF(D1847="Thu",I1847,0)</f>
        <v>0</v>
      </c>
      <c r="K1847" s="6">
        <f>IF(D1847="Chi",I1847,0)</f>
        <v>0</v>
      </c>
      <c r="L1847" s="6">
        <f>L1846+J1847-K1847</f>
        <v>8050118</v>
      </c>
      <c r="M1847" s="6">
        <f ca="1">IFERROR(__xludf.DUMMYFUNCTION("SUM(FILTER(J:J, H:H=""Tiền mặt"")) - SUM(FILTER(K:K, H:H=""Tiền mặt""))
"),959000)</f>
        <v>959000</v>
      </c>
      <c r="N1847" s="6">
        <f ca="1">IFERROR(__xludf.DUMMYFUNCTION("SUM(FILTER(J:J, H:H=""Chuyển khoản"")) - SUM(FILTER(K:K, H:H=""Chuyển khoản""))
"),4468984)</f>
        <v>4468984</v>
      </c>
      <c r="O1847" s="5"/>
      <c r="P1847" s="5"/>
      <c r="Q1847" s="5"/>
      <c r="R1847" s="5"/>
      <c r="S1847" s="5"/>
    </row>
    <row r="1848" spans="1:19" ht="15.75" customHeight="1" x14ac:dyDescent="0.2">
      <c r="A1848" s="3"/>
      <c r="B1848" s="4" t="str">
        <f>IF(A1848="","","PC-"&amp;TEXT(A1848,"mm/yyyy")&amp;"-"&amp;TEXT(COUNTIFS($A$2:A1848,"&gt;="&amp;EOMONTH(A1848,-1)+1,$A$2:A1848,"&lt;="&amp;EOMONTH(A1848,0)),"000"))</f>
        <v/>
      </c>
      <c r="C1848" s="5"/>
      <c r="D1848" s="5"/>
      <c r="E1848" s="5"/>
      <c r="F1848" s="5"/>
      <c r="G1848" s="5"/>
      <c r="H1848" s="5"/>
      <c r="I1848" s="6"/>
      <c r="J1848" s="6">
        <f>IF(D1848="Thu",I1848,0)</f>
        <v>0</v>
      </c>
      <c r="K1848" s="6">
        <f>IF(D1848="Chi",I1848,0)</f>
        <v>0</v>
      </c>
      <c r="L1848" s="6">
        <f>L1847+J1848-K1848</f>
        <v>8050118</v>
      </c>
      <c r="M1848" s="6">
        <f ca="1">IFERROR(__xludf.DUMMYFUNCTION("SUM(FILTER(J:J, H:H=""Tiền mặt"")) - SUM(FILTER(K:K, H:H=""Tiền mặt""))
"),959000)</f>
        <v>959000</v>
      </c>
      <c r="N1848" s="6">
        <f ca="1">IFERROR(__xludf.DUMMYFUNCTION("SUM(FILTER(J:J, H:H=""Chuyển khoản"")) - SUM(FILTER(K:K, H:H=""Chuyển khoản""))
"),4468984)</f>
        <v>4468984</v>
      </c>
      <c r="O1848" s="5"/>
      <c r="P1848" s="5"/>
      <c r="Q1848" s="5"/>
      <c r="R1848" s="5"/>
      <c r="S1848" s="5"/>
    </row>
    <row r="1849" spans="1:19" ht="15.75" customHeight="1" x14ac:dyDescent="0.2">
      <c r="A1849" s="3"/>
      <c r="B1849" s="4" t="str">
        <f>IF(A1849="","","PC-"&amp;TEXT(A1849,"mm/yyyy")&amp;"-"&amp;TEXT(COUNTIFS($A$2:A1849,"&gt;="&amp;EOMONTH(A1849,-1)+1,$A$2:A1849,"&lt;="&amp;EOMONTH(A1849,0)),"000"))</f>
        <v/>
      </c>
      <c r="C1849" s="5"/>
      <c r="D1849" s="5"/>
      <c r="E1849" s="5"/>
      <c r="F1849" s="5"/>
      <c r="G1849" s="5"/>
      <c r="H1849" s="5"/>
      <c r="I1849" s="6"/>
      <c r="J1849" s="6">
        <f>IF(D1849="Thu",I1849,0)</f>
        <v>0</v>
      </c>
      <c r="K1849" s="6">
        <f>IF(D1849="Chi",I1849,0)</f>
        <v>0</v>
      </c>
      <c r="L1849" s="6">
        <f>L1848+J1849-K1849</f>
        <v>8050118</v>
      </c>
      <c r="M1849" s="6">
        <f ca="1">IFERROR(__xludf.DUMMYFUNCTION("SUM(FILTER(J:J, H:H=""Tiền mặt"")) - SUM(FILTER(K:K, H:H=""Tiền mặt""))
"),959000)</f>
        <v>959000</v>
      </c>
      <c r="N1849" s="6">
        <f ca="1">IFERROR(__xludf.DUMMYFUNCTION("SUM(FILTER(J:J, H:H=""Chuyển khoản"")) - SUM(FILTER(K:K, H:H=""Chuyển khoản""))
"),4468984)</f>
        <v>4468984</v>
      </c>
      <c r="O1849" s="5"/>
      <c r="P1849" s="5"/>
      <c r="Q1849" s="5"/>
      <c r="R1849" s="5"/>
      <c r="S1849" s="5"/>
    </row>
    <row r="1850" spans="1:19" ht="15.75" customHeight="1" x14ac:dyDescent="0.2">
      <c r="A1850" s="3"/>
      <c r="B1850" s="4" t="str">
        <f>IF(A1850="","","PC-"&amp;TEXT(A1850,"mm/yyyy")&amp;"-"&amp;TEXT(COUNTIFS($A$2:A1850,"&gt;="&amp;EOMONTH(A1850,-1)+1,$A$2:A1850,"&lt;="&amp;EOMONTH(A1850,0)),"000"))</f>
        <v/>
      </c>
      <c r="C1850" s="5"/>
      <c r="D1850" s="5"/>
      <c r="E1850" s="5"/>
      <c r="F1850" s="5"/>
      <c r="G1850" s="5"/>
      <c r="H1850" s="5"/>
      <c r="I1850" s="6"/>
      <c r="J1850" s="6">
        <f>IF(D1850="Thu",I1850,0)</f>
        <v>0</v>
      </c>
      <c r="K1850" s="6">
        <f>IF(D1850="Chi",I1850,0)</f>
        <v>0</v>
      </c>
      <c r="L1850" s="6">
        <f>L1849+J1850-K1850</f>
        <v>8050118</v>
      </c>
      <c r="M1850" s="6">
        <f ca="1">IFERROR(__xludf.DUMMYFUNCTION("SUM(FILTER(J:J, H:H=""Tiền mặt"")) - SUM(FILTER(K:K, H:H=""Tiền mặt""))
"),959000)</f>
        <v>959000</v>
      </c>
      <c r="N1850" s="6">
        <f ca="1">IFERROR(__xludf.DUMMYFUNCTION("SUM(FILTER(J:J, H:H=""Chuyển khoản"")) - SUM(FILTER(K:K, H:H=""Chuyển khoản""))
"),4468984)</f>
        <v>4468984</v>
      </c>
      <c r="O1850" s="5"/>
      <c r="P1850" s="5"/>
      <c r="Q1850" s="5"/>
      <c r="R1850" s="5"/>
      <c r="S1850" s="5"/>
    </row>
    <row r="1851" spans="1:19" ht="15.75" customHeight="1" x14ac:dyDescent="0.2">
      <c r="A1851" s="3"/>
      <c r="B1851" s="4" t="str">
        <f>IF(A1851="","","PC-"&amp;TEXT(A1851,"mm/yyyy")&amp;"-"&amp;TEXT(COUNTIFS($A$2:A1851,"&gt;="&amp;EOMONTH(A1851,-1)+1,$A$2:A1851,"&lt;="&amp;EOMONTH(A1851,0)),"000"))</f>
        <v/>
      </c>
      <c r="C1851" s="5"/>
      <c r="D1851" s="5"/>
      <c r="E1851" s="5"/>
      <c r="F1851" s="5"/>
      <c r="G1851" s="5"/>
      <c r="H1851" s="5"/>
      <c r="I1851" s="6"/>
      <c r="J1851" s="6">
        <f>IF(D1851="Thu",I1851,0)</f>
        <v>0</v>
      </c>
      <c r="K1851" s="6">
        <f>IF(D1851="Chi",I1851,0)</f>
        <v>0</v>
      </c>
      <c r="L1851" s="6">
        <f>L1850+J1851-K1851</f>
        <v>8050118</v>
      </c>
      <c r="M1851" s="6">
        <f ca="1">IFERROR(__xludf.DUMMYFUNCTION("SUM(FILTER(J:J, H:H=""Tiền mặt"")) - SUM(FILTER(K:K, H:H=""Tiền mặt""))
"),959000)</f>
        <v>959000</v>
      </c>
      <c r="N1851" s="6">
        <f ca="1">IFERROR(__xludf.DUMMYFUNCTION("SUM(FILTER(J:J, H:H=""Chuyển khoản"")) - SUM(FILTER(K:K, H:H=""Chuyển khoản""))
"),4468984)</f>
        <v>4468984</v>
      </c>
      <c r="O1851" s="5"/>
      <c r="P1851" s="5"/>
      <c r="Q1851" s="5"/>
      <c r="R1851" s="5"/>
      <c r="S1851" s="5"/>
    </row>
    <row r="1852" spans="1:19" ht="15.75" customHeight="1" x14ac:dyDescent="0.2">
      <c r="A1852" s="3"/>
      <c r="B1852" s="4" t="str">
        <f>IF(A1852="","","PC-"&amp;TEXT(A1852,"mm/yyyy")&amp;"-"&amp;TEXT(COUNTIFS($A$2:A1852,"&gt;="&amp;EOMONTH(A1852,-1)+1,$A$2:A1852,"&lt;="&amp;EOMONTH(A1852,0)),"000"))</f>
        <v/>
      </c>
      <c r="C1852" s="5"/>
      <c r="D1852" s="5"/>
      <c r="E1852" s="5"/>
      <c r="F1852" s="5"/>
      <c r="G1852" s="5"/>
      <c r="H1852" s="5"/>
      <c r="I1852" s="6"/>
      <c r="J1852" s="6">
        <f>IF(D1852="Thu",I1852,0)</f>
        <v>0</v>
      </c>
      <c r="K1852" s="6">
        <f>IF(D1852="Chi",I1852,0)</f>
        <v>0</v>
      </c>
      <c r="L1852" s="6">
        <f>L1851+J1852-K1852</f>
        <v>8050118</v>
      </c>
      <c r="M1852" s="6">
        <f ca="1">IFERROR(__xludf.DUMMYFUNCTION("SUM(FILTER(J:J, H:H=""Tiền mặt"")) - SUM(FILTER(K:K, H:H=""Tiền mặt""))
"),959000)</f>
        <v>959000</v>
      </c>
      <c r="N1852" s="6">
        <f ca="1">IFERROR(__xludf.DUMMYFUNCTION("SUM(FILTER(J:J, H:H=""Chuyển khoản"")) - SUM(FILTER(K:K, H:H=""Chuyển khoản""))
"),4468984)</f>
        <v>4468984</v>
      </c>
      <c r="O1852" s="5"/>
      <c r="P1852" s="5"/>
      <c r="Q1852" s="5"/>
      <c r="R1852" s="5"/>
      <c r="S1852" s="5"/>
    </row>
    <row r="1853" spans="1:19" ht="15.75" customHeight="1" x14ac:dyDescent="0.2">
      <c r="A1853" s="3"/>
      <c r="B1853" s="4" t="str">
        <f>IF(A1853="","","PC-"&amp;TEXT(A1853,"mm/yyyy")&amp;"-"&amp;TEXT(COUNTIFS($A$2:A1853,"&gt;="&amp;EOMONTH(A1853,-1)+1,$A$2:A1853,"&lt;="&amp;EOMONTH(A1853,0)),"000"))</f>
        <v/>
      </c>
      <c r="C1853" s="5"/>
      <c r="D1853" s="5"/>
      <c r="E1853" s="5"/>
      <c r="F1853" s="5"/>
      <c r="G1853" s="5"/>
      <c r="H1853" s="5"/>
      <c r="I1853" s="6"/>
      <c r="J1853" s="6">
        <f>IF(D1853="Thu",I1853,0)</f>
        <v>0</v>
      </c>
      <c r="K1853" s="6">
        <f>IF(D1853="Chi",I1853,0)</f>
        <v>0</v>
      </c>
      <c r="L1853" s="6">
        <f>L1852+J1853-K1853</f>
        <v>8050118</v>
      </c>
      <c r="M1853" s="6">
        <f ca="1">IFERROR(__xludf.DUMMYFUNCTION("SUM(FILTER(J:J, H:H=""Tiền mặt"")) - SUM(FILTER(K:K, H:H=""Tiền mặt""))
"),959000)</f>
        <v>959000</v>
      </c>
      <c r="N1853" s="6">
        <f ca="1">IFERROR(__xludf.DUMMYFUNCTION("SUM(FILTER(J:J, H:H=""Chuyển khoản"")) - SUM(FILTER(K:K, H:H=""Chuyển khoản""))
"),4468984)</f>
        <v>4468984</v>
      </c>
      <c r="O1853" s="5"/>
      <c r="P1853" s="5"/>
      <c r="Q1853" s="5"/>
      <c r="R1853" s="5"/>
      <c r="S1853" s="5"/>
    </row>
    <row r="1854" spans="1:19" ht="15.75" customHeight="1" x14ac:dyDescent="0.2">
      <c r="A1854" s="3"/>
      <c r="B1854" s="4" t="str">
        <f>IF(A1854="","","PC-"&amp;TEXT(A1854,"mm/yyyy")&amp;"-"&amp;TEXT(COUNTIFS($A$2:A1854,"&gt;="&amp;EOMONTH(A1854,-1)+1,$A$2:A1854,"&lt;="&amp;EOMONTH(A1854,0)),"000"))</f>
        <v/>
      </c>
      <c r="C1854" s="5"/>
      <c r="D1854" s="5"/>
      <c r="E1854" s="5"/>
      <c r="F1854" s="5"/>
      <c r="G1854" s="5"/>
      <c r="H1854" s="5"/>
      <c r="I1854" s="6"/>
      <c r="J1854" s="6">
        <f>IF(D1854="Thu",I1854,0)</f>
        <v>0</v>
      </c>
      <c r="K1854" s="6">
        <f>IF(D1854="Chi",I1854,0)</f>
        <v>0</v>
      </c>
      <c r="L1854" s="6">
        <f>L1853+J1854-K1854</f>
        <v>8050118</v>
      </c>
      <c r="M1854" s="6">
        <f ca="1">IFERROR(__xludf.DUMMYFUNCTION("SUM(FILTER(J:J, H:H=""Tiền mặt"")) - SUM(FILTER(K:K, H:H=""Tiền mặt""))
"),959000)</f>
        <v>959000</v>
      </c>
      <c r="N1854" s="6">
        <f ca="1">IFERROR(__xludf.DUMMYFUNCTION("SUM(FILTER(J:J, H:H=""Chuyển khoản"")) - SUM(FILTER(K:K, H:H=""Chuyển khoản""))
"),4468984)</f>
        <v>4468984</v>
      </c>
      <c r="O1854" s="5"/>
      <c r="P1854" s="5"/>
      <c r="Q1854" s="5"/>
      <c r="R1854" s="5"/>
      <c r="S1854" s="5"/>
    </row>
    <row r="1855" spans="1:19" ht="15.75" customHeight="1" x14ac:dyDescent="0.2">
      <c r="A1855" s="3"/>
      <c r="B1855" s="4" t="str">
        <f>IF(A1855="","","PC-"&amp;TEXT(A1855,"mm/yyyy")&amp;"-"&amp;TEXT(COUNTIFS($A$2:A1855,"&gt;="&amp;EOMONTH(A1855,-1)+1,$A$2:A1855,"&lt;="&amp;EOMONTH(A1855,0)),"000"))</f>
        <v/>
      </c>
      <c r="C1855" s="5"/>
      <c r="D1855" s="5"/>
      <c r="E1855" s="5"/>
      <c r="F1855" s="5"/>
      <c r="G1855" s="5"/>
      <c r="H1855" s="5"/>
      <c r="I1855" s="6"/>
      <c r="J1855" s="6">
        <f>IF(D1855="Thu",I1855,0)</f>
        <v>0</v>
      </c>
      <c r="K1855" s="6">
        <f>IF(D1855="Chi",I1855,0)</f>
        <v>0</v>
      </c>
      <c r="L1855" s="6">
        <f>L1854+J1855-K1855</f>
        <v>8050118</v>
      </c>
      <c r="M1855" s="6">
        <f ca="1">IFERROR(__xludf.DUMMYFUNCTION("SUM(FILTER(J:J, H:H=""Tiền mặt"")) - SUM(FILTER(K:K, H:H=""Tiền mặt""))
"),959000)</f>
        <v>959000</v>
      </c>
      <c r="N1855" s="6">
        <f ca="1">IFERROR(__xludf.DUMMYFUNCTION("SUM(FILTER(J:J, H:H=""Chuyển khoản"")) - SUM(FILTER(K:K, H:H=""Chuyển khoản""))
"),4468984)</f>
        <v>4468984</v>
      </c>
      <c r="O1855" s="5"/>
      <c r="P1855" s="5"/>
      <c r="Q1855" s="5"/>
      <c r="R1855" s="5"/>
      <c r="S1855" s="5"/>
    </row>
    <row r="1856" spans="1:19" ht="15.75" customHeight="1" x14ac:dyDescent="0.2">
      <c r="A1856" s="3"/>
      <c r="B1856" s="4" t="str">
        <f>IF(A1856="","","PC-"&amp;TEXT(A1856,"mm/yyyy")&amp;"-"&amp;TEXT(COUNTIFS($A$2:A1856,"&gt;="&amp;EOMONTH(A1856,-1)+1,$A$2:A1856,"&lt;="&amp;EOMONTH(A1856,0)),"000"))</f>
        <v/>
      </c>
      <c r="C1856" s="5"/>
      <c r="D1856" s="5"/>
      <c r="E1856" s="5"/>
      <c r="F1856" s="5"/>
      <c r="G1856" s="5"/>
      <c r="H1856" s="5"/>
      <c r="I1856" s="6"/>
      <c r="J1856" s="6">
        <f>IF(D1856="Thu",I1856,0)</f>
        <v>0</v>
      </c>
      <c r="K1856" s="6">
        <f>IF(D1856="Chi",I1856,0)</f>
        <v>0</v>
      </c>
      <c r="L1856" s="6">
        <f>L1855+J1856-K1856</f>
        <v>8050118</v>
      </c>
      <c r="M1856" s="6">
        <f ca="1">IFERROR(__xludf.DUMMYFUNCTION("SUM(FILTER(J:J, H:H=""Tiền mặt"")) - SUM(FILTER(K:K, H:H=""Tiền mặt""))
"),959000)</f>
        <v>959000</v>
      </c>
      <c r="N1856" s="6">
        <f ca="1">IFERROR(__xludf.DUMMYFUNCTION("SUM(FILTER(J:J, H:H=""Chuyển khoản"")) - SUM(FILTER(K:K, H:H=""Chuyển khoản""))
"),4468984)</f>
        <v>4468984</v>
      </c>
      <c r="O1856" s="5"/>
      <c r="P1856" s="5"/>
      <c r="Q1856" s="5"/>
      <c r="R1856" s="5"/>
      <c r="S1856" s="5"/>
    </row>
    <row r="1857" spans="1:19" ht="15.75" customHeight="1" x14ac:dyDescent="0.2">
      <c r="A1857" s="3"/>
      <c r="B1857" s="4" t="str">
        <f>IF(A1857="","","PC-"&amp;TEXT(A1857,"mm/yyyy")&amp;"-"&amp;TEXT(COUNTIFS($A$2:A1857,"&gt;="&amp;EOMONTH(A1857,-1)+1,$A$2:A1857,"&lt;="&amp;EOMONTH(A1857,0)),"000"))</f>
        <v/>
      </c>
      <c r="C1857" s="5"/>
      <c r="D1857" s="5"/>
      <c r="E1857" s="5"/>
      <c r="F1857" s="5"/>
      <c r="G1857" s="5"/>
      <c r="H1857" s="5"/>
      <c r="I1857" s="6"/>
      <c r="J1857" s="6">
        <f>IF(D1857="Thu",I1857,0)</f>
        <v>0</v>
      </c>
      <c r="K1857" s="6">
        <f>IF(D1857="Chi",I1857,0)</f>
        <v>0</v>
      </c>
      <c r="L1857" s="6">
        <f>L1856+J1857-K1857</f>
        <v>8050118</v>
      </c>
      <c r="M1857" s="6">
        <f ca="1">IFERROR(__xludf.DUMMYFUNCTION("SUM(FILTER(J:J, H:H=""Tiền mặt"")) - SUM(FILTER(K:K, H:H=""Tiền mặt""))
"),959000)</f>
        <v>959000</v>
      </c>
      <c r="N1857" s="6">
        <f ca="1">IFERROR(__xludf.DUMMYFUNCTION("SUM(FILTER(J:J, H:H=""Chuyển khoản"")) - SUM(FILTER(K:K, H:H=""Chuyển khoản""))
"),4468984)</f>
        <v>4468984</v>
      </c>
      <c r="O1857" s="5"/>
      <c r="P1857" s="5"/>
      <c r="Q1857" s="5"/>
      <c r="R1857" s="5"/>
      <c r="S1857" s="5"/>
    </row>
    <row r="1858" spans="1:19" ht="15.75" customHeight="1" x14ac:dyDescent="0.2">
      <c r="A1858" s="3"/>
      <c r="B1858" s="4" t="str">
        <f>IF(A1858="","","PC-"&amp;TEXT(A1858,"mm/yyyy")&amp;"-"&amp;TEXT(COUNTIFS($A$2:A1858,"&gt;="&amp;EOMONTH(A1858,-1)+1,$A$2:A1858,"&lt;="&amp;EOMONTH(A1858,0)),"000"))</f>
        <v/>
      </c>
      <c r="C1858" s="5"/>
      <c r="D1858" s="5"/>
      <c r="E1858" s="5"/>
      <c r="F1858" s="5"/>
      <c r="G1858" s="5"/>
      <c r="H1858" s="5"/>
      <c r="I1858" s="6"/>
      <c r="J1858" s="6">
        <f>IF(D1858="Thu",I1858,0)</f>
        <v>0</v>
      </c>
      <c r="K1858" s="6">
        <f>IF(D1858="Chi",I1858,0)</f>
        <v>0</v>
      </c>
      <c r="L1858" s="6">
        <f>L1857+J1858-K1858</f>
        <v>8050118</v>
      </c>
      <c r="M1858" s="6">
        <f ca="1">IFERROR(__xludf.DUMMYFUNCTION("SUM(FILTER(J:J, H:H=""Tiền mặt"")) - SUM(FILTER(K:K, H:H=""Tiền mặt""))
"),959000)</f>
        <v>959000</v>
      </c>
      <c r="N1858" s="6">
        <f ca="1">IFERROR(__xludf.DUMMYFUNCTION("SUM(FILTER(J:J, H:H=""Chuyển khoản"")) - SUM(FILTER(K:K, H:H=""Chuyển khoản""))
"),4468984)</f>
        <v>4468984</v>
      </c>
      <c r="O1858" s="5"/>
      <c r="P1858" s="5"/>
      <c r="Q1858" s="5"/>
      <c r="R1858" s="5"/>
      <c r="S1858" s="5"/>
    </row>
    <row r="1859" spans="1:19" ht="15.75" customHeight="1" x14ac:dyDescent="0.2">
      <c r="A1859" s="3"/>
      <c r="B1859" s="4" t="str">
        <f>IF(A1859="","","PC-"&amp;TEXT(A1859,"mm/yyyy")&amp;"-"&amp;TEXT(COUNTIFS($A$2:A1859,"&gt;="&amp;EOMONTH(A1859,-1)+1,$A$2:A1859,"&lt;="&amp;EOMONTH(A1859,0)),"000"))</f>
        <v/>
      </c>
      <c r="C1859" s="5"/>
      <c r="D1859" s="5"/>
      <c r="E1859" s="5"/>
      <c r="F1859" s="5"/>
      <c r="G1859" s="5"/>
      <c r="H1859" s="5"/>
      <c r="I1859" s="6"/>
      <c r="J1859" s="6">
        <f>IF(D1859="Thu",I1859,0)</f>
        <v>0</v>
      </c>
      <c r="K1859" s="6">
        <f>IF(D1859="Chi",I1859,0)</f>
        <v>0</v>
      </c>
      <c r="L1859" s="6">
        <f>L1858+J1859-K1859</f>
        <v>8050118</v>
      </c>
      <c r="M1859" s="6">
        <f ca="1">IFERROR(__xludf.DUMMYFUNCTION("SUM(FILTER(J:J, H:H=""Tiền mặt"")) - SUM(FILTER(K:K, H:H=""Tiền mặt""))
"),959000)</f>
        <v>959000</v>
      </c>
      <c r="N1859" s="6">
        <f ca="1">IFERROR(__xludf.DUMMYFUNCTION("SUM(FILTER(J:J, H:H=""Chuyển khoản"")) - SUM(FILTER(K:K, H:H=""Chuyển khoản""))
"),4468984)</f>
        <v>4468984</v>
      </c>
      <c r="O1859" s="5"/>
      <c r="P1859" s="5"/>
      <c r="Q1859" s="5"/>
      <c r="R1859" s="5"/>
      <c r="S1859" s="5"/>
    </row>
    <row r="1860" spans="1:19" ht="15.75" customHeight="1" x14ac:dyDescent="0.2">
      <c r="A1860" s="3"/>
      <c r="B1860" s="4" t="str">
        <f>IF(A1860="","","PC-"&amp;TEXT(A1860,"mm/yyyy")&amp;"-"&amp;TEXT(COUNTIFS($A$2:A1860,"&gt;="&amp;EOMONTH(A1860,-1)+1,$A$2:A1860,"&lt;="&amp;EOMONTH(A1860,0)),"000"))</f>
        <v/>
      </c>
      <c r="C1860" s="5"/>
      <c r="D1860" s="5"/>
      <c r="E1860" s="5"/>
      <c r="F1860" s="5"/>
      <c r="G1860" s="5"/>
      <c r="H1860" s="5"/>
      <c r="I1860" s="6"/>
      <c r="J1860" s="6">
        <f>IF(D1860="Thu",I1860,0)</f>
        <v>0</v>
      </c>
      <c r="K1860" s="6">
        <f>IF(D1860="Chi",I1860,0)</f>
        <v>0</v>
      </c>
      <c r="L1860" s="6">
        <f>L1859+J1860-K1860</f>
        <v>8050118</v>
      </c>
      <c r="M1860" s="6">
        <f ca="1">IFERROR(__xludf.DUMMYFUNCTION("SUM(FILTER(J:J, H:H=""Tiền mặt"")) - SUM(FILTER(K:K, H:H=""Tiền mặt""))
"),959000)</f>
        <v>959000</v>
      </c>
      <c r="N1860" s="6">
        <f ca="1">IFERROR(__xludf.DUMMYFUNCTION("SUM(FILTER(J:J, H:H=""Chuyển khoản"")) - SUM(FILTER(K:K, H:H=""Chuyển khoản""))
"),4468984)</f>
        <v>4468984</v>
      </c>
      <c r="O1860" s="5"/>
      <c r="P1860" s="5"/>
      <c r="Q1860" s="5"/>
      <c r="R1860" s="5"/>
      <c r="S1860" s="5"/>
    </row>
    <row r="1861" spans="1:19" ht="15.75" customHeight="1" x14ac:dyDescent="0.2">
      <c r="A1861" s="3"/>
      <c r="B1861" s="4" t="str">
        <f>IF(A1861="","","PC-"&amp;TEXT(A1861,"mm/yyyy")&amp;"-"&amp;TEXT(COUNTIFS($A$2:A1861,"&gt;="&amp;EOMONTH(A1861,-1)+1,$A$2:A1861,"&lt;="&amp;EOMONTH(A1861,0)),"000"))</f>
        <v/>
      </c>
      <c r="C1861" s="5"/>
      <c r="D1861" s="5"/>
      <c r="E1861" s="5"/>
      <c r="F1861" s="5"/>
      <c r="G1861" s="5"/>
      <c r="H1861" s="5"/>
      <c r="I1861" s="6"/>
      <c r="J1861" s="6">
        <f>IF(D1861="Thu",I1861,0)</f>
        <v>0</v>
      </c>
      <c r="K1861" s="6">
        <f>IF(D1861="Chi",I1861,0)</f>
        <v>0</v>
      </c>
      <c r="L1861" s="6">
        <f>L1860+J1861-K1861</f>
        <v>8050118</v>
      </c>
      <c r="M1861" s="6">
        <f ca="1">IFERROR(__xludf.DUMMYFUNCTION("SUM(FILTER(J:J, H:H=""Tiền mặt"")) - SUM(FILTER(K:K, H:H=""Tiền mặt""))
"),959000)</f>
        <v>959000</v>
      </c>
      <c r="N1861" s="6">
        <f ca="1">IFERROR(__xludf.DUMMYFUNCTION("SUM(FILTER(J:J, H:H=""Chuyển khoản"")) - SUM(FILTER(K:K, H:H=""Chuyển khoản""))
"),4468984)</f>
        <v>4468984</v>
      </c>
      <c r="O1861" s="5"/>
      <c r="P1861" s="5"/>
      <c r="Q1861" s="5"/>
      <c r="R1861" s="5"/>
      <c r="S1861" s="5"/>
    </row>
    <row r="1862" spans="1:19" ht="15.75" customHeight="1" x14ac:dyDescent="0.2">
      <c r="A1862" s="3"/>
      <c r="B1862" s="4" t="str">
        <f>IF(A1862="","","PC-"&amp;TEXT(A1862,"mm/yyyy")&amp;"-"&amp;TEXT(COUNTIFS($A$2:A1862,"&gt;="&amp;EOMONTH(A1862,-1)+1,$A$2:A1862,"&lt;="&amp;EOMONTH(A1862,0)),"000"))</f>
        <v/>
      </c>
      <c r="C1862" s="5"/>
      <c r="D1862" s="5"/>
      <c r="E1862" s="5"/>
      <c r="F1862" s="5"/>
      <c r="G1862" s="5"/>
      <c r="H1862" s="5"/>
      <c r="I1862" s="6"/>
      <c r="J1862" s="6">
        <f>IF(D1862="Thu",I1862,0)</f>
        <v>0</v>
      </c>
      <c r="K1862" s="6">
        <f>IF(D1862="Chi",I1862,0)</f>
        <v>0</v>
      </c>
      <c r="L1862" s="6">
        <f>L1861+J1862-K1862</f>
        <v>8050118</v>
      </c>
      <c r="M1862" s="6">
        <f ca="1">IFERROR(__xludf.DUMMYFUNCTION("SUM(FILTER(J:J, H:H=""Tiền mặt"")) - SUM(FILTER(K:K, H:H=""Tiền mặt""))
"),959000)</f>
        <v>959000</v>
      </c>
      <c r="N1862" s="6">
        <f ca="1">IFERROR(__xludf.DUMMYFUNCTION("SUM(FILTER(J:J, H:H=""Chuyển khoản"")) - SUM(FILTER(K:K, H:H=""Chuyển khoản""))
"),4468984)</f>
        <v>4468984</v>
      </c>
      <c r="O1862" s="5"/>
      <c r="P1862" s="5"/>
      <c r="Q1862" s="5"/>
      <c r="R1862" s="5"/>
      <c r="S1862" s="5"/>
    </row>
    <row r="1863" spans="1:19" ht="15.75" customHeight="1" x14ac:dyDescent="0.2">
      <c r="A1863" s="3"/>
      <c r="B1863" s="4" t="str">
        <f>IF(A1863="","","PC-"&amp;TEXT(A1863,"mm/yyyy")&amp;"-"&amp;TEXT(COUNTIFS($A$2:A1863,"&gt;="&amp;EOMONTH(A1863,-1)+1,$A$2:A1863,"&lt;="&amp;EOMONTH(A1863,0)),"000"))</f>
        <v/>
      </c>
      <c r="C1863" s="5"/>
      <c r="D1863" s="5"/>
      <c r="E1863" s="5"/>
      <c r="F1863" s="5"/>
      <c r="G1863" s="5"/>
      <c r="H1863" s="5"/>
      <c r="I1863" s="6"/>
      <c r="J1863" s="6">
        <f>IF(D1863="Thu",I1863,0)</f>
        <v>0</v>
      </c>
      <c r="K1863" s="6">
        <f>IF(D1863="Chi",I1863,0)</f>
        <v>0</v>
      </c>
      <c r="L1863" s="6">
        <f>L1862+J1863-K1863</f>
        <v>8050118</v>
      </c>
      <c r="M1863" s="6">
        <f ca="1">IFERROR(__xludf.DUMMYFUNCTION("SUM(FILTER(J:J, H:H=""Tiền mặt"")) - SUM(FILTER(K:K, H:H=""Tiền mặt""))
"),959000)</f>
        <v>959000</v>
      </c>
      <c r="N1863" s="6">
        <f ca="1">IFERROR(__xludf.DUMMYFUNCTION("SUM(FILTER(J:J, H:H=""Chuyển khoản"")) - SUM(FILTER(K:K, H:H=""Chuyển khoản""))
"),4468984)</f>
        <v>4468984</v>
      </c>
      <c r="O1863" s="5"/>
      <c r="P1863" s="5"/>
      <c r="Q1863" s="5"/>
      <c r="R1863" s="5"/>
      <c r="S1863" s="5"/>
    </row>
    <row r="1864" spans="1:19" ht="15.75" customHeight="1" x14ac:dyDescent="0.2">
      <c r="A1864" s="3"/>
      <c r="B1864" s="4" t="str">
        <f>IF(A1864="","","PC-"&amp;TEXT(A1864,"mm/yyyy")&amp;"-"&amp;TEXT(COUNTIFS($A$2:A1864,"&gt;="&amp;EOMONTH(A1864,-1)+1,$A$2:A1864,"&lt;="&amp;EOMONTH(A1864,0)),"000"))</f>
        <v/>
      </c>
      <c r="C1864" s="5"/>
      <c r="D1864" s="5"/>
      <c r="E1864" s="5"/>
      <c r="F1864" s="5"/>
      <c r="G1864" s="5"/>
      <c r="H1864" s="5"/>
      <c r="I1864" s="6"/>
      <c r="J1864" s="6">
        <f>IF(D1864="Thu",I1864,0)</f>
        <v>0</v>
      </c>
      <c r="K1864" s="6">
        <f>IF(D1864="Chi",I1864,0)</f>
        <v>0</v>
      </c>
      <c r="L1864" s="6">
        <f>L1863+J1864-K1864</f>
        <v>8050118</v>
      </c>
      <c r="M1864" s="6">
        <f ca="1">IFERROR(__xludf.DUMMYFUNCTION("SUM(FILTER(J:J, H:H=""Tiền mặt"")) - SUM(FILTER(K:K, H:H=""Tiền mặt""))
"),959000)</f>
        <v>959000</v>
      </c>
      <c r="N1864" s="6">
        <f ca="1">IFERROR(__xludf.DUMMYFUNCTION("SUM(FILTER(J:J, H:H=""Chuyển khoản"")) - SUM(FILTER(K:K, H:H=""Chuyển khoản""))
"),4468984)</f>
        <v>4468984</v>
      </c>
      <c r="O1864" s="5"/>
      <c r="P1864" s="5"/>
      <c r="Q1864" s="5"/>
      <c r="R1864" s="5"/>
      <c r="S1864" s="5"/>
    </row>
    <row r="1865" spans="1:19" ht="15.75" customHeight="1" x14ac:dyDescent="0.2">
      <c r="A1865" s="3"/>
      <c r="B1865" s="4" t="str">
        <f>IF(A1865="","","PC-"&amp;TEXT(A1865,"mm/yyyy")&amp;"-"&amp;TEXT(COUNTIFS($A$2:A1865,"&gt;="&amp;EOMONTH(A1865,-1)+1,$A$2:A1865,"&lt;="&amp;EOMONTH(A1865,0)),"000"))</f>
        <v/>
      </c>
      <c r="C1865" s="5"/>
      <c r="D1865" s="5"/>
      <c r="E1865" s="5"/>
      <c r="F1865" s="5"/>
      <c r="G1865" s="5"/>
      <c r="H1865" s="5"/>
      <c r="I1865" s="6"/>
      <c r="J1865" s="6">
        <f>IF(D1865="Thu",I1865,0)</f>
        <v>0</v>
      </c>
      <c r="K1865" s="6">
        <f>IF(D1865="Chi",I1865,0)</f>
        <v>0</v>
      </c>
      <c r="L1865" s="6">
        <f>L1864+J1865-K1865</f>
        <v>8050118</v>
      </c>
      <c r="M1865" s="6">
        <f ca="1">IFERROR(__xludf.DUMMYFUNCTION("SUM(FILTER(J:J, H:H=""Tiền mặt"")) - SUM(FILTER(K:K, H:H=""Tiền mặt""))
"),959000)</f>
        <v>959000</v>
      </c>
      <c r="N1865" s="6">
        <f ca="1">IFERROR(__xludf.DUMMYFUNCTION("SUM(FILTER(J:J, H:H=""Chuyển khoản"")) - SUM(FILTER(K:K, H:H=""Chuyển khoản""))
"),4468984)</f>
        <v>4468984</v>
      </c>
      <c r="O1865" s="5"/>
      <c r="P1865" s="5"/>
      <c r="Q1865" s="5"/>
      <c r="R1865" s="5"/>
      <c r="S1865" s="5"/>
    </row>
    <row r="1866" spans="1:19" ht="15.75" customHeight="1" x14ac:dyDescent="0.2">
      <c r="A1866" s="3"/>
      <c r="B1866" s="4" t="str">
        <f>IF(A1866="","","PC-"&amp;TEXT(A1866,"mm/yyyy")&amp;"-"&amp;TEXT(COUNTIFS($A$2:A1866,"&gt;="&amp;EOMONTH(A1866,-1)+1,$A$2:A1866,"&lt;="&amp;EOMONTH(A1866,0)),"000"))</f>
        <v/>
      </c>
      <c r="C1866" s="5"/>
      <c r="D1866" s="5"/>
      <c r="E1866" s="5"/>
      <c r="F1866" s="5"/>
      <c r="G1866" s="5"/>
      <c r="H1866" s="5"/>
      <c r="I1866" s="6"/>
      <c r="J1866" s="6">
        <f>IF(D1866="Thu",I1866,0)</f>
        <v>0</v>
      </c>
      <c r="K1866" s="6">
        <f>IF(D1866="Chi",I1866,0)</f>
        <v>0</v>
      </c>
      <c r="L1866" s="6">
        <f>L1865+J1866-K1866</f>
        <v>8050118</v>
      </c>
      <c r="M1866" s="6">
        <f ca="1">IFERROR(__xludf.DUMMYFUNCTION("SUM(FILTER(J:J, H:H=""Tiền mặt"")) - SUM(FILTER(K:K, H:H=""Tiền mặt""))
"),959000)</f>
        <v>959000</v>
      </c>
      <c r="N1866" s="6">
        <f ca="1">IFERROR(__xludf.DUMMYFUNCTION("SUM(FILTER(J:J, H:H=""Chuyển khoản"")) - SUM(FILTER(K:K, H:H=""Chuyển khoản""))
"),4468984)</f>
        <v>4468984</v>
      </c>
      <c r="O1866" s="5"/>
      <c r="P1866" s="5"/>
      <c r="Q1866" s="5"/>
      <c r="R1866" s="5"/>
      <c r="S1866" s="5"/>
    </row>
    <row r="1867" spans="1:19" ht="15.75" customHeight="1" x14ac:dyDescent="0.2">
      <c r="A1867" s="3"/>
      <c r="B1867" s="4" t="str">
        <f>IF(A1867="","","PC-"&amp;TEXT(A1867,"mm/yyyy")&amp;"-"&amp;TEXT(COUNTIFS($A$2:A1867,"&gt;="&amp;EOMONTH(A1867,-1)+1,$A$2:A1867,"&lt;="&amp;EOMONTH(A1867,0)),"000"))</f>
        <v/>
      </c>
      <c r="C1867" s="5"/>
      <c r="D1867" s="5"/>
      <c r="E1867" s="5"/>
      <c r="F1867" s="5"/>
      <c r="G1867" s="5"/>
      <c r="H1867" s="5"/>
      <c r="I1867" s="6"/>
      <c r="J1867" s="6">
        <f>IF(D1867="Thu",I1867,0)</f>
        <v>0</v>
      </c>
      <c r="K1867" s="6">
        <f>IF(D1867="Chi",I1867,0)</f>
        <v>0</v>
      </c>
      <c r="L1867" s="6">
        <f>L1866+J1867-K1867</f>
        <v>8050118</v>
      </c>
      <c r="M1867" s="6">
        <f ca="1">IFERROR(__xludf.DUMMYFUNCTION("SUM(FILTER(J:J, H:H=""Tiền mặt"")) - SUM(FILTER(K:K, H:H=""Tiền mặt""))
"),959000)</f>
        <v>959000</v>
      </c>
      <c r="N1867" s="6">
        <f ca="1">IFERROR(__xludf.DUMMYFUNCTION("SUM(FILTER(J:J, H:H=""Chuyển khoản"")) - SUM(FILTER(K:K, H:H=""Chuyển khoản""))
"),4468984)</f>
        <v>4468984</v>
      </c>
      <c r="O1867" s="5"/>
      <c r="P1867" s="5"/>
      <c r="Q1867" s="5"/>
      <c r="R1867" s="5"/>
      <c r="S1867" s="5"/>
    </row>
    <row r="1868" spans="1:19" ht="15.75" customHeight="1" x14ac:dyDescent="0.2">
      <c r="A1868" s="3"/>
      <c r="B1868" s="4" t="str">
        <f>IF(A1868="","","PC-"&amp;TEXT(A1868,"mm/yyyy")&amp;"-"&amp;TEXT(COUNTIFS($A$2:A1868,"&gt;="&amp;EOMONTH(A1868,-1)+1,$A$2:A1868,"&lt;="&amp;EOMONTH(A1868,0)),"000"))</f>
        <v/>
      </c>
      <c r="C1868" s="5"/>
      <c r="D1868" s="5"/>
      <c r="E1868" s="5"/>
      <c r="F1868" s="5"/>
      <c r="G1868" s="5"/>
      <c r="H1868" s="5"/>
      <c r="I1868" s="6"/>
      <c r="J1868" s="6">
        <f>IF(D1868="Thu",I1868,0)</f>
        <v>0</v>
      </c>
      <c r="K1868" s="6">
        <f>IF(D1868="Chi",I1868,0)</f>
        <v>0</v>
      </c>
      <c r="L1868" s="6">
        <f>L1867+J1868-K1868</f>
        <v>8050118</v>
      </c>
      <c r="M1868" s="6">
        <f ca="1">IFERROR(__xludf.DUMMYFUNCTION("SUM(FILTER(J:J, H:H=""Tiền mặt"")) - SUM(FILTER(K:K, H:H=""Tiền mặt""))
"),959000)</f>
        <v>959000</v>
      </c>
      <c r="N1868" s="6">
        <f ca="1">IFERROR(__xludf.DUMMYFUNCTION("SUM(FILTER(J:J, H:H=""Chuyển khoản"")) - SUM(FILTER(K:K, H:H=""Chuyển khoản""))
"),4468984)</f>
        <v>4468984</v>
      </c>
      <c r="O1868" s="5"/>
      <c r="P1868" s="5"/>
      <c r="Q1868" s="5"/>
      <c r="R1868" s="5"/>
      <c r="S1868" s="5"/>
    </row>
    <row r="1869" spans="1:19" ht="15.75" customHeight="1" x14ac:dyDescent="0.2">
      <c r="A1869" s="3"/>
      <c r="B1869" s="4" t="str">
        <f>IF(A1869="","","PC-"&amp;TEXT(A1869,"mm/yyyy")&amp;"-"&amp;TEXT(COUNTIFS($A$2:A1869,"&gt;="&amp;EOMONTH(A1869,-1)+1,$A$2:A1869,"&lt;="&amp;EOMONTH(A1869,0)),"000"))</f>
        <v/>
      </c>
      <c r="C1869" s="5"/>
      <c r="D1869" s="5"/>
      <c r="E1869" s="5"/>
      <c r="F1869" s="5"/>
      <c r="G1869" s="5"/>
      <c r="H1869" s="5"/>
      <c r="I1869" s="6"/>
      <c r="J1869" s="6">
        <f>IF(D1869="Thu",I1869,0)</f>
        <v>0</v>
      </c>
      <c r="K1869" s="6">
        <f>IF(D1869="Chi",I1869,0)</f>
        <v>0</v>
      </c>
      <c r="L1869" s="6">
        <f>L1868+J1869-K1869</f>
        <v>8050118</v>
      </c>
      <c r="M1869" s="6">
        <f ca="1">IFERROR(__xludf.DUMMYFUNCTION("SUM(FILTER(J:J, H:H=""Tiền mặt"")) - SUM(FILTER(K:K, H:H=""Tiền mặt""))
"),959000)</f>
        <v>959000</v>
      </c>
      <c r="N1869" s="6">
        <f ca="1">IFERROR(__xludf.DUMMYFUNCTION("SUM(FILTER(J:J, H:H=""Chuyển khoản"")) - SUM(FILTER(K:K, H:H=""Chuyển khoản""))
"),4468984)</f>
        <v>4468984</v>
      </c>
      <c r="O1869" s="5"/>
      <c r="P1869" s="5"/>
      <c r="Q1869" s="5"/>
      <c r="R1869" s="5"/>
      <c r="S1869" s="5"/>
    </row>
    <row r="1870" spans="1:19" ht="15.75" customHeight="1" x14ac:dyDescent="0.2">
      <c r="A1870" s="3"/>
      <c r="B1870" s="4" t="str">
        <f>IF(A1870="","","PC-"&amp;TEXT(A1870,"mm/yyyy")&amp;"-"&amp;TEXT(COUNTIFS($A$2:A1870,"&gt;="&amp;EOMONTH(A1870,-1)+1,$A$2:A1870,"&lt;="&amp;EOMONTH(A1870,0)),"000"))</f>
        <v/>
      </c>
      <c r="C1870" s="5"/>
      <c r="D1870" s="5"/>
      <c r="E1870" s="5"/>
      <c r="F1870" s="5"/>
      <c r="G1870" s="5"/>
      <c r="H1870" s="5"/>
      <c r="I1870" s="6"/>
      <c r="J1870" s="6">
        <f>IF(D1870="Thu",I1870,0)</f>
        <v>0</v>
      </c>
      <c r="K1870" s="6">
        <f>IF(D1870="Chi",I1870,0)</f>
        <v>0</v>
      </c>
      <c r="L1870" s="6">
        <f>L1869+J1870-K1870</f>
        <v>8050118</v>
      </c>
      <c r="M1870" s="6">
        <f ca="1">IFERROR(__xludf.DUMMYFUNCTION("SUM(FILTER(J:J, H:H=""Tiền mặt"")) - SUM(FILTER(K:K, H:H=""Tiền mặt""))
"),959000)</f>
        <v>959000</v>
      </c>
      <c r="N1870" s="6">
        <f ca="1">IFERROR(__xludf.DUMMYFUNCTION("SUM(FILTER(J:J, H:H=""Chuyển khoản"")) - SUM(FILTER(K:K, H:H=""Chuyển khoản""))
"),4468984)</f>
        <v>4468984</v>
      </c>
      <c r="O1870" s="5"/>
      <c r="P1870" s="5"/>
      <c r="Q1870" s="5"/>
      <c r="R1870" s="5"/>
      <c r="S1870" s="5"/>
    </row>
    <row r="1871" spans="1:19" ht="15.75" customHeight="1" x14ac:dyDescent="0.2">
      <c r="A1871" s="3"/>
      <c r="B1871" s="4" t="str">
        <f>IF(A1871="","","PC-"&amp;TEXT(A1871,"mm/yyyy")&amp;"-"&amp;TEXT(COUNTIFS($A$2:A1871,"&gt;="&amp;EOMONTH(A1871,-1)+1,$A$2:A1871,"&lt;="&amp;EOMONTH(A1871,0)),"000"))</f>
        <v/>
      </c>
      <c r="C1871" s="5"/>
      <c r="D1871" s="5"/>
      <c r="E1871" s="5"/>
      <c r="F1871" s="5"/>
      <c r="G1871" s="5"/>
      <c r="H1871" s="5"/>
      <c r="I1871" s="6"/>
      <c r="J1871" s="6">
        <f>IF(D1871="Thu",I1871,0)</f>
        <v>0</v>
      </c>
      <c r="K1871" s="6">
        <f>IF(D1871="Chi",I1871,0)</f>
        <v>0</v>
      </c>
      <c r="L1871" s="6">
        <f>L1870+J1871-K1871</f>
        <v>8050118</v>
      </c>
      <c r="M1871" s="6">
        <f ca="1">IFERROR(__xludf.DUMMYFUNCTION("SUM(FILTER(J:J, H:H=""Tiền mặt"")) - SUM(FILTER(K:K, H:H=""Tiền mặt""))
"),959000)</f>
        <v>959000</v>
      </c>
      <c r="N1871" s="6">
        <f ca="1">IFERROR(__xludf.DUMMYFUNCTION("SUM(FILTER(J:J, H:H=""Chuyển khoản"")) - SUM(FILTER(K:K, H:H=""Chuyển khoản""))
"),4468984)</f>
        <v>4468984</v>
      </c>
      <c r="O1871" s="5"/>
      <c r="P1871" s="5"/>
      <c r="Q1871" s="5"/>
      <c r="R1871" s="5"/>
      <c r="S1871" s="5"/>
    </row>
    <row r="1872" spans="1:19" ht="15.75" customHeight="1" x14ac:dyDescent="0.2">
      <c r="A1872" s="3"/>
      <c r="B1872" s="4" t="str">
        <f>IF(A1872="","","PC-"&amp;TEXT(A1872,"mm/yyyy")&amp;"-"&amp;TEXT(COUNTIFS($A$2:A1872,"&gt;="&amp;EOMONTH(A1872,-1)+1,$A$2:A1872,"&lt;="&amp;EOMONTH(A1872,0)),"000"))</f>
        <v/>
      </c>
      <c r="C1872" s="5"/>
      <c r="D1872" s="5"/>
      <c r="E1872" s="5"/>
      <c r="F1872" s="5"/>
      <c r="G1872" s="5"/>
      <c r="H1872" s="5"/>
      <c r="I1872" s="6"/>
      <c r="J1872" s="6">
        <f>IF(D1872="Thu",I1872,0)</f>
        <v>0</v>
      </c>
      <c r="K1872" s="6">
        <f>IF(D1872="Chi",I1872,0)</f>
        <v>0</v>
      </c>
      <c r="L1872" s="6">
        <f>L1871+J1872-K1872</f>
        <v>8050118</v>
      </c>
      <c r="M1872" s="6">
        <f ca="1">IFERROR(__xludf.DUMMYFUNCTION("SUM(FILTER(J:J, H:H=""Tiền mặt"")) - SUM(FILTER(K:K, H:H=""Tiền mặt""))
"),959000)</f>
        <v>959000</v>
      </c>
      <c r="N1872" s="6">
        <f ca="1">IFERROR(__xludf.DUMMYFUNCTION("SUM(FILTER(J:J, H:H=""Chuyển khoản"")) - SUM(FILTER(K:K, H:H=""Chuyển khoản""))
"),4468984)</f>
        <v>4468984</v>
      </c>
      <c r="O1872" s="5"/>
      <c r="P1872" s="5"/>
      <c r="Q1872" s="5"/>
      <c r="R1872" s="5"/>
      <c r="S1872" s="5"/>
    </row>
    <row r="1873" spans="1:19" ht="15.75" customHeight="1" x14ac:dyDescent="0.2">
      <c r="A1873" s="3"/>
      <c r="B1873" s="4" t="str">
        <f>IF(A1873="","","PC-"&amp;TEXT(A1873,"mm/yyyy")&amp;"-"&amp;TEXT(COUNTIFS($A$2:A1873,"&gt;="&amp;EOMONTH(A1873,-1)+1,$A$2:A1873,"&lt;="&amp;EOMONTH(A1873,0)),"000"))</f>
        <v/>
      </c>
      <c r="C1873" s="5"/>
      <c r="D1873" s="5"/>
      <c r="E1873" s="5"/>
      <c r="F1873" s="5"/>
      <c r="G1873" s="5"/>
      <c r="H1873" s="5"/>
      <c r="I1873" s="6"/>
      <c r="J1873" s="6">
        <f>IF(D1873="Thu",I1873,0)</f>
        <v>0</v>
      </c>
      <c r="K1873" s="6">
        <f>IF(D1873="Chi",I1873,0)</f>
        <v>0</v>
      </c>
      <c r="L1873" s="6">
        <f>L1872+J1873-K1873</f>
        <v>8050118</v>
      </c>
      <c r="M1873" s="6">
        <f ca="1">IFERROR(__xludf.DUMMYFUNCTION("SUM(FILTER(J:J, H:H=""Tiền mặt"")) - SUM(FILTER(K:K, H:H=""Tiền mặt""))
"),959000)</f>
        <v>959000</v>
      </c>
      <c r="N1873" s="6">
        <f ca="1">IFERROR(__xludf.DUMMYFUNCTION("SUM(FILTER(J:J, H:H=""Chuyển khoản"")) - SUM(FILTER(K:K, H:H=""Chuyển khoản""))
"),4468984)</f>
        <v>4468984</v>
      </c>
      <c r="O1873" s="5"/>
      <c r="P1873" s="5"/>
      <c r="Q1873" s="5"/>
      <c r="R1873" s="5"/>
      <c r="S1873" s="5"/>
    </row>
    <row r="1874" spans="1:19" ht="15.75" customHeight="1" x14ac:dyDescent="0.2">
      <c r="A1874" s="3"/>
      <c r="B1874" s="4" t="str">
        <f>IF(A1874="","","PC-"&amp;TEXT(A1874,"mm/yyyy")&amp;"-"&amp;TEXT(COUNTIFS($A$2:A1874,"&gt;="&amp;EOMONTH(A1874,-1)+1,$A$2:A1874,"&lt;="&amp;EOMONTH(A1874,0)),"000"))</f>
        <v/>
      </c>
      <c r="C1874" s="5"/>
      <c r="D1874" s="5"/>
      <c r="E1874" s="5"/>
      <c r="F1874" s="5"/>
      <c r="G1874" s="5"/>
      <c r="H1874" s="5"/>
      <c r="I1874" s="6"/>
      <c r="J1874" s="6">
        <f>IF(D1874="Thu",I1874,0)</f>
        <v>0</v>
      </c>
      <c r="K1874" s="6">
        <f>IF(D1874="Chi",I1874,0)</f>
        <v>0</v>
      </c>
      <c r="L1874" s="6">
        <f>L1873+J1874-K1874</f>
        <v>8050118</v>
      </c>
      <c r="M1874" s="6">
        <f ca="1">IFERROR(__xludf.DUMMYFUNCTION("SUM(FILTER(J:J, H:H=""Tiền mặt"")) - SUM(FILTER(K:K, H:H=""Tiền mặt""))
"),959000)</f>
        <v>959000</v>
      </c>
      <c r="N1874" s="6">
        <f ca="1">IFERROR(__xludf.DUMMYFUNCTION("SUM(FILTER(J:J, H:H=""Chuyển khoản"")) - SUM(FILTER(K:K, H:H=""Chuyển khoản""))
"),4468984)</f>
        <v>4468984</v>
      </c>
      <c r="O1874" s="5"/>
      <c r="P1874" s="5"/>
      <c r="Q1874" s="5"/>
      <c r="R1874" s="5"/>
      <c r="S1874" s="5"/>
    </row>
    <row r="1875" spans="1:19" ht="15.75" customHeight="1" x14ac:dyDescent="0.2">
      <c r="A1875" s="3"/>
      <c r="B1875" s="4" t="str">
        <f>IF(A1875="","","PC-"&amp;TEXT(A1875,"mm/yyyy")&amp;"-"&amp;TEXT(COUNTIFS($A$2:A1875,"&gt;="&amp;EOMONTH(A1875,-1)+1,$A$2:A1875,"&lt;="&amp;EOMONTH(A1875,0)),"000"))</f>
        <v/>
      </c>
      <c r="C1875" s="5"/>
      <c r="D1875" s="5"/>
      <c r="E1875" s="5"/>
      <c r="F1875" s="5"/>
      <c r="G1875" s="5"/>
      <c r="H1875" s="5"/>
      <c r="I1875" s="6"/>
      <c r="J1875" s="6">
        <f>IF(D1875="Thu",I1875,0)</f>
        <v>0</v>
      </c>
      <c r="K1875" s="6">
        <f>IF(D1875="Chi",I1875,0)</f>
        <v>0</v>
      </c>
      <c r="L1875" s="6">
        <f>L1874+J1875-K1875</f>
        <v>8050118</v>
      </c>
      <c r="M1875" s="6">
        <f ca="1">IFERROR(__xludf.DUMMYFUNCTION("SUM(FILTER(J:J, H:H=""Tiền mặt"")) - SUM(FILTER(K:K, H:H=""Tiền mặt""))
"),959000)</f>
        <v>959000</v>
      </c>
      <c r="N1875" s="6">
        <f ca="1">IFERROR(__xludf.DUMMYFUNCTION("SUM(FILTER(J:J, H:H=""Chuyển khoản"")) - SUM(FILTER(K:K, H:H=""Chuyển khoản""))
"),4468984)</f>
        <v>4468984</v>
      </c>
      <c r="O1875" s="5"/>
      <c r="P1875" s="5"/>
      <c r="Q1875" s="5"/>
      <c r="R1875" s="5"/>
      <c r="S1875" s="5"/>
    </row>
    <row r="1876" spans="1:19" ht="15.75" customHeight="1" x14ac:dyDescent="0.2">
      <c r="A1876" s="3"/>
      <c r="B1876" s="4" t="str">
        <f>IF(A1876="","","PC-"&amp;TEXT(A1876,"mm/yyyy")&amp;"-"&amp;TEXT(COUNTIFS($A$2:A1876,"&gt;="&amp;EOMONTH(A1876,-1)+1,$A$2:A1876,"&lt;="&amp;EOMONTH(A1876,0)),"000"))</f>
        <v/>
      </c>
      <c r="C1876" s="5"/>
      <c r="D1876" s="5"/>
      <c r="E1876" s="5"/>
      <c r="F1876" s="5"/>
      <c r="G1876" s="5"/>
      <c r="H1876" s="5"/>
      <c r="I1876" s="6"/>
      <c r="J1876" s="6">
        <f>IF(D1876="Thu",I1876,0)</f>
        <v>0</v>
      </c>
      <c r="K1876" s="6">
        <f>IF(D1876="Chi",I1876,0)</f>
        <v>0</v>
      </c>
      <c r="L1876" s="6">
        <f>L1875+J1876-K1876</f>
        <v>8050118</v>
      </c>
      <c r="M1876" s="6">
        <f ca="1">IFERROR(__xludf.DUMMYFUNCTION("SUM(FILTER(J:J, H:H=""Tiền mặt"")) - SUM(FILTER(K:K, H:H=""Tiền mặt""))
"),959000)</f>
        <v>959000</v>
      </c>
      <c r="N1876" s="6">
        <f ca="1">IFERROR(__xludf.DUMMYFUNCTION("SUM(FILTER(J:J, H:H=""Chuyển khoản"")) - SUM(FILTER(K:K, H:H=""Chuyển khoản""))
"),4468984)</f>
        <v>4468984</v>
      </c>
      <c r="O1876" s="5"/>
      <c r="P1876" s="5"/>
      <c r="Q1876" s="5"/>
      <c r="R1876" s="5"/>
      <c r="S1876" s="5"/>
    </row>
    <row r="1877" spans="1:19" ht="15.75" customHeight="1" x14ac:dyDescent="0.2">
      <c r="A1877" s="3"/>
      <c r="B1877" s="4" t="str">
        <f>IF(A1877="","","PC-"&amp;TEXT(A1877,"mm/yyyy")&amp;"-"&amp;TEXT(COUNTIFS($A$2:A1877,"&gt;="&amp;EOMONTH(A1877,-1)+1,$A$2:A1877,"&lt;="&amp;EOMONTH(A1877,0)),"000"))</f>
        <v/>
      </c>
      <c r="C1877" s="5"/>
      <c r="D1877" s="5"/>
      <c r="E1877" s="5"/>
      <c r="F1877" s="5"/>
      <c r="G1877" s="5"/>
      <c r="H1877" s="5"/>
      <c r="I1877" s="6"/>
      <c r="J1877" s="6">
        <f>IF(D1877="Thu",I1877,0)</f>
        <v>0</v>
      </c>
      <c r="K1877" s="6">
        <f>IF(D1877="Chi",I1877,0)</f>
        <v>0</v>
      </c>
      <c r="L1877" s="6">
        <f>L1876+J1877-K1877</f>
        <v>8050118</v>
      </c>
      <c r="M1877" s="6">
        <f ca="1">IFERROR(__xludf.DUMMYFUNCTION("SUM(FILTER(J:J, H:H=""Tiền mặt"")) - SUM(FILTER(K:K, H:H=""Tiền mặt""))
"),959000)</f>
        <v>959000</v>
      </c>
      <c r="N1877" s="6">
        <f ca="1">IFERROR(__xludf.DUMMYFUNCTION("SUM(FILTER(J:J, H:H=""Chuyển khoản"")) - SUM(FILTER(K:K, H:H=""Chuyển khoản""))
"),4468984)</f>
        <v>4468984</v>
      </c>
      <c r="O1877" s="5"/>
      <c r="P1877" s="5"/>
      <c r="Q1877" s="5"/>
      <c r="R1877" s="5"/>
      <c r="S1877" s="5"/>
    </row>
    <row r="1878" spans="1:19" ht="15.75" customHeight="1" x14ac:dyDescent="0.2">
      <c r="A1878" s="3"/>
      <c r="B1878" s="4" t="str">
        <f>IF(A1878="","","PC-"&amp;TEXT(A1878,"mm/yyyy")&amp;"-"&amp;TEXT(COUNTIFS($A$2:A1878,"&gt;="&amp;EOMONTH(A1878,-1)+1,$A$2:A1878,"&lt;="&amp;EOMONTH(A1878,0)),"000"))</f>
        <v/>
      </c>
      <c r="C1878" s="5"/>
      <c r="D1878" s="5"/>
      <c r="E1878" s="5"/>
      <c r="F1878" s="5"/>
      <c r="G1878" s="5"/>
      <c r="H1878" s="5"/>
      <c r="I1878" s="6"/>
      <c r="J1878" s="6">
        <f>IF(D1878="Thu",I1878,0)</f>
        <v>0</v>
      </c>
      <c r="K1878" s="6">
        <f>IF(D1878="Chi",I1878,0)</f>
        <v>0</v>
      </c>
      <c r="L1878" s="6">
        <f>L1877+J1878-K1878</f>
        <v>8050118</v>
      </c>
      <c r="M1878" s="6">
        <f ca="1">IFERROR(__xludf.DUMMYFUNCTION("SUM(FILTER(J:J, H:H=""Tiền mặt"")) - SUM(FILTER(K:K, H:H=""Tiền mặt""))
"),959000)</f>
        <v>959000</v>
      </c>
      <c r="N1878" s="6">
        <f ca="1">IFERROR(__xludf.DUMMYFUNCTION("SUM(FILTER(J:J, H:H=""Chuyển khoản"")) - SUM(FILTER(K:K, H:H=""Chuyển khoản""))
"),4468984)</f>
        <v>4468984</v>
      </c>
      <c r="O1878" s="5"/>
      <c r="P1878" s="5"/>
      <c r="Q1878" s="5"/>
      <c r="R1878" s="5"/>
      <c r="S1878" s="5"/>
    </row>
    <row r="1879" spans="1:19" ht="15.75" customHeight="1" x14ac:dyDescent="0.2">
      <c r="A1879" s="3"/>
      <c r="B1879" s="4" t="str">
        <f>IF(A1879="","","PC-"&amp;TEXT(A1879,"mm/yyyy")&amp;"-"&amp;TEXT(COUNTIFS($A$2:A1879,"&gt;="&amp;EOMONTH(A1879,-1)+1,$A$2:A1879,"&lt;="&amp;EOMONTH(A1879,0)),"000"))</f>
        <v/>
      </c>
      <c r="C1879" s="5"/>
      <c r="D1879" s="5"/>
      <c r="E1879" s="5"/>
      <c r="F1879" s="5"/>
      <c r="G1879" s="5"/>
      <c r="H1879" s="5"/>
      <c r="I1879" s="6"/>
      <c r="J1879" s="6">
        <f>IF(D1879="Thu",I1879,0)</f>
        <v>0</v>
      </c>
      <c r="K1879" s="6">
        <f>IF(D1879="Chi",I1879,0)</f>
        <v>0</v>
      </c>
      <c r="L1879" s="6">
        <f>L1878+J1879-K1879</f>
        <v>8050118</v>
      </c>
      <c r="M1879" s="6">
        <f ca="1">IFERROR(__xludf.DUMMYFUNCTION("SUM(FILTER(J:J, H:H=""Tiền mặt"")) - SUM(FILTER(K:K, H:H=""Tiền mặt""))
"),959000)</f>
        <v>959000</v>
      </c>
      <c r="N1879" s="6">
        <f ca="1">IFERROR(__xludf.DUMMYFUNCTION("SUM(FILTER(J:J, H:H=""Chuyển khoản"")) - SUM(FILTER(K:K, H:H=""Chuyển khoản""))
"),4468984)</f>
        <v>4468984</v>
      </c>
      <c r="O1879" s="5"/>
      <c r="P1879" s="5"/>
      <c r="Q1879" s="5"/>
      <c r="R1879" s="5"/>
      <c r="S1879" s="5"/>
    </row>
    <row r="1880" spans="1:19" ht="15.75" customHeight="1" x14ac:dyDescent="0.2">
      <c r="A1880" s="3"/>
      <c r="B1880" s="4" t="str">
        <f>IF(A1880="","","PC-"&amp;TEXT(A1880,"mm/yyyy")&amp;"-"&amp;TEXT(COUNTIFS($A$2:A1880,"&gt;="&amp;EOMONTH(A1880,-1)+1,$A$2:A1880,"&lt;="&amp;EOMONTH(A1880,0)),"000"))</f>
        <v/>
      </c>
      <c r="C1880" s="5"/>
      <c r="D1880" s="5"/>
      <c r="E1880" s="5"/>
      <c r="F1880" s="5"/>
      <c r="G1880" s="5"/>
      <c r="H1880" s="5"/>
      <c r="I1880" s="6"/>
      <c r="J1880" s="6">
        <f>IF(D1880="Thu",I1880,0)</f>
        <v>0</v>
      </c>
      <c r="K1880" s="6">
        <f>IF(D1880="Chi",I1880,0)</f>
        <v>0</v>
      </c>
      <c r="L1880" s="6">
        <f>L1879+J1880-K1880</f>
        <v>8050118</v>
      </c>
      <c r="M1880" s="6">
        <f ca="1">IFERROR(__xludf.DUMMYFUNCTION("SUM(FILTER(J:J, H:H=""Tiền mặt"")) - SUM(FILTER(K:K, H:H=""Tiền mặt""))
"),959000)</f>
        <v>959000</v>
      </c>
      <c r="N1880" s="6">
        <f ca="1">IFERROR(__xludf.DUMMYFUNCTION("SUM(FILTER(J:J, H:H=""Chuyển khoản"")) - SUM(FILTER(K:K, H:H=""Chuyển khoản""))
"),4468984)</f>
        <v>4468984</v>
      </c>
      <c r="O1880" s="5"/>
      <c r="P1880" s="5"/>
      <c r="Q1880" s="5"/>
      <c r="R1880" s="5"/>
      <c r="S1880" s="5"/>
    </row>
    <row r="1881" spans="1:19" ht="15.75" customHeight="1" x14ac:dyDescent="0.2">
      <c r="A1881" s="3"/>
      <c r="B1881" s="4" t="str">
        <f>IF(A1881="","","PC-"&amp;TEXT(A1881,"mm/yyyy")&amp;"-"&amp;TEXT(COUNTIFS($A$2:A1881,"&gt;="&amp;EOMONTH(A1881,-1)+1,$A$2:A1881,"&lt;="&amp;EOMONTH(A1881,0)),"000"))</f>
        <v/>
      </c>
      <c r="C1881" s="5"/>
      <c r="D1881" s="5"/>
      <c r="E1881" s="5"/>
      <c r="F1881" s="5"/>
      <c r="G1881" s="5"/>
      <c r="H1881" s="5"/>
      <c r="I1881" s="6"/>
      <c r="J1881" s="6">
        <f>IF(D1881="Thu",I1881,0)</f>
        <v>0</v>
      </c>
      <c r="K1881" s="6">
        <f>IF(D1881="Chi",I1881,0)</f>
        <v>0</v>
      </c>
      <c r="L1881" s="6">
        <f>L1880+J1881-K1881</f>
        <v>8050118</v>
      </c>
      <c r="M1881" s="6">
        <f ca="1">IFERROR(__xludf.DUMMYFUNCTION("SUM(FILTER(J:J, H:H=""Tiền mặt"")) - SUM(FILTER(K:K, H:H=""Tiền mặt""))
"),959000)</f>
        <v>959000</v>
      </c>
      <c r="N1881" s="6">
        <f ca="1">IFERROR(__xludf.DUMMYFUNCTION("SUM(FILTER(J:J, H:H=""Chuyển khoản"")) - SUM(FILTER(K:K, H:H=""Chuyển khoản""))
"),4468984)</f>
        <v>4468984</v>
      </c>
      <c r="O1881" s="5"/>
      <c r="P1881" s="5"/>
      <c r="Q1881" s="5"/>
      <c r="R1881" s="5"/>
      <c r="S1881" s="5"/>
    </row>
    <row r="1882" spans="1:19" ht="15.75" customHeight="1" x14ac:dyDescent="0.2">
      <c r="A1882" s="3"/>
      <c r="B1882" s="4" t="str">
        <f>IF(A1882="","","PC-"&amp;TEXT(A1882,"mm/yyyy")&amp;"-"&amp;TEXT(COUNTIFS($A$2:A1882,"&gt;="&amp;EOMONTH(A1882,-1)+1,$A$2:A1882,"&lt;="&amp;EOMONTH(A1882,0)),"000"))</f>
        <v/>
      </c>
      <c r="C1882" s="5"/>
      <c r="D1882" s="5"/>
      <c r="E1882" s="5"/>
      <c r="F1882" s="5"/>
      <c r="G1882" s="5"/>
      <c r="H1882" s="5"/>
      <c r="I1882" s="6"/>
      <c r="J1882" s="6">
        <f>IF(D1882="Thu",I1882,0)</f>
        <v>0</v>
      </c>
      <c r="K1882" s="6">
        <f>IF(D1882="Chi",I1882,0)</f>
        <v>0</v>
      </c>
      <c r="L1882" s="6">
        <f>L1881+J1882-K1882</f>
        <v>8050118</v>
      </c>
      <c r="M1882" s="6">
        <f ca="1">IFERROR(__xludf.DUMMYFUNCTION("SUM(FILTER(J:J, H:H=""Tiền mặt"")) - SUM(FILTER(K:K, H:H=""Tiền mặt""))
"),959000)</f>
        <v>959000</v>
      </c>
      <c r="N1882" s="6">
        <f ca="1">IFERROR(__xludf.DUMMYFUNCTION("SUM(FILTER(J:J, H:H=""Chuyển khoản"")) - SUM(FILTER(K:K, H:H=""Chuyển khoản""))
"),4468984)</f>
        <v>4468984</v>
      </c>
      <c r="O1882" s="5"/>
      <c r="P1882" s="5"/>
      <c r="Q1882" s="5"/>
      <c r="R1882" s="5"/>
      <c r="S1882" s="5"/>
    </row>
    <row r="1883" spans="1:19" ht="15.75" customHeight="1" x14ac:dyDescent="0.2">
      <c r="A1883" s="3"/>
      <c r="B1883" s="4" t="str">
        <f>IF(A1883="","","PC-"&amp;TEXT(A1883,"mm/yyyy")&amp;"-"&amp;TEXT(COUNTIFS($A$2:A1883,"&gt;="&amp;EOMONTH(A1883,-1)+1,$A$2:A1883,"&lt;="&amp;EOMONTH(A1883,0)),"000"))</f>
        <v/>
      </c>
      <c r="C1883" s="5"/>
      <c r="D1883" s="5"/>
      <c r="E1883" s="5"/>
      <c r="F1883" s="5"/>
      <c r="G1883" s="5"/>
      <c r="H1883" s="5"/>
      <c r="I1883" s="6"/>
      <c r="J1883" s="6">
        <f>IF(D1883="Thu",I1883,0)</f>
        <v>0</v>
      </c>
      <c r="K1883" s="6">
        <f>IF(D1883="Chi",I1883,0)</f>
        <v>0</v>
      </c>
      <c r="L1883" s="6">
        <f>L1882+J1883-K1883</f>
        <v>8050118</v>
      </c>
      <c r="M1883" s="6">
        <f ca="1">IFERROR(__xludf.DUMMYFUNCTION("SUM(FILTER(J:J, H:H=""Tiền mặt"")) - SUM(FILTER(K:K, H:H=""Tiền mặt""))
"),959000)</f>
        <v>959000</v>
      </c>
      <c r="N1883" s="6">
        <f ca="1">IFERROR(__xludf.DUMMYFUNCTION("SUM(FILTER(J:J, H:H=""Chuyển khoản"")) - SUM(FILTER(K:K, H:H=""Chuyển khoản""))
"),4468984)</f>
        <v>4468984</v>
      </c>
      <c r="O1883" s="5"/>
      <c r="P1883" s="5"/>
      <c r="Q1883" s="5"/>
      <c r="R1883" s="5"/>
      <c r="S1883" s="5"/>
    </row>
    <row r="1884" spans="1:19" ht="15.75" customHeight="1" x14ac:dyDescent="0.2">
      <c r="A1884" s="3"/>
      <c r="B1884" s="4" t="str">
        <f>IF(A1884="","","PC-"&amp;TEXT(A1884,"mm/yyyy")&amp;"-"&amp;TEXT(COUNTIFS($A$2:A1884,"&gt;="&amp;EOMONTH(A1884,-1)+1,$A$2:A1884,"&lt;="&amp;EOMONTH(A1884,0)),"000"))</f>
        <v/>
      </c>
      <c r="C1884" s="5"/>
      <c r="D1884" s="5"/>
      <c r="E1884" s="5"/>
      <c r="F1884" s="5"/>
      <c r="G1884" s="5"/>
      <c r="H1884" s="5"/>
      <c r="I1884" s="6"/>
      <c r="J1884" s="6">
        <f>IF(D1884="Thu",I1884,0)</f>
        <v>0</v>
      </c>
      <c r="K1884" s="6">
        <f>IF(D1884="Chi",I1884,0)</f>
        <v>0</v>
      </c>
      <c r="L1884" s="6">
        <f>L1883+J1884-K1884</f>
        <v>8050118</v>
      </c>
      <c r="M1884" s="6">
        <f ca="1">IFERROR(__xludf.DUMMYFUNCTION("SUM(FILTER(J:J, H:H=""Tiền mặt"")) - SUM(FILTER(K:K, H:H=""Tiền mặt""))
"),959000)</f>
        <v>959000</v>
      </c>
      <c r="N1884" s="6">
        <f ca="1">IFERROR(__xludf.DUMMYFUNCTION("SUM(FILTER(J:J, H:H=""Chuyển khoản"")) - SUM(FILTER(K:K, H:H=""Chuyển khoản""))
"),4468984)</f>
        <v>4468984</v>
      </c>
      <c r="O1884" s="5"/>
      <c r="P1884" s="5"/>
      <c r="Q1884" s="5"/>
      <c r="R1884" s="5"/>
      <c r="S1884" s="5"/>
    </row>
    <row r="1885" spans="1:19" ht="15.75" customHeight="1" x14ac:dyDescent="0.2">
      <c r="A1885" s="3"/>
      <c r="B1885" s="4" t="str">
        <f>IF(A1885="","","PC-"&amp;TEXT(A1885,"mm/yyyy")&amp;"-"&amp;TEXT(COUNTIFS($A$2:A1885,"&gt;="&amp;EOMONTH(A1885,-1)+1,$A$2:A1885,"&lt;="&amp;EOMONTH(A1885,0)),"000"))</f>
        <v/>
      </c>
      <c r="C1885" s="5"/>
      <c r="D1885" s="5"/>
      <c r="E1885" s="5"/>
      <c r="F1885" s="5"/>
      <c r="G1885" s="5"/>
      <c r="H1885" s="5"/>
      <c r="I1885" s="6"/>
      <c r="J1885" s="6">
        <f>IF(D1885="Thu",I1885,0)</f>
        <v>0</v>
      </c>
      <c r="K1885" s="6">
        <f>IF(D1885="Chi",I1885,0)</f>
        <v>0</v>
      </c>
      <c r="L1885" s="6">
        <f>L1884+J1885-K1885</f>
        <v>8050118</v>
      </c>
      <c r="M1885" s="6">
        <f ca="1">IFERROR(__xludf.DUMMYFUNCTION("SUM(FILTER(J:J, H:H=""Tiền mặt"")) - SUM(FILTER(K:K, H:H=""Tiền mặt""))
"),959000)</f>
        <v>959000</v>
      </c>
      <c r="N1885" s="6">
        <f ca="1">IFERROR(__xludf.DUMMYFUNCTION("SUM(FILTER(J:J, H:H=""Chuyển khoản"")) - SUM(FILTER(K:K, H:H=""Chuyển khoản""))
"),4468984)</f>
        <v>4468984</v>
      </c>
      <c r="O1885" s="5"/>
      <c r="P1885" s="5"/>
      <c r="Q1885" s="5"/>
      <c r="R1885" s="5"/>
      <c r="S1885" s="5"/>
    </row>
    <row r="1886" spans="1:19" ht="15.75" customHeight="1" x14ac:dyDescent="0.2">
      <c r="A1886" s="3"/>
      <c r="B1886" s="4" t="str">
        <f>IF(A1886="","","PC-"&amp;TEXT(A1886,"mm/yyyy")&amp;"-"&amp;TEXT(COUNTIFS($A$2:A1886,"&gt;="&amp;EOMONTH(A1886,-1)+1,$A$2:A1886,"&lt;="&amp;EOMONTH(A1886,0)),"000"))</f>
        <v/>
      </c>
      <c r="C1886" s="5"/>
      <c r="D1886" s="5"/>
      <c r="E1886" s="5"/>
      <c r="F1886" s="5"/>
      <c r="G1886" s="5"/>
      <c r="H1886" s="5"/>
      <c r="I1886" s="6"/>
      <c r="J1886" s="6">
        <f>IF(D1886="Thu",I1886,0)</f>
        <v>0</v>
      </c>
      <c r="K1886" s="6">
        <f>IF(D1886="Chi",I1886,0)</f>
        <v>0</v>
      </c>
      <c r="L1886" s="6">
        <f>L1885+J1886-K1886</f>
        <v>8050118</v>
      </c>
      <c r="M1886" s="6">
        <f ca="1">IFERROR(__xludf.DUMMYFUNCTION("SUM(FILTER(J:J, H:H=""Tiền mặt"")) - SUM(FILTER(K:K, H:H=""Tiền mặt""))
"),959000)</f>
        <v>959000</v>
      </c>
      <c r="N1886" s="6">
        <f ca="1">IFERROR(__xludf.DUMMYFUNCTION("SUM(FILTER(J:J, H:H=""Chuyển khoản"")) - SUM(FILTER(K:K, H:H=""Chuyển khoản""))
"),4468984)</f>
        <v>4468984</v>
      </c>
      <c r="O1886" s="5"/>
      <c r="P1886" s="5"/>
      <c r="Q1886" s="5"/>
      <c r="R1886" s="5"/>
      <c r="S1886" s="5"/>
    </row>
    <row r="1887" spans="1:19" ht="15.75" customHeight="1" x14ac:dyDescent="0.2">
      <c r="A1887" s="3"/>
      <c r="B1887" s="4" t="str">
        <f>IF(A1887="","","PC-"&amp;TEXT(A1887,"mm/yyyy")&amp;"-"&amp;TEXT(COUNTIFS($A$2:A1887,"&gt;="&amp;EOMONTH(A1887,-1)+1,$A$2:A1887,"&lt;="&amp;EOMONTH(A1887,0)),"000"))</f>
        <v/>
      </c>
      <c r="C1887" s="5"/>
      <c r="D1887" s="5"/>
      <c r="E1887" s="5"/>
      <c r="F1887" s="5"/>
      <c r="G1887" s="5"/>
      <c r="H1887" s="5"/>
      <c r="I1887" s="6"/>
      <c r="J1887" s="6">
        <f>IF(D1887="Thu",I1887,0)</f>
        <v>0</v>
      </c>
      <c r="K1887" s="6">
        <f>IF(D1887="Chi",I1887,0)</f>
        <v>0</v>
      </c>
      <c r="L1887" s="6">
        <f>L1886+J1887-K1887</f>
        <v>8050118</v>
      </c>
      <c r="M1887" s="6">
        <f ca="1">IFERROR(__xludf.DUMMYFUNCTION("SUM(FILTER(J:J, H:H=""Tiền mặt"")) - SUM(FILTER(K:K, H:H=""Tiền mặt""))
"),959000)</f>
        <v>959000</v>
      </c>
      <c r="N1887" s="6">
        <f ca="1">IFERROR(__xludf.DUMMYFUNCTION("SUM(FILTER(J:J, H:H=""Chuyển khoản"")) - SUM(FILTER(K:K, H:H=""Chuyển khoản""))
"),4468984)</f>
        <v>4468984</v>
      </c>
      <c r="O1887" s="5"/>
      <c r="P1887" s="5"/>
      <c r="Q1887" s="5"/>
      <c r="R1887" s="5"/>
      <c r="S1887" s="5"/>
    </row>
    <row r="1888" spans="1:19" ht="15.75" customHeight="1" x14ac:dyDescent="0.2">
      <c r="A1888" s="3"/>
      <c r="B1888" s="4" t="str">
        <f>IF(A1888="","","PC-"&amp;TEXT(A1888,"mm/yyyy")&amp;"-"&amp;TEXT(COUNTIFS($A$2:A1888,"&gt;="&amp;EOMONTH(A1888,-1)+1,$A$2:A1888,"&lt;="&amp;EOMONTH(A1888,0)),"000"))</f>
        <v/>
      </c>
      <c r="C1888" s="5"/>
      <c r="D1888" s="5"/>
      <c r="E1888" s="5"/>
      <c r="F1888" s="5"/>
      <c r="G1888" s="5"/>
      <c r="H1888" s="5"/>
      <c r="I1888" s="6"/>
      <c r="J1888" s="6">
        <f>IF(D1888="Thu",I1888,0)</f>
        <v>0</v>
      </c>
      <c r="K1888" s="6">
        <f>IF(D1888="Chi",I1888,0)</f>
        <v>0</v>
      </c>
      <c r="L1888" s="6">
        <f>L1887+J1888-K1888</f>
        <v>8050118</v>
      </c>
      <c r="M1888" s="6">
        <f ca="1">IFERROR(__xludf.DUMMYFUNCTION("SUM(FILTER(J:J, H:H=""Tiền mặt"")) - SUM(FILTER(K:K, H:H=""Tiền mặt""))
"),959000)</f>
        <v>959000</v>
      </c>
      <c r="N1888" s="6">
        <f ca="1">IFERROR(__xludf.DUMMYFUNCTION("SUM(FILTER(J:J, H:H=""Chuyển khoản"")) - SUM(FILTER(K:K, H:H=""Chuyển khoản""))
"),4468984)</f>
        <v>4468984</v>
      </c>
      <c r="O1888" s="5"/>
      <c r="P1888" s="5"/>
      <c r="Q1888" s="5"/>
      <c r="R1888" s="5"/>
      <c r="S1888" s="5"/>
    </row>
    <row r="1889" spans="1:19" ht="15.75" customHeight="1" x14ac:dyDescent="0.2">
      <c r="A1889" s="3"/>
      <c r="B1889" s="4" t="str">
        <f>IF(A1889="","","PC-"&amp;TEXT(A1889,"mm/yyyy")&amp;"-"&amp;TEXT(COUNTIFS($A$2:A1889,"&gt;="&amp;EOMONTH(A1889,-1)+1,$A$2:A1889,"&lt;="&amp;EOMONTH(A1889,0)),"000"))</f>
        <v/>
      </c>
      <c r="C1889" s="5"/>
      <c r="D1889" s="5"/>
      <c r="E1889" s="5"/>
      <c r="F1889" s="5"/>
      <c r="G1889" s="5"/>
      <c r="H1889" s="5"/>
      <c r="I1889" s="6"/>
      <c r="J1889" s="6">
        <f>IF(D1889="Thu",I1889,0)</f>
        <v>0</v>
      </c>
      <c r="K1889" s="6">
        <f>IF(D1889="Chi",I1889,0)</f>
        <v>0</v>
      </c>
      <c r="L1889" s="6">
        <f>L1888+J1889-K1889</f>
        <v>8050118</v>
      </c>
      <c r="M1889" s="6">
        <f ca="1">IFERROR(__xludf.DUMMYFUNCTION("SUM(FILTER(J:J, H:H=""Tiền mặt"")) - SUM(FILTER(K:K, H:H=""Tiền mặt""))
"),959000)</f>
        <v>959000</v>
      </c>
      <c r="N1889" s="6">
        <f ca="1">IFERROR(__xludf.DUMMYFUNCTION("SUM(FILTER(J:J, H:H=""Chuyển khoản"")) - SUM(FILTER(K:K, H:H=""Chuyển khoản""))
"),4468984)</f>
        <v>4468984</v>
      </c>
      <c r="O1889" s="5"/>
      <c r="P1889" s="5"/>
      <c r="Q1889" s="5"/>
      <c r="R1889" s="5"/>
      <c r="S1889" s="5"/>
    </row>
    <row r="1890" spans="1:19" ht="15.75" customHeight="1" x14ac:dyDescent="0.2">
      <c r="A1890" s="3"/>
      <c r="B1890" s="4" t="str">
        <f>IF(A1890="","","PC-"&amp;TEXT(A1890,"mm/yyyy")&amp;"-"&amp;TEXT(COUNTIFS($A$2:A1890,"&gt;="&amp;EOMONTH(A1890,-1)+1,$A$2:A1890,"&lt;="&amp;EOMONTH(A1890,0)),"000"))</f>
        <v/>
      </c>
      <c r="C1890" s="5"/>
      <c r="D1890" s="5"/>
      <c r="E1890" s="5"/>
      <c r="F1890" s="5"/>
      <c r="G1890" s="5"/>
      <c r="H1890" s="5"/>
      <c r="I1890" s="6"/>
      <c r="J1890" s="6">
        <f>IF(D1890="Thu",I1890,0)</f>
        <v>0</v>
      </c>
      <c r="K1890" s="6">
        <f>IF(D1890="Chi",I1890,0)</f>
        <v>0</v>
      </c>
      <c r="L1890" s="6">
        <f>L1889+J1890-K1890</f>
        <v>8050118</v>
      </c>
      <c r="M1890" s="6">
        <f ca="1">IFERROR(__xludf.DUMMYFUNCTION("SUM(FILTER(J:J, H:H=""Tiền mặt"")) - SUM(FILTER(K:K, H:H=""Tiền mặt""))
"),959000)</f>
        <v>959000</v>
      </c>
      <c r="N1890" s="6">
        <f ca="1">IFERROR(__xludf.DUMMYFUNCTION("SUM(FILTER(J:J, H:H=""Chuyển khoản"")) - SUM(FILTER(K:K, H:H=""Chuyển khoản""))
"),4468984)</f>
        <v>4468984</v>
      </c>
      <c r="O1890" s="5"/>
      <c r="P1890" s="5"/>
      <c r="Q1890" s="5"/>
      <c r="R1890" s="5"/>
      <c r="S1890" s="5"/>
    </row>
    <row r="1891" spans="1:19" ht="15.75" customHeight="1" x14ac:dyDescent="0.2">
      <c r="A1891" s="3"/>
      <c r="B1891" s="4" t="str">
        <f>IF(A1891="","","PC-"&amp;TEXT(A1891,"mm/yyyy")&amp;"-"&amp;TEXT(COUNTIFS($A$2:A1891,"&gt;="&amp;EOMONTH(A1891,-1)+1,$A$2:A1891,"&lt;="&amp;EOMONTH(A1891,0)),"000"))</f>
        <v/>
      </c>
      <c r="C1891" s="5"/>
      <c r="D1891" s="5"/>
      <c r="E1891" s="5"/>
      <c r="F1891" s="5"/>
      <c r="G1891" s="5"/>
      <c r="H1891" s="5"/>
      <c r="I1891" s="6"/>
      <c r="J1891" s="6">
        <f>IF(D1891="Thu",I1891,0)</f>
        <v>0</v>
      </c>
      <c r="K1891" s="6">
        <f>IF(D1891="Chi",I1891,0)</f>
        <v>0</v>
      </c>
      <c r="L1891" s="6">
        <f>L1890+J1891-K1891</f>
        <v>8050118</v>
      </c>
      <c r="M1891" s="6">
        <f ca="1">IFERROR(__xludf.DUMMYFUNCTION("SUM(FILTER(J:J, H:H=""Tiền mặt"")) - SUM(FILTER(K:K, H:H=""Tiền mặt""))
"),959000)</f>
        <v>959000</v>
      </c>
      <c r="N1891" s="6">
        <f ca="1">IFERROR(__xludf.DUMMYFUNCTION("SUM(FILTER(J:J, H:H=""Chuyển khoản"")) - SUM(FILTER(K:K, H:H=""Chuyển khoản""))
"),4468984)</f>
        <v>4468984</v>
      </c>
      <c r="O1891" s="5"/>
      <c r="P1891" s="5"/>
      <c r="Q1891" s="5"/>
      <c r="R1891" s="5"/>
      <c r="S1891" s="5"/>
    </row>
    <row r="1892" spans="1:19" ht="15.75" customHeight="1" x14ac:dyDescent="0.2">
      <c r="A1892" s="3"/>
      <c r="B1892" s="4" t="str">
        <f>IF(A1892="","","PC-"&amp;TEXT(A1892,"mm/yyyy")&amp;"-"&amp;TEXT(COUNTIFS($A$2:A1892,"&gt;="&amp;EOMONTH(A1892,-1)+1,$A$2:A1892,"&lt;="&amp;EOMONTH(A1892,0)),"000"))</f>
        <v/>
      </c>
      <c r="C1892" s="5"/>
      <c r="D1892" s="5"/>
      <c r="E1892" s="5"/>
      <c r="F1892" s="5"/>
      <c r="G1892" s="5"/>
      <c r="H1892" s="5"/>
      <c r="I1892" s="6"/>
      <c r="J1892" s="6">
        <f>IF(D1892="Thu",I1892,0)</f>
        <v>0</v>
      </c>
      <c r="K1892" s="6">
        <f>IF(D1892="Chi",I1892,0)</f>
        <v>0</v>
      </c>
      <c r="L1892" s="6">
        <f>L1891+J1892-K1892</f>
        <v>8050118</v>
      </c>
      <c r="M1892" s="6">
        <f ca="1">IFERROR(__xludf.DUMMYFUNCTION("SUM(FILTER(J:J, H:H=""Tiền mặt"")) - SUM(FILTER(K:K, H:H=""Tiền mặt""))
"),959000)</f>
        <v>959000</v>
      </c>
      <c r="N1892" s="6">
        <f ca="1">IFERROR(__xludf.DUMMYFUNCTION("SUM(FILTER(J:J, H:H=""Chuyển khoản"")) - SUM(FILTER(K:K, H:H=""Chuyển khoản""))
"),4468984)</f>
        <v>4468984</v>
      </c>
      <c r="O1892" s="5"/>
      <c r="P1892" s="5"/>
      <c r="Q1892" s="5"/>
      <c r="R1892" s="5"/>
      <c r="S1892" s="5"/>
    </row>
    <row r="1893" spans="1:19" ht="15.75" customHeight="1" x14ac:dyDescent="0.2">
      <c r="A1893" s="3"/>
      <c r="B1893" s="4" t="str">
        <f>IF(A1893="","","PC-"&amp;TEXT(A1893,"mm/yyyy")&amp;"-"&amp;TEXT(COUNTIFS($A$2:A1893,"&gt;="&amp;EOMONTH(A1893,-1)+1,$A$2:A1893,"&lt;="&amp;EOMONTH(A1893,0)),"000"))</f>
        <v/>
      </c>
      <c r="C1893" s="5"/>
      <c r="D1893" s="5"/>
      <c r="E1893" s="5"/>
      <c r="F1893" s="5"/>
      <c r="G1893" s="5"/>
      <c r="H1893" s="5"/>
      <c r="I1893" s="6"/>
      <c r="J1893" s="6">
        <f>IF(D1893="Thu",I1893,0)</f>
        <v>0</v>
      </c>
      <c r="K1893" s="6">
        <f>IF(D1893="Chi",I1893,0)</f>
        <v>0</v>
      </c>
      <c r="L1893" s="6">
        <f>L1892+J1893-K1893</f>
        <v>8050118</v>
      </c>
      <c r="M1893" s="6">
        <f ca="1">IFERROR(__xludf.DUMMYFUNCTION("SUM(FILTER(J:J, H:H=""Tiền mặt"")) - SUM(FILTER(K:K, H:H=""Tiền mặt""))
"),959000)</f>
        <v>959000</v>
      </c>
      <c r="N1893" s="6">
        <f ca="1">IFERROR(__xludf.DUMMYFUNCTION("SUM(FILTER(J:J, H:H=""Chuyển khoản"")) - SUM(FILTER(K:K, H:H=""Chuyển khoản""))
"),4468984)</f>
        <v>4468984</v>
      </c>
      <c r="O1893" s="5"/>
      <c r="P1893" s="5"/>
      <c r="Q1893" s="5"/>
      <c r="R1893" s="5"/>
      <c r="S1893" s="5"/>
    </row>
    <row r="1894" spans="1:19" ht="15.75" customHeight="1" x14ac:dyDescent="0.2">
      <c r="A1894" s="3"/>
      <c r="B1894" s="4" t="str">
        <f>IF(A1894="","","PC-"&amp;TEXT(A1894,"mm/yyyy")&amp;"-"&amp;TEXT(COUNTIFS($A$2:A1894,"&gt;="&amp;EOMONTH(A1894,-1)+1,$A$2:A1894,"&lt;="&amp;EOMONTH(A1894,0)),"000"))</f>
        <v/>
      </c>
      <c r="C1894" s="5"/>
      <c r="D1894" s="5"/>
      <c r="E1894" s="5"/>
      <c r="F1894" s="5"/>
      <c r="G1894" s="5"/>
      <c r="H1894" s="5"/>
      <c r="I1894" s="6"/>
      <c r="J1894" s="6">
        <f>IF(D1894="Thu",I1894,0)</f>
        <v>0</v>
      </c>
      <c r="K1894" s="6">
        <f>IF(D1894="Chi",I1894,0)</f>
        <v>0</v>
      </c>
      <c r="L1894" s="6">
        <f>L1893+J1894-K1894</f>
        <v>8050118</v>
      </c>
      <c r="M1894" s="6">
        <f ca="1">IFERROR(__xludf.DUMMYFUNCTION("SUM(FILTER(J:J, H:H=""Tiền mặt"")) - SUM(FILTER(K:K, H:H=""Tiền mặt""))
"),959000)</f>
        <v>959000</v>
      </c>
      <c r="N1894" s="6">
        <f ca="1">IFERROR(__xludf.DUMMYFUNCTION("SUM(FILTER(J:J, H:H=""Chuyển khoản"")) - SUM(FILTER(K:K, H:H=""Chuyển khoản""))
"),4468984)</f>
        <v>4468984</v>
      </c>
      <c r="O1894" s="5"/>
      <c r="P1894" s="5"/>
      <c r="Q1894" s="5"/>
      <c r="R1894" s="5"/>
      <c r="S1894" s="5"/>
    </row>
    <row r="1895" spans="1:19" ht="15.75" customHeight="1" x14ac:dyDescent="0.2">
      <c r="A1895" s="3"/>
      <c r="B1895" s="4" t="str">
        <f>IF(A1895="","","PC-"&amp;TEXT(A1895,"mm/yyyy")&amp;"-"&amp;TEXT(COUNTIFS($A$2:A1895,"&gt;="&amp;EOMONTH(A1895,-1)+1,$A$2:A1895,"&lt;="&amp;EOMONTH(A1895,0)),"000"))</f>
        <v/>
      </c>
      <c r="C1895" s="5"/>
      <c r="D1895" s="5"/>
      <c r="E1895" s="5"/>
      <c r="F1895" s="5"/>
      <c r="G1895" s="5"/>
      <c r="H1895" s="5"/>
      <c r="I1895" s="6"/>
      <c r="J1895" s="6">
        <f>IF(D1895="Thu",I1895,0)</f>
        <v>0</v>
      </c>
      <c r="K1895" s="6">
        <f>IF(D1895="Chi",I1895,0)</f>
        <v>0</v>
      </c>
      <c r="L1895" s="6">
        <f>L1894+J1895-K1895</f>
        <v>8050118</v>
      </c>
      <c r="M1895" s="6">
        <f ca="1">IFERROR(__xludf.DUMMYFUNCTION("SUM(FILTER(J:J, H:H=""Tiền mặt"")) - SUM(FILTER(K:K, H:H=""Tiền mặt""))
"),959000)</f>
        <v>959000</v>
      </c>
      <c r="N1895" s="6">
        <f ca="1">IFERROR(__xludf.DUMMYFUNCTION("SUM(FILTER(J:J, H:H=""Chuyển khoản"")) - SUM(FILTER(K:K, H:H=""Chuyển khoản""))
"),4468984)</f>
        <v>4468984</v>
      </c>
      <c r="O1895" s="5"/>
      <c r="P1895" s="5"/>
      <c r="Q1895" s="5"/>
      <c r="R1895" s="5"/>
      <c r="S1895" s="5"/>
    </row>
    <row r="1896" spans="1:19" ht="15.75" customHeight="1" x14ac:dyDescent="0.2">
      <c r="A1896" s="3"/>
      <c r="B1896" s="4" t="str">
        <f>IF(A1896="","","PC-"&amp;TEXT(A1896,"mm/yyyy")&amp;"-"&amp;TEXT(COUNTIFS($A$2:A1896,"&gt;="&amp;EOMONTH(A1896,-1)+1,$A$2:A1896,"&lt;="&amp;EOMONTH(A1896,0)),"000"))</f>
        <v/>
      </c>
      <c r="C1896" s="5"/>
      <c r="D1896" s="5"/>
      <c r="E1896" s="5"/>
      <c r="F1896" s="5"/>
      <c r="G1896" s="5"/>
      <c r="H1896" s="5"/>
      <c r="I1896" s="6"/>
      <c r="J1896" s="6">
        <f>IF(D1896="Thu",I1896,0)</f>
        <v>0</v>
      </c>
      <c r="K1896" s="6">
        <f>IF(D1896="Chi",I1896,0)</f>
        <v>0</v>
      </c>
      <c r="L1896" s="6">
        <f>L1895+J1896-K1896</f>
        <v>8050118</v>
      </c>
      <c r="M1896" s="6">
        <f ca="1">IFERROR(__xludf.DUMMYFUNCTION("SUM(FILTER(J:J, H:H=""Tiền mặt"")) - SUM(FILTER(K:K, H:H=""Tiền mặt""))
"),959000)</f>
        <v>959000</v>
      </c>
      <c r="N1896" s="6">
        <f ca="1">IFERROR(__xludf.DUMMYFUNCTION("SUM(FILTER(J:J, H:H=""Chuyển khoản"")) - SUM(FILTER(K:K, H:H=""Chuyển khoản""))
"),4468984)</f>
        <v>4468984</v>
      </c>
      <c r="O1896" s="5"/>
      <c r="P1896" s="5"/>
      <c r="Q1896" s="5"/>
      <c r="R1896" s="5"/>
      <c r="S1896" s="5"/>
    </row>
    <row r="1897" spans="1:19" ht="15.75" customHeight="1" x14ac:dyDescent="0.2">
      <c r="A1897" s="3"/>
      <c r="B1897" s="4" t="str">
        <f>IF(A1897="","","PC-"&amp;TEXT(A1897,"mm/yyyy")&amp;"-"&amp;TEXT(COUNTIFS($A$2:A1897,"&gt;="&amp;EOMONTH(A1897,-1)+1,$A$2:A1897,"&lt;="&amp;EOMONTH(A1897,0)),"000"))</f>
        <v/>
      </c>
      <c r="C1897" s="5"/>
      <c r="D1897" s="5"/>
      <c r="E1897" s="5"/>
      <c r="F1897" s="5"/>
      <c r="G1897" s="5"/>
      <c r="H1897" s="5"/>
      <c r="I1897" s="6"/>
      <c r="J1897" s="6">
        <f>IF(D1897="Thu",I1897,0)</f>
        <v>0</v>
      </c>
      <c r="K1897" s="6">
        <f>IF(D1897="Chi",I1897,0)</f>
        <v>0</v>
      </c>
      <c r="L1897" s="6">
        <f>L1896+J1897-K1897</f>
        <v>8050118</v>
      </c>
      <c r="M1897" s="6">
        <f ca="1">IFERROR(__xludf.DUMMYFUNCTION("SUM(FILTER(J:J, H:H=""Tiền mặt"")) - SUM(FILTER(K:K, H:H=""Tiền mặt""))
"),959000)</f>
        <v>959000</v>
      </c>
      <c r="N1897" s="6">
        <f ca="1">IFERROR(__xludf.DUMMYFUNCTION("SUM(FILTER(J:J, H:H=""Chuyển khoản"")) - SUM(FILTER(K:K, H:H=""Chuyển khoản""))
"),4468984)</f>
        <v>4468984</v>
      </c>
      <c r="O1897" s="5"/>
      <c r="P1897" s="5"/>
      <c r="Q1897" s="5"/>
      <c r="R1897" s="5"/>
      <c r="S1897" s="5"/>
    </row>
    <row r="1898" spans="1:19" ht="15.75" customHeight="1" x14ac:dyDescent="0.2">
      <c r="A1898" s="3"/>
      <c r="B1898" s="4" t="str">
        <f>IF(A1898="","","PC-"&amp;TEXT(A1898,"mm/yyyy")&amp;"-"&amp;TEXT(COUNTIFS($A$2:A1898,"&gt;="&amp;EOMONTH(A1898,-1)+1,$A$2:A1898,"&lt;="&amp;EOMONTH(A1898,0)),"000"))</f>
        <v/>
      </c>
      <c r="C1898" s="5"/>
      <c r="D1898" s="5"/>
      <c r="E1898" s="5"/>
      <c r="F1898" s="5"/>
      <c r="G1898" s="5"/>
      <c r="H1898" s="5"/>
      <c r="I1898" s="6"/>
      <c r="J1898" s="6">
        <f>IF(D1898="Thu",I1898,0)</f>
        <v>0</v>
      </c>
      <c r="K1898" s="6">
        <f>IF(D1898="Chi",I1898,0)</f>
        <v>0</v>
      </c>
      <c r="L1898" s="6">
        <f>L1897+J1898-K1898</f>
        <v>8050118</v>
      </c>
      <c r="M1898" s="6">
        <f ca="1">IFERROR(__xludf.DUMMYFUNCTION("SUM(FILTER(J:J, H:H=""Tiền mặt"")) - SUM(FILTER(K:K, H:H=""Tiền mặt""))
"),959000)</f>
        <v>959000</v>
      </c>
      <c r="N1898" s="6">
        <f ca="1">IFERROR(__xludf.DUMMYFUNCTION("SUM(FILTER(J:J, H:H=""Chuyển khoản"")) - SUM(FILTER(K:K, H:H=""Chuyển khoản""))
"),4468984)</f>
        <v>4468984</v>
      </c>
      <c r="O1898" s="5"/>
      <c r="P1898" s="5"/>
      <c r="Q1898" s="5"/>
      <c r="R1898" s="5"/>
      <c r="S1898" s="5"/>
    </row>
    <row r="1899" spans="1:19" ht="15.75" customHeight="1" x14ac:dyDescent="0.2">
      <c r="A1899" s="3"/>
      <c r="B1899" s="4" t="str">
        <f>IF(A1899="","","PC-"&amp;TEXT(A1899,"mm/yyyy")&amp;"-"&amp;TEXT(COUNTIFS($A$2:A1899,"&gt;="&amp;EOMONTH(A1899,-1)+1,$A$2:A1899,"&lt;="&amp;EOMONTH(A1899,0)),"000"))</f>
        <v/>
      </c>
      <c r="C1899" s="5"/>
      <c r="D1899" s="5"/>
      <c r="E1899" s="5"/>
      <c r="F1899" s="5"/>
      <c r="G1899" s="5"/>
      <c r="H1899" s="5"/>
      <c r="I1899" s="6"/>
      <c r="J1899" s="6">
        <f>IF(D1899="Thu",I1899,0)</f>
        <v>0</v>
      </c>
      <c r="K1899" s="6">
        <f>IF(D1899="Chi",I1899,0)</f>
        <v>0</v>
      </c>
      <c r="L1899" s="6">
        <f>L1898+J1899-K1899</f>
        <v>8050118</v>
      </c>
      <c r="M1899" s="6">
        <f ca="1">IFERROR(__xludf.DUMMYFUNCTION("SUM(FILTER(J:J, H:H=""Tiền mặt"")) - SUM(FILTER(K:K, H:H=""Tiền mặt""))
"),959000)</f>
        <v>959000</v>
      </c>
      <c r="N1899" s="6">
        <f ca="1">IFERROR(__xludf.DUMMYFUNCTION("SUM(FILTER(J:J, H:H=""Chuyển khoản"")) - SUM(FILTER(K:K, H:H=""Chuyển khoản""))
"),4468984)</f>
        <v>4468984</v>
      </c>
      <c r="O1899" s="5"/>
      <c r="P1899" s="5"/>
      <c r="Q1899" s="5"/>
      <c r="R1899" s="5"/>
      <c r="S1899" s="5"/>
    </row>
    <row r="1900" spans="1:19" ht="15.75" customHeight="1" x14ac:dyDescent="0.2">
      <c r="A1900" s="3"/>
      <c r="B1900" s="4" t="str">
        <f>IF(A1900="","","PC-"&amp;TEXT(A1900,"mm/yyyy")&amp;"-"&amp;TEXT(COUNTIFS($A$2:A1900,"&gt;="&amp;EOMONTH(A1900,-1)+1,$A$2:A1900,"&lt;="&amp;EOMONTH(A1900,0)),"000"))</f>
        <v/>
      </c>
      <c r="C1900" s="5"/>
      <c r="D1900" s="5"/>
      <c r="E1900" s="5"/>
      <c r="F1900" s="5"/>
      <c r="G1900" s="5"/>
      <c r="H1900" s="5"/>
      <c r="I1900" s="6"/>
      <c r="J1900" s="6">
        <f>IF(D1900="Thu",I1900,0)</f>
        <v>0</v>
      </c>
      <c r="K1900" s="6">
        <f>IF(D1900="Chi",I1900,0)</f>
        <v>0</v>
      </c>
      <c r="L1900" s="6">
        <f>L1899+J1900-K1900</f>
        <v>8050118</v>
      </c>
      <c r="M1900" s="6">
        <f ca="1">IFERROR(__xludf.DUMMYFUNCTION("SUM(FILTER(J:J, H:H=""Tiền mặt"")) - SUM(FILTER(K:K, H:H=""Tiền mặt""))
"),959000)</f>
        <v>959000</v>
      </c>
      <c r="N1900" s="6">
        <f ca="1">IFERROR(__xludf.DUMMYFUNCTION("SUM(FILTER(J:J, H:H=""Chuyển khoản"")) - SUM(FILTER(K:K, H:H=""Chuyển khoản""))
"),4468984)</f>
        <v>4468984</v>
      </c>
      <c r="O1900" s="5"/>
      <c r="P1900" s="5"/>
      <c r="Q1900" s="5"/>
      <c r="R1900" s="5"/>
      <c r="S1900" s="5"/>
    </row>
    <row r="1901" spans="1:19" ht="15.75" customHeight="1" x14ac:dyDescent="0.2">
      <c r="A1901" s="3"/>
      <c r="B1901" s="4" t="str">
        <f>IF(A1901="","","PC-"&amp;TEXT(A1901,"mm/yyyy")&amp;"-"&amp;TEXT(COUNTIFS($A$2:A1901,"&gt;="&amp;EOMONTH(A1901,-1)+1,$A$2:A1901,"&lt;="&amp;EOMONTH(A1901,0)),"000"))</f>
        <v/>
      </c>
      <c r="C1901" s="5"/>
      <c r="D1901" s="5"/>
      <c r="E1901" s="5"/>
      <c r="F1901" s="5"/>
      <c r="G1901" s="5"/>
      <c r="H1901" s="5"/>
      <c r="I1901" s="6"/>
      <c r="J1901" s="6">
        <f>IF(D1901="Thu",I1901,0)</f>
        <v>0</v>
      </c>
      <c r="K1901" s="6">
        <f>IF(D1901="Chi",I1901,0)</f>
        <v>0</v>
      </c>
      <c r="L1901" s="6">
        <f>L1900+J1901-K1901</f>
        <v>8050118</v>
      </c>
      <c r="M1901" s="6">
        <f ca="1">IFERROR(__xludf.DUMMYFUNCTION("SUM(FILTER(J:J, H:H=""Tiền mặt"")) - SUM(FILTER(K:K, H:H=""Tiền mặt""))
"),959000)</f>
        <v>959000</v>
      </c>
      <c r="N1901" s="6">
        <f ca="1">IFERROR(__xludf.DUMMYFUNCTION("SUM(FILTER(J:J, H:H=""Chuyển khoản"")) - SUM(FILTER(K:K, H:H=""Chuyển khoản""))
"),4468984)</f>
        <v>4468984</v>
      </c>
      <c r="O1901" s="5"/>
      <c r="P1901" s="5"/>
      <c r="Q1901" s="5"/>
      <c r="R1901" s="5"/>
      <c r="S1901" s="5"/>
    </row>
    <row r="1902" spans="1:19" ht="15.75" customHeight="1" x14ac:dyDescent="0.2">
      <c r="A1902" s="3"/>
      <c r="B1902" s="4" t="str">
        <f>IF(A1902="","","PC-"&amp;TEXT(A1902,"mm/yyyy")&amp;"-"&amp;TEXT(COUNTIFS($A$2:A1902,"&gt;="&amp;EOMONTH(A1902,-1)+1,$A$2:A1902,"&lt;="&amp;EOMONTH(A1902,0)),"000"))</f>
        <v/>
      </c>
      <c r="C1902" s="5"/>
      <c r="D1902" s="5"/>
      <c r="E1902" s="5"/>
      <c r="F1902" s="5"/>
      <c r="G1902" s="5"/>
      <c r="H1902" s="5"/>
      <c r="I1902" s="6"/>
      <c r="J1902" s="6">
        <f>IF(D1902="Thu",I1902,0)</f>
        <v>0</v>
      </c>
      <c r="K1902" s="6">
        <f>IF(D1902="Chi",I1902,0)</f>
        <v>0</v>
      </c>
      <c r="L1902" s="6">
        <f>L1901+J1902-K1902</f>
        <v>8050118</v>
      </c>
      <c r="M1902" s="6">
        <f ca="1">IFERROR(__xludf.DUMMYFUNCTION("SUM(FILTER(J:J, H:H=""Tiền mặt"")) - SUM(FILTER(K:K, H:H=""Tiền mặt""))
"),959000)</f>
        <v>959000</v>
      </c>
      <c r="N1902" s="6">
        <f ca="1">IFERROR(__xludf.DUMMYFUNCTION("SUM(FILTER(J:J, H:H=""Chuyển khoản"")) - SUM(FILTER(K:K, H:H=""Chuyển khoản""))
"),4468984)</f>
        <v>4468984</v>
      </c>
      <c r="O1902" s="5"/>
      <c r="P1902" s="5"/>
      <c r="Q1902" s="5"/>
      <c r="R1902" s="5"/>
      <c r="S1902" s="5"/>
    </row>
    <row r="1903" spans="1:19" ht="15.75" customHeight="1" x14ac:dyDescent="0.2">
      <c r="A1903" s="3"/>
      <c r="B1903" s="4" t="str">
        <f>IF(A1903="","","PC-"&amp;TEXT(A1903,"mm/yyyy")&amp;"-"&amp;TEXT(COUNTIFS($A$2:A1903,"&gt;="&amp;EOMONTH(A1903,-1)+1,$A$2:A1903,"&lt;="&amp;EOMONTH(A1903,0)),"000"))</f>
        <v/>
      </c>
      <c r="C1903" s="5"/>
      <c r="D1903" s="5"/>
      <c r="E1903" s="5"/>
      <c r="F1903" s="5"/>
      <c r="G1903" s="5"/>
      <c r="H1903" s="5"/>
      <c r="I1903" s="6"/>
      <c r="J1903" s="6">
        <f>IF(D1903="Thu",I1903,0)</f>
        <v>0</v>
      </c>
      <c r="K1903" s="6">
        <f>IF(D1903="Chi",I1903,0)</f>
        <v>0</v>
      </c>
      <c r="L1903" s="6">
        <f>L1902+J1903-K1903</f>
        <v>8050118</v>
      </c>
      <c r="M1903" s="6">
        <f ca="1">IFERROR(__xludf.DUMMYFUNCTION("SUM(FILTER(J:J, H:H=""Tiền mặt"")) - SUM(FILTER(K:K, H:H=""Tiền mặt""))
"),959000)</f>
        <v>959000</v>
      </c>
      <c r="N1903" s="6">
        <f ca="1">IFERROR(__xludf.DUMMYFUNCTION("SUM(FILTER(J:J, H:H=""Chuyển khoản"")) - SUM(FILTER(K:K, H:H=""Chuyển khoản""))
"),4468984)</f>
        <v>4468984</v>
      </c>
      <c r="O1903" s="5"/>
      <c r="P1903" s="5"/>
      <c r="Q1903" s="5"/>
      <c r="R1903" s="5"/>
      <c r="S1903" s="5"/>
    </row>
    <row r="1904" spans="1:19" ht="15.75" customHeight="1" x14ac:dyDescent="0.2">
      <c r="A1904" s="3"/>
      <c r="B1904" s="4" t="str">
        <f>IF(A1904="","","PC-"&amp;TEXT(A1904,"mm/yyyy")&amp;"-"&amp;TEXT(COUNTIFS($A$2:A1904,"&gt;="&amp;EOMONTH(A1904,-1)+1,$A$2:A1904,"&lt;="&amp;EOMONTH(A1904,0)),"000"))</f>
        <v/>
      </c>
      <c r="C1904" s="5"/>
      <c r="D1904" s="5"/>
      <c r="E1904" s="5"/>
      <c r="F1904" s="5"/>
      <c r="G1904" s="5"/>
      <c r="H1904" s="5"/>
      <c r="I1904" s="6"/>
      <c r="J1904" s="6">
        <f>IF(D1904="Thu",I1904,0)</f>
        <v>0</v>
      </c>
      <c r="K1904" s="6">
        <f>IF(D1904="Chi",I1904,0)</f>
        <v>0</v>
      </c>
      <c r="L1904" s="6">
        <f>L1903+J1904-K1904</f>
        <v>8050118</v>
      </c>
      <c r="M1904" s="6">
        <f ca="1">IFERROR(__xludf.DUMMYFUNCTION("SUM(FILTER(J:J, H:H=""Tiền mặt"")) - SUM(FILTER(K:K, H:H=""Tiền mặt""))
"),959000)</f>
        <v>959000</v>
      </c>
      <c r="N1904" s="6">
        <f ca="1">IFERROR(__xludf.DUMMYFUNCTION("SUM(FILTER(J:J, H:H=""Chuyển khoản"")) - SUM(FILTER(K:K, H:H=""Chuyển khoản""))
"),4468984)</f>
        <v>4468984</v>
      </c>
      <c r="O1904" s="5"/>
      <c r="P1904" s="5"/>
      <c r="Q1904" s="5"/>
      <c r="R1904" s="5"/>
      <c r="S1904" s="5"/>
    </row>
    <row r="1905" spans="1:19" ht="15.75" customHeight="1" x14ac:dyDescent="0.2">
      <c r="A1905" s="3"/>
      <c r="B1905" s="4" t="str">
        <f>IF(A1905="","","PC-"&amp;TEXT(A1905,"mm/yyyy")&amp;"-"&amp;TEXT(COUNTIFS($A$2:A1905,"&gt;="&amp;EOMONTH(A1905,-1)+1,$A$2:A1905,"&lt;="&amp;EOMONTH(A1905,0)),"000"))</f>
        <v/>
      </c>
      <c r="C1905" s="5"/>
      <c r="D1905" s="5"/>
      <c r="E1905" s="5"/>
      <c r="F1905" s="5"/>
      <c r="G1905" s="5"/>
      <c r="H1905" s="5"/>
      <c r="I1905" s="6"/>
      <c r="J1905" s="6">
        <f>IF(D1905="Thu",I1905,0)</f>
        <v>0</v>
      </c>
      <c r="K1905" s="6">
        <f>IF(D1905="Chi",I1905,0)</f>
        <v>0</v>
      </c>
      <c r="L1905" s="6">
        <f>L1904+J1905-K1905</f>
        <v>8050118</v>
      </c>
      <c r="M1905" s="6">
        <f ca="1">IFERROR(__xludf.DUMMYFUNCTION("SUM(FILTER(J:J, H:H=""Tiền mặt"")) - SUM(FILTER(K:K, H:H=""Tiền mặt""))
"),959000)</f>
        <v>959000</v>
      </c>
      <c r="N1905" s="6">
        <f ca="1">IFERROR(__xludf.DUMMYFUNCTION("SUM(FILTER(J:J, H:H=""Chuyển khoản"")) - SUM(FILTER(K:K, H:H=""Chuyển khoản""))
"),4468984)</f>
        <v>4468984</v>
      </c>
      <c r="O1905" s="5"/>
      <c r="P1905" s="5"/>
      <c r="Q1905" s="5"/>
      <c r="R1905" s="5"/>
      <c r="S1905" s="5"/>
    </row>
    <row r="1906" spans="1:19" ht="15.75" customHeight="1" x14ac:dyDescent="0.2">
      <c r="A1906" s="3"/>
      <c r="B1906" s="4" t="str">
        <f>IF(A1906="","","PC-"&amp;TEXT(A1906,"mm/yyyy")&amp;"-"&amp;TEXT(COUNTIFS($A$2:A1906,"&gt;="&amp;EOMONTH(A1906,-1)+1,$A$2:A1906,"&lt;="&amp;EOMONTH(A1906,0)),"000"))</f>
        <v/>
      </c>
      <c r="C1906" s="5"/>
      <c r="D1906" s="5"/>
      <c r="E1906" s="5"/>
      <c r="F1906" s="5"/>
      <c r="G1906" s="5"/>
      <c r="H1906" s="5"/>
      <c r="I1906" s="6"/>
      <c r="J1906" s="6">
        <f>IF(D1906="Thu",I1906,0)</f>
        <v>0</v>
      </c>
      <c r="K1906" s="6">
        <f>IF(D1906="Chi",I1906,0)</f>
        <v>0</v>
      </c>
      <c r="L1906" s="6">
        <f>L1905+J1906-K1906</f>
        <v>8050118</v>
      </c>
      <c r="M1906" s="6">
        <f ca="1">IFERROR(__xludf.DUMMYFUNCTION("SUM(FILTER(J:J, H:H=""Tiền mặt"")) - SUM(FILTER(K:K, H:H=""Tiền mặt""))
"),959000)</f>
        <v>959000</v>
      </c>
      <c r="N1906" s="6">
        <f ca="1">IFERROR(__xludf.DUMMYFUNCTION("SUM(FILTER(J:J, H:H=""Chuyển khoản"")) - SUM(FILTER(K:K, H:H=""Chuyển khoản""))
"),4468984)</f>
        <v>4468984</v>
      </c>
      <c r="O1906" s="5"/>
      <c r="P1906" s="5"/>
      <c r="Q1906" s="5"/>
      <c r="R1906" s="5"/>
      <c r="S1906" s="5"/>
    </row>
    <row r="1907" spans="1:19" ht="15.75" customHeight="1" x14ac:dyDescent="0.2">
      <c r="A1907" s="3"/>
      <c r="B1907" s="4" t="str">
        <f>IF(A1907="","","PC-"&amp;TEXT(A1907,"mm/yyyy")&amp;"-"&amp;TEXT(COUNTIFS($A$2:A1907,"&gt;="&amp;EOMONTH(A1907,-1)+1,$A$2:A1907,"&lt;="&amp;EOMONTH(A1907,0)),"000"))</f>
        <v/>
      </c>
      <c r="C1907" s="5"/>
      <c r="D1907" s="5"/>
      <c r="E1907" s="5"/>
      <c r="F1907" s="5"/>
      <c r="G1907" s="5"/>
      <c r="H1907" s="5"/>
      <c r="I1907" s="6"/>
      <c r="J1907" s="6">
        <f>IF(D1907="Thu",I1907,0)</f>
        <v>0</v>
      </c>
      <c r="K1907" s="6">
        <f>IF(D1907="Chi",I1907,0)</f>
        <v>0</v>
      </c>
      <c r="L1907" s="6">
        <f>L1906+J1907-K1907</f>
        <v>8050118</v>
      </c>
      <c r="M1907" s="6">
        <f ca="1">IFERROR(__xludf.DUMMYFUNCTION("SUM(FILTER(J:J, H:H=""Tiền mặt"")) - SUM(FILTER(K:K, H:H=""Tiền mặt""))
"),959000)</f>
        <v>959000</v>
      </c>
      <c r="N1907" s="6">
        <f ca="1">IFERROR(__xludf.DUMMYFUNCTION("SUM(FILTER(J:J, H:H=""Chuyển khoản"")) - SUM(FILTER(K:K, H:H=""Chuyển khoản""))
"),4468984)</f>
        <v>4468984</v>
      </c>
      <c r="O1907" s="5"/>
      <c r="P1907" s="5"/>
      <c r="Q1907" s="5"/>
      <c r="R1907" s="5"/>
      <c r="S1907" s="5"/>
    </row>
    <row r="1908" spans="1:19" ht="15.75" customHeight="1" x14ac:dyDescent="0.2">
      <c r="A1908" s="3"/>
      <c r="B1908" s="4" t="str">
        <f>IF(A1908="","","PC-"&amp;TEXT(A1908,"mm/yyyy")&amp;"-"&amp;TEXT(COUNTIFS($A$2:A1908,"&gt;="&amp;EOMONTH(A1908,-1)+1,$A$2:A1908,"&lt;="&amp;EOMONTH(A1908,0)),"000"))</f>
        <v/>
      </c>
      <c r="C1908" s="5"/>
      <c r="D1908" s="5"/>
      <c r="E1908" s="5"/>
      <c r="F1908" s="5"/>
      <c r="G1908" s="5"/>
      <c r="H1908" s="5"/>
      <c r="I1908" s="6"/>
      <c r="J1908" s="6">
        <f>IF(D1908="Thu",I1908,0)</f>
        <v>0</v>
      </c>
      <c r="K1908" s="6">
        <f>IF(D1908="Chi",I1908,0)</f>
        <v>0</v>
      </c>
      <c r="L1908" s="6">
        <f>L1907+J1908-K1908</f>
        <v>8050118</v>
      </c>
      <c r="M1908" s="6">
        <f ca="1">IFERROR(__xludf.DUMMYFUNCTION("SUM(FILTER(J:J, H:H=""Tiền mặt"")) - SUM(FILTER(K:K, H:H=""Tiền mặt""))
"),959000)</f>
        <v>959000</v>
      </c>
      <c r="N1908" s="6">
        <f ca="1">IFERROR(__xludf.DUMMYFUNCTION("SUM(FILTER(J:J, H:H=""Chuyển khoản"")) - SUM(FILTER(K:K, H:H=""Chuyển khoản""))
"),4468984)</f>
        <v>4468984</v>
      </c>
      <c r="O1908" s="5"/>
      <c r="P1908" s="5"/>
      <c r="Q1908" s="5"/>
      <c r="R1908" s="5"/>
      <c r="S1908" s="5"/>
    </row>
    <row r="1909" spans="1:19" ht="15.75" customHeight="1" x14ac:dyDescent="0.2">
      <c r="A1909" s="3"/>
      <c r="B1909" s="4" t="str">
        <f>IF(A1909="","","PC-"&amp;TEXT(A1909,"mm/yyyy")&amp;"-"&amp;TEXT(COUNTIFS($A$2:A1909,"&gt;="&amp;EOMONTH(A1909,-1)+1,$A$2:A1909,"&lt;="&amp;EOMONTH(A1909,0)),"000"))</f>
        <v/>
      </c>
      <c r="C1909" s="5"/>
      <c r="D1909" s="5"/>
      <c r="E1909" s="5"/>
      <c r="F1909" s="5"/>
      <c r="G1909" s="5"/>
      <c r="H1909" s="5"/>
      <c r="I1909" s="6"/>
      <c r="J1909" s="6">
        <f>IF(D1909="Thu",I1909,0)</f>
        <v>0</v>
      </c>
      <c r="K1909" s="6">
        <f>IF(D1909="Chi",I1909,0)</f>
        <v>0</v>
      </c>
      <c r="L1909" s="6">
        <f>L1908+J1909-K1909</f>
        <v>8050118</v>
      </c>
      <c r="M1909" s="6">
        <f ca="1">IFERROR(__xludf.DUMMYFUNCTION("SUM(FILTER(J:J, H:H=""Tiền mặt"")) - SUM(FILTER(K:K, H:H=""Tiền mặt""))
"),959000)</f>
        <v>959000</v>
      </c>
      <c r="N1909" s="6">
        <f ca="1">IFERROR(__xludf.DUMMYFUNCTION("SUM(FILTER(J:J, H:H=""Chuyển khoản"")) - SUM(FILTER(K:K, H:H=""Chuyển khoản""))
"),4468984)</f>
        <v>4468984</v>
      </c>
      <c r="O1909" s="5"/>
      <c r="P1909" s="5"/>
      <c r="Q1909" s="5"/>
      <c r="R1909" s="5"/>
      <c r="S1909" s="5"/>
    </row>
    <row r="1910" spans="1:19" ht="15.75" customHeight="1" x14ac:dyDescent="0.2">
      <c r="A1910" s="3"/>
      <c r="B1910" s="4" t="str">
        <f>IF(A1910="","","PC-"&amp;TEXT(A1910,"mm/yyyy")&amp;"-"&amp;TEXT(COUNTIFS($A$2:A1910,"&gt;="&amp;EOMONTH(A1910,-1)+1,$A$2:A1910,"&lt;="&amp;EOMONTH(A1910,0)),"000"))</f>
        <v/>
      </c>
      <c r="C1910" s="5"/>
      <c r="D1910" s="5"/>
      <c r="E1910" s="5"/>
      <c r="F1910" s="5"/>
      <c r="G1910" s="5"/>
      <c r="H1910" s="5"/>
      <c r="I1910" s="6"/>
      <c r="J1910" s="6">
        <f>IF(D1910="Thu",I1910,0)</f>
        <v>0</v>
      </c>
      <c r="K1910" s="6">
        <f>IF(D1910="Chi",I1910,0)</f>
        <v>0</v>
      </c>
      <c r="L1910" s="6">
        <f>L1909+J1910-K1910</f>
        <v>8050118</v>
      </c>
      <c r="M1910" s="6">
        <f ca="1">IFERROR(__xludf.DUMMYFUNCTION("SUM(FILTER(J:J, H:H=""Tiền mặt"")) - SUM(FILTER(K:K, H:H=""Tiền mặt""))
"),959000)</f>
        <v>959000</v>
      </c>
      <c r="N1910" s="6">
        <f ca="1">IFERROR(__xludf.DUMMYFUNCTION("SUM(FILTER(J:J, H:H=""Chuyển khoản"")) - SUM(FILTER(K:K, H:H=""Chuyển khoản""))
"),4468984)</f>
        <v>4468984</v>
      </c>
      <c r="O1910" s="5"/>
      <c r="P1910" s="5"/>
      <c r="Q1910" s="5"/>
      <c r="R1910" s="5"/>
      <c r="S1910" s="5"/>
    </row>
    <row r="1911" spans="1:19" ht="15.75" customHeight="1" x14ac:dyDescent="0.2">
      <c r="A1911" s="3"/>
      <c r="B1911" s="4" t="str">
        <f>IF(A1911="","","PC-"&amp;TEXT(A1911,"mm/yyyy")&amp;"-"&amp;TEXT(COUNTIFS($A$2:A1911,"&gt;="&amp;EOMONTH(A1911,-1)+1,$A$2:A1911,"&lt;="&amp;EOMONTH(A1911,0)),"000"))</f>
        <v/>
      </c>
      <c r="C1911" s="5"/>
      <c r="D1911" s="5"/>
      <c r="E1911" s="5"/>
      <c r="F1911" s="5"/>
      <c r="G1911" s="5"/>
      <c r="H1911" s="5"/>
      <c r="I1911" s="6"/>
      <c r="J1911" s="6">
        <f>IF(D1911="Thu",I1911,0)</f>
        <v>0</v>
      </c>
      <c r="K1911" s="6">
        <f>IF(D1911="Chi",I1911,0)</f>
        <v>0</v>
      </c>
      <c r="L1911" s="6">
        <f>L1910+J1911-K1911</f>
        <v>8050118</v>
      </c>
      <c r="M1911" s="6">
        <f ca="1">IFERROR(__xludf.DUMMYFUNCTION("SUM(FILTER(J:J, H:H=""Tiền mặt"")) - SUM(FILTER(K:K, H:H=""Tiền mặt""))
"),959000)</f>
        <v>959000</v>
      </c>
      <c r="N1911" s="6">
        <f ca="1">IFERROR(__xludf.DUMMYFUNCTION("SUM(FILTER(J:J, H:H=""Chuyển khoản"")) - SUM(FILTER(K:K, H:H=""Chuyển khoản""))
"),4468984)</f>
        <v>4468984</v>
      </c>
      <c r="O1911" s="5"/>
      <c r="P1911" s="5"/>
      <c r="Q1911" s="5"/>
      <c r="R1911" s="5"/>
      <c r="S1911" s="5"/>
    </row>
    <row r="1912" spans="1:19" ht="15.75" customHeight="1" x14ac:dyDescent="0.2">
      <c r="A1912" s="3"/>
      <c r="B1912" s="4" t="str">
        <f>IF(A1912="","","PC-"&amp;TEXT(A1912,"mm/yyyy")&amp;"-"&amp;TEXT(COUNTIFS($A$2:A1912,"&gt;="&amp;EOMONTH(A1912,-1)+1,$A$2:A1912,"&lt;="&amp;EOMONTH(A1912,0)),"000"))</f>
        <v/>
      </c>
      <c r="C1912" s="5"/>
      <c r="D1912" s="5"/>
      <c r="E1912" s="5"/>
      <c r="F1912" s="5"/>
      <c r="G1912" s="5"/>
      <c r="H1912" s="5"/>
      <c r="I1912" s="6"/>
      <c r="J1912" s="6">
        <f>IF(D1912="Thu",I1912,0)</f>
        <v>0</v>
      </c>
      <c r="K1912" s="6">
        <f>IF(D1912="Chi",I1912,0)</f>
        <v>0</v>
      </c>
      <c r="L1912" s="6">
        <f>L1911+J1912-K1912</f>
        <v>8050118</v>
      </c>
      <c r="M1912" s="6">
        <f ca="1">IFERROR(__xludf.DUMMYFUNCTION("SUM(FILTER(J:J, H:H=""Tiền mặt"")) - SUM(FILTER(K:K, H:H=""Tiền mặt""))
"),959000)</f>
        <v>959000</v>
      </c>
      <c r="N1912" s="6">
        <f ca="1">IFERROR(__xludf.DUMMYFUNCTION("SUM(FILTER(J:J, H:H=""Chuyển khoản"")) - SUM(FILTER(K:K, H:H=""Chuyển khoản""))
"),4468984)</f>
        <v>4468984</v>
      </c>
      <c r="O1912" s="5"/>
      <c r="P1912" s="5"/>
      <c r="Q1912" s="5"/>
      <c r="R1912" s="5"/>
      <c r="S1912" s="5"/>
    </row>
    <row r="1913" spans="1:19" ht="15.75" customHeight="1" x14ac:dyDescent="0.2">
      <c r="A1913" s="3"/>
      <c r="B1913" s="4" t="str">
        <f>IF(A1913="","","PC-"&amp;TEXT(A1913,"mm/yyyy")&amp;"-"&amp;TEXT(COUNTIFS($A$2:A1913,"&gt;="&amp;EOMONTH(A1913,-1)+1,$A$2:A1913,"&lt;="&amp;EOMONTH(A1913,0)),"000"))</f>
        <v/>
      </c>
      <c r="C1913" s="5"/>
      <c r="D1913" s="5"/>
      <c r="E1913" s="5"/>
      <c r="F1913" s="5"/>
      <c r="G1913" s="5"/>
      <c r="H1913" s="5"/>
      <c r="I1913" s="6"/>
      <c r="J1913" s="6">
        <f>IF(D1913="Thu",I1913,0)</f>
        <v>0</v>
      </c>
      <c r="K1913" s="6">
        <f>IF(D1913="Chi",I1913,0)</f>
        <v>0</v>
      </c>
      <c r="L1913" s="6">
        <f>L1912+J1913-K1913</f>
        <v>8050118</v>
      </c>
      <c r="M1913" s="6">
        <f ca="1">IFERROR(__xludf.DUMMYFUNCTION("SUM(FILTER(J:J, H:H=""Tiền mặt"")) - SUM(FILTER(K:K, H:H=""Tiền mặt""))
"),959000)</f>
        <v>959000</v>
      </c>
      <c r="N1913" s="6">
        <f ca="1">IFERROR(__xludf.DUMMYFUNCTION("SUM(FILTER(J:J, H:H=""Chuyển khoản"")) - SUM(FILTER(K:K, H:H=""Chuyển khoản""))
"),4468984)</f>
        <v>4468984</v>
      </c>
      <c r="O1913" s="5"/>
      <c r="P1913" s="5"/>
      <c r="Q1913" s="5"/>
      <c r="R1913" s="5"/>
      <c r="S1913" s="5"/>
    </row>
    <row r="1914" spans="1:19" ht="15.75" customHeight="1" x14ac:dyDescent="0.2">
      <c r="A1914" s="3"/>
      <c r="B1914" s="4" t="str">
        <f>IF(A1914="","","PC-"&amp;TEXT(A1914,"mm/yyyy")&amp;"-"&amp;TEXT(COUNTIFS($A$2:A1914,"&gt;="&amp;EOMONTH(A1914,-1)+1,$A$2:A1914,"&lt;="&amp;EOMONTH(A1914,0)),"000"))</f>
        <v/>
      </c>
      <c r="C1914" s="5"/>
      <c r="D1914" s="5"/>
      <c r="E1914" s="5"/>
      <c r="F1914" s="5"/>
      <c r="G1914" s="5"/>
      <c r="H1914" s="5"/>
      <c r="I1914" s="6"/>
      <c r="J1914" s="6">
        <f>IF(D1914="Thu",I1914,0)</f>
        <v>0</v>
      </c>
      <c r="K1914" s="6">
        <f>IF(D1914="Chi",I1914,0)</f>
        <v>0</v>
      </c>
      <c r="L1914" s="6">
        <f>L1913+J1914-K1914</f>
        <v>8050118</v>
      </c>
      <c r="M1914" s="6">
        <f ca="1">IFERROR(__xludf.DUMMYFUNCTION("SUM(FILTER(J:J, H:H=""Tiền mặt"")) - SUM(FILTER(K:K, H:H=""Tiền mặt""))
"),959000)</f>
        <v>959000</v>
      </c>
      <c r="N1914" s="6">
        <f ca="1">IFERROR(__xludf.DUMMYFUNCTION("SUM(FILTER(J:J, H:H=""Chuyển khoản"")) - SUM(FILTER(K:K, H:H=""Chuyển khoản""))
"),4468984)</f>
        <v>4468984</v>
      </c>
      <c r="O1914" s="5"/>
      <c r="P1914" s="5"/>
      <c r="Q1914" s="5"/>
      <c r="R1914" s="5"/>
      <c r="S1914" s="5"/>
    </row>
    <row r="1915" spans="1:19" ht="15.75" customHeight="1" x14ac:dyDescent="0.2">
      <c r="A1915" s="3"/>
      <c r="B1915" s="4" t="str">
        <f>IF(A1915="","","PC-"&amp;TEXT(A1915,"mm/yyyy")&amp;"-"&amp;TEXT(COUNTIFS($A$2:A1915,"&gt;="&amp;EOMONTH(A1915,-1)+1,$A$2:A1915,"&lt;="&amp;EOMONTH(A1915,0)),"000"))</f>
        <v/>
      </c>
      <c r="C1915" s="5"/>
      <c r="D1915" s="5"/>
      <c r="E1915" s="5"/>
      <c r="F1915" s="5"/>
      <c r="G1915" s="5"/>
      <c r="H1915" s="5"/>
      <c r="I1915" s="6"/>
      <c r="J1915" s="6">
        <f>IF(D1915="Thu",I1915,0)</f>
        <v>0</v>
      </c>
      <c r="K1915" s="6">
        <f>IF(D1915="Chi",I1915,0)</f>
        <v>0</v>
      </c>
      <c r="L1915" s="6">
        <f>L1914+J1915-K1915</f>
        <v>8050118</v>
      </c>
      <c r="M1915" s="6">
        <f ca="1">IFERROR(__xludf.DUMMYFUNCTION("SUM(FILTER(J:J, H:H=""Tiền mặt"")) - SUM(FILTER(K:K, H:H=""Tiền mặt""))
"),959000)</f>
        <v>959000</v>
      </c>
      <c r="N1915" s="6">
        <f ca="1">IFERROR(__xludf.DUMMYFUNCTION("SUM(FILTER(J:J, H:H=""Chuyển khoản"")) - SUM(FILTER(K:K, H:H=""Chuyển khoản""))
"),4468984)</f>
        <v>4468984</v>
      </c>
      <c r="O1915" s="5"/>
      <c r="P1915" s="5"/>
      <c r="Q1915" s="5"/>
      <c r="R1915" s="5"/>
      <c r="S1915" s="5"/>
    </row>
    <row r="1916" spans="1:19" ht="15.75" customHeight="1" x14ac:dyDescent="0.2">
      <c r="A1916" s="3"/>
      <c r="B1916" s="4" t="str">
        <f>IF(A1916="","","PC-"&amp;TEXT(A1916,"mm/yyyy")&amp;"-"&amp;TEXT(COUNTIFS($A$2:A1916,"&gt;="&amp;EOMONTH(A1916,-1)+1,$A$2:A1916,"&lt;="&amp;EOMONTH(A1916,0)),"000"))</f>
        <v/>
      </c>
      <c r="C1916" s="5"/>
      <c r="D1916" s="5"/>
      <c r="E1916" s="5"/>
      <c r="F1916" s="5"/>
      <c r="G1916" s="5"/>
      <c r="H1916" s="5"/>
      <c r="I1916" s="6"/>
      <c r="J1916" s="6">
        <f>IF(D1916="Thu",I1916,0)</f>
        <v>0</v>
      </c>
      <c r="K1916" s="6">
        <f>IF(D1916="Chi",I1916,0)</f>
        <v>0</v>
      </c>
      <c r="L1916" s="6">
        <f>L1915+J1916-K1916</f>
        <v>8050118</v>
      </c>
      <c r="M1916" s="6">
        <f ca="1">IFERROR(__xludf.DUMMYFUNCTION("SUM(FILTER(J:J, H:H=""Tiền mặt"")) - SUM(FILTER(K:K, H:H=""Tiền mặt""))
"),959000)</f>
        <v>959000</v>
      </c>
      <c r="N1916" s="6">
        <f ca="1">IFERROR(__xludf.DUMMYFUNCTION("SUM(FILTER(J:J, H:H=""Chuyển khoản"")) - SUM(FILTER(K:K, H:H=""Chuyển khoản""))
"),4468984)</f>
        <v>4468984</v>
      </c>
      <c r="O1916" s="5"/>
      <c r="P1916" s="5"/>
      <c r="Q1916" s="5"/>
      <c r="R1916" s="5"/>
      <c r="S1916" s="5"/>
    </row>
    <row r="1917" spans="1:19" ht="15.75" customHeight="1" x14ac:dyDescent="0.2">
      <c r="A1917" s="3"/>
      <c r="B1917" s="4" t="str">
        <f>IF(A1917="","","PC-"&amp;TEXT(A1917,"mm/yyyy")&amp;"-"&amp;TEXT(COUNTIFS($A$2:A1917,"&gt;="&amp;EOMONTH(A1917,-1)+1,$A$2:A1917,"&lt;="&amp;EOMONTH(A1917,0)),"000"))</f>
        <v/>
      </c>
      <c r="C1917" s="5"/>
      <c r="D1917" s="5"/>
      <c r="E1917" s="5"/>
      <c r="F1917" s="5"/>
      <c r="G1917" s="5"/>
      <c r="H1917" s="5"/>
      <c r="I1917" s="6"/>
      <c r="J1917" s="6">
        <f>IF(D1917="Thu",I1917,0)</f>
        <v>0</v>
      </c>
      <c r="K1917" s="6">
        <f>IF(D1917="Chi",I1917,0)</f>
        <v>0</v>
      </c>
      <c r="L1917" s="6">
        <f>L1916+J1917-K1917</f>
        <v>8050118</v>
      </c>
      <c r="M1917" s="6">
        <f ca="1">IFERROR(__xludf.DUMMYFUNCTION("SUM(FILTER(J:J, H:H=""Tiền mặt"")) - SUM(FILTER(K:K, H:H=""Tiền mặt""))
"),959000)</f>
        <v>959000</v>
      </c>
      <c r="N1917" s="6">
        <f ca="1">IFERROR(__xludf.DUMMYFUNCTION("SUM(FILTER(J:J, H:H=""Chuyển khoản"")) - SUM(FILTER(K:K, H:H=""Chuyển khoản""))
"),4468984)</f>
        <v>4468984</v>
      </c>
      <c r="O1917" s="5"/>
      <c r="P1917" s="5"/>
      <c r="Q1917" s="5"/>
      <c r="R1917" s="5"/>
      <c r="S1917" s="5"/>
    </row>
    <row r="1918" spans="1:19" ht="15.75" customHeight="1" x14ac:dyDescent="0.2">
      <c r="A1918" s="3"/>
      <c r="B1918" s="4" t="str">
        <f>IF(A1918="","","PC-"&amp;TEXT(A1918,"mm/yyyy")&amp;"-"&amp;TEXT(COUNTIFS($A$2:A1918,"&gt;="&amp;EOMONTH(A1918,-1)+1,$A$2:A1918,"&lt;="&amp;EOMONTH(A1918,0)),"000"))</f>
        <v/>
      </c>
      <c r="C1918" s="5"/>
      <c r="D1918" s="5"/>
      <c r="E1918" s="5"/>
      <c r="F1918" s="5"/>
      <c r="G1918" s="5"/>
      <c r="H1918" s="5"/>
      <c r="I1918" s="6"/>
      <c r="J1918" s="6">
        <f>IF(D1918="Thu",I1918,0)</f>
        <v>0</v>
      </c>
      <c r="K1918" s="6">
        <f>IF(D1918="Chi",I1918,0)</f>
        <v>0</v>
      </c>
      <c r="L1918" s="6">
        <f>L1917+J1918-K1918</f>
        <v>8050118</v>
      </c>
      <c r="M1918" s="6">
        <f ca="1">IFERROR(__xludf.DUMMYFUNCTION("SUM(FILTER(J:J, H:H=""Tiền mặt"")) - SUM(FILTER(K:K, H:H=""Tiền mặt""))
"),959000)</f>
        <v>959000</v>
      </c>
      <c r="N1918" s="6">
        <f ca="1">IFERROR(__xludf.DUMMYFUNCTION("SUM(FILTER(J:J, H:H=""Chuyển khoản"")) - SUM(FILTER(K:K, H:H=""Chuyển khoản""))
"),4468984)</f>
        <v>4468984</v>
      </c>
      <c r="O1918" s="5"/>
      <c r="P1918" s="5"/>
      <c r="Q1918" s="5"/>
      <c r="R1918" s="5"/>
      <c r="S1918" s="5"/>
    </row>
    <row r="1919" spans="1:19" ht="15.75" customHeight="1" x14ac:dyDescent="0.2">
      <c r="A1919" s="3"/>
      <c r="B1919" s="4" t="str">
        <f>IF(A1919="","","PC-"&amp;TEXT(A1919,"mm/yyyy")&amp;"-"&amp;TEXT(COUNTIFS($A$2:A1919,"&gt;="&amp;EOMONTH(A1919,-1)+1,$A$2:A1919,"&lt;="&amp;EOMONTH(A1919,0)),"000"))</f>
        <v/>
      </c>
      <c r="C1919" s="5"/>
      <c r="D1919" s="5"/>
      <c r="E1919" s="5"/>
      <c r="F1919" s="5"/>
      <c r="G1919" s="5"/>
      <c r="H1919" s="5"/>
      <c r="I1919" s="6"/>
      <c r="J1919" s="6">
        <f>IF(D1919="Thu",I1919,0)</f>
        <v>0</v>
      </c>
      <c r="K1919" s="6">
        <f>IF(D1919="Chi",I1919,0)</f>
        <v>0</v>
      </c>
      <c r="L1919" s="6">
        <f>L1918+J1919-K1919</f>
        <v>8050118</v>
      </c>
      <c r="M1919" s="6">
        <f ca="1">IFERROR(__xludf.DUMMYFUNCTION("SUM(FILTER(J:J, H:H=""Tiền mặt"")) - SUM(FILTER(K:K, H:H=""Tiền mặt""))
"),959000)</f>
        <v>959000</v>
      </c>
      <c r="N1919" s="6">
        <f ca="1">IFERROR(__xludf.DUMMYFUNCTION("SUM(FILTER(J:J, H:H=""Chuyển khoản"")) - SUM(FILTER(K:K, H:H=""Chuyển khoản""))
"),4468984)</f>
        <v>4468984</v>
      </c>
      <c r="O1919" s="5"/>
      <c r="P1919" s="5"/>
      <c r="Q1919" s="5"/>
      <c r="R1919" s="5"/>
      <c r="S1919" s="5"/>
    </row>
    <row r="1920" spans="1:19" ht="15.75" customHeight="1" x14ac:dyDescent="0.2">
      <c r="A1920" s="3"/>
      <c r="B1920" s="4" t="str">
        <f>IF(A1920="","","PC-"&amp;TEXT(A1920,"mm/yyyy")&amp;"-"&amp;TEXT(COUNTIFS($A$2:A1920,"&gt;="&amp;EOMONTH(A1920,-1)+1,$A$2:A1920,"&lt;="&amp;EOMONTH(A1920,0)),"000"))</f>
        <v/>
      </c>
      <c r="C1920" s="5"/>
      <c r="D1920" s="5"/>
      <c r="E1920" s="5"/>
      <c r="F1920" s="5"/>
      <c r="G1920" s="5"/>
      <c r="H1920" s="5"/>
      <c r="I1920" s="6"/>
      <c r="J1920" s="6">
        <f>IF(D1920="Thu",I1920,0)</f>
        <v>0</v>
      </c>
      <c r="K1920" s="6">
        <f>IF(D1920="Chi",I1920,0)</f>
        <v>0</v>
      </c>
      <c r="L1920" s="6">
        <f>L1919+J1920-K1920</f>
        <v>8050118</v>
      </c>
      <c r="M1920" s="6">
        <f ca="1">IFERROR(__xludf.DUMMYFUNCTION("SUM(FILTER(J:J, H:H=""Tiền mặt"")) - SUM(FILTER(K:K, H:H=""Tiền mặt""))
"),959000)</f>
        <v>959000</v>
      </c>
      <c r="N1920" s="6">
        <f ca="1">IFERROR(__xludf.DUMMYFUNCTION("SUM(FILTER(J:J, H:H=""Chuyển khoản"")) - SUM(FILTER(K:K, H:H=""Chuyển khoản""))
"),4468984)</f>
        <v>4468984</v>
      </c>
      <c r="O1920" s="5"/>
      <c r="P1920" s="5"/>
      <c r="Q1920" s="5"/>
      <c r="R1920" s="5"/>
      <c r="S1920" s="5"/>
    </row>
    <row r="1921" spans="1:19" ht="15.75" customHeight="1" x14ac:dyDescent="0.2">
      <c r="A1921" s="3"/>
      <c r="B1921" s="4" t="str">
        <f>IF(A1921="","","PC-"&amp;TEXT(A1921,"mm/yyyy")&amp;"-"&amp;TEXT(COUNTIFS($A$2:A1921,"&gt;="&amp;EOMONTH(A1921,-1)+1,$A$2:A1921,"&lt;="&amp;EOMONTH(A1921,0)),"000"))</f>
        <v/>
      </c>
      <c r="C1921" s="5"/>
      <c r="D1921" s="5"/>
      <c r="E1921" s="5"/>
      <c r="F1921" s="5"/>
      <c r="G1921" s="5"/>
      <c r="H1921" s="5"/>
      <c r="I1921" s="6"/>
      <c r="J1921" s="6">
        <f>IF(D1921="Thu",I1921,0)</f>
        <v>0</v>
      </c>
      <c r="K1921" s="6">
        <f>IF(D1921="Chi",I1921,0)</f>
        <v>0</v>
      </c>
      <c r="L1921" s="6">
        <f>L1920+J1921-K1921</f>
        <v>8050118</v>
      </c>
      <c r="M1921" s="6">
        <f ca="1">IFERROR(__xludf.DUMMYFUNCTION("SUM(FILTER(J:J, H:H=""Tiền mặt"")) - SUM(FILTER(K:K, H:H=""Tiền mặt""))
"),959000)</f>
        <v>959000</v>
      </c>
      <c r="N1921" s="6">
        <f ca="1">IFERROR(__xludf.DUMMYFUNCTION("SUM(FILTER(J:J, H:H=""Chuyển khoản"")) - SUM(FILTER(K:K, H:H=""Chuyển khoản""))
"),4468984)</f>
        <v>4468984</v>
      </c>
      <c r="O1921" s="5"/>
      <c r="P1921" s="5"/>
      <c r="Q1921" s="5"/>
      <c r="R1921" s="5"/>
      <c r="S1921" s="5"/>
    </row>
    <row r="1922" spans="1:19" ht="15.75" customHeight="1" x14ac:dyDescent="0.2">
      <c r="A1922" s="3"/>
      <c r="B1922" s="4" t="str">
        <f>IF(A1922="","","PC-"&amp;TEXT(A1922,"mm/yyyy")&amp;"-"&amp;TEXT(COUNTIFS($A$2:A1922,"&gt;="&amp;EOMONTH(A1922,-1)+1,$A$2:A1922,"&lt;="&amp;EOMONTH(A1922,0)),"000"))</f>
        <v/>
      </c>
      <c r="C1922" s="5"/>
      <c r="D1922" s="5"/>
      <c r="E1922" s="5"/>
      <c r="F1922" s="5"/>
      <c r="G1922" s="5"/>
      <c r="H1922" s="5"/>
      <c r="I1922" s="6"/>
      <c r="J1922" s="6">
        <f>IF(D1922="Thu",I1922,0)</f>
        <v>0</v>
      </c>
      <c r="K1922" s="6">
        <f>IF(D1922="Chi",I1922,0)</f>
        <v>0</v>
      </c>
      <c r="L1922" s="6">
        <f>L1921+J1922-K1922</f>
        <v>8050118</v>
      </c>
      <c r="M1922" s="6">
        <f ca="1">IFERROR(__xludf.DUMMYFUNCTION("SUM(FILTER(J:J, H:H=""Tiền mặt"")) - SUM(FILTER(K:K, H:H=""Tiền mặt""))
"),959000)</f>
        <v>959000</v>
      </c>
      <c r="N1922" s="6">
        <f ca="1">IFERROR(__xludf.DUMMYFUNCTION("SUM(FILTER(J:J, H:H=""Chuyển khoản"")) - SUM(FILTER(K:K, H:H=""Chuyển khoản""))
"),4468984)</f>
        <v>4468984</v>
      </c>
      <c r="O1922" s="5"/>
      <c r="P1922" s="5"/>
      <c r="Q1922" s="5"/>
      <c r="R1922" s="5"/>
      <c r="S1922" s="5"/>
    </row>
    <row r="1923" spans="1:19" ht="15.75" customHeight="1" x14ac:dyDescent="0.2">
      <c r="A1923" s="3"/>
      <c r="B1923" s="4" t="str">
        <f>IF(A1923="","","PC-"&amp;TEXT(A1923,"mm/yyyy")&amp;"-"&amp;TEXT(COUNTIFS($A$2:A1923,"&gt;="&amp;EOMONTH(A1923,-1)+1,$A$2:A1923,"&lt;="&amp;EOMONTH(A1923,0)),"000"))</f>
        <v/>
      </c>
      <c r="C1923" s="5"/>
      <c r="D1923" s="5"/>
      <c r="E1923" s="5"/>
      <c r="F1923" s="5"/>
      <c r="G1923" s="5"/>
      <c r="H1923" s="5"/>
      <c r="I1923" s="6"/>
      <c r="J1923" s="6">
        <f>IF(D1923="Thu",I1923,0)</f>
        <v>0</v>
      </c>
      <c r="K1923" s="6">
        <f>IF(D1923="Chi",I1923,0)</f>
        <v>0</v>
      </c>
      <c r="L1923" s="6">
        <f>L1922+J1923-K1923</f>
        <v>8050118</v>
      </c>
      <c r="M1923" s="6">
        <f ca="1">IFERROR(__xludf.DUMMYFUNCTION("SUM(FILTER(J:J, H:H=""Tiền mặt"")) - SUM(FILTER(K:K, H:H=""Tiền mặt""))
"),959000)</f>
        <v>959000</v>
      </c>
      <c r="N1923" s="6">
        <f ca="1">IFERROR(__xludf.DUMMYFUNCTION("SUM(FILTER(J:J, H:H=""Chuyển khoản"")) - SUM(FILTER(K:K, H:H=""Chuyển khoản""))
"),4468984)</f>
        <v>4468984</v>
      </c>
      <c r="O1923" s="5"/>
      <c r="P1923" s="5"/>
      <c r="Q1923" s="5"/>
      <c r="R1923" s="5"/>
      <c r="S1923" s="5"/>
    </row>
    <row r="1924" spans="1:19" ht="15.75" customHeight="1" x14ac:dyDescent="0.2">
      <c r="A1924" s="3"/>
      <c r="B1924" s="4" t="str">
        <f>IF(A1924="","","PC-"&amp;TEXT(A1924,"mm/yyyy")&amp;"-"&amp;TEXT(COUNTIFS($A$2:A1924,"&gt;="&amp;EOMONTH(A1924,-1)+1,$A$2:A1924,"&lt;="&amp;EOMONTH(A1924,0)),"000"))</f>
        <v/>
      </c>
      <c r="C1924" s="5"/>
      <c r="D1924" s="5"/>
      <c r="E1924" s="5"/>
      <c r="F1924" s="5"/>
      <c r="G1924" s="5"/>
      <c r="H1924" s="5"/>
      <c r="I1924" s="6"/>
      <c r="J1924" s="6">
        <f>IF(D1924="Thu",I1924,0)</f>
        <v>0</v>
      </c>
      <c r="K1924" s="6">
        <f>IF(D1924="Chi",I1924,0)</f>
        <v>0</v>
      </c>
      <c r="L1924" s="6">
        <f>L1923+J1924-K1924</f>
        <v>8050118</v>
      </c>
      <c r="M1924" s="6">
        <f ca="1">IFERROR(__xludf.DUMMYFUNCTION("SUM(FILTER(J:J, H:H=""Tiền mặt"")) - SUM(FILTER(K:K, H:H=""Tiền mặt""))
"),959000)</f>
        <v>959000</v>
      </c>
      <c r="N1924" s="6">
        <f ca="1">IFERROR(__xludf.DUMMYFUNCTION("SUM(FILTER(J:J, H:H=""Chuyển khoản"")) - SUM(FILTER(K:K, H:H=""Chuyển khoản""))
"),4468984)</f>
        <v>4468984</v>
      </c>
      <c r="O1924" s="5"/>
      <c r="P1924" s="5"/>
      <c r="Q1924" s="5"/>
      <c r="R1924" s="5"/>
      <c r="S1924" s="5"/>
    </row>
    <row r="1925" spans="1:19" ht="15.75" customHeight="1" x14ac:dyDescent="0.2">
      <c r="A1925" s="3"/>
      <c r="B1925" s="4" t="str">
        <f>IF(A1925="","","PC-"&amp;TEXT(A1925,"mm/yyyy")&amp;"-"&amp;TEXT(COUNTIFS($A$2:A1925,"&gt;="&amp;EOMONTH(A1925,-1)+1,$A$2:A1925,"&lt;="&amp;EOMONTH(A1925,0)),"000"))</f>
        <v/>
      </c>
      <c r="C1925" s="5"/>
      <c r="D1925" s="5"/>
      <c r="E1925" s="5"/>
      <c r="F1925" s="5"/>
      <c r="G1925" s="5"/>
      <c r="H1925" s="5"/>
      <c r="I1925" s="6"/>
      <c r="J1925" s="6">
        <f>IF(D1925="Thu",I1925,0)</f>
        <v>0</v>
      </c>
      <c r="K1925" s="6">
        <f>IF(D1925="Chi",I1925,0)</f>
        <v>0</v>
      </c>
      <c r="L1925" s="6">
        <f>L1924+J1925-K1925</f>
        <v>8050118</v>
      </c>
      <c r="M1925" s="6">
        <f ca="1">IFERROR(__xludf.DUMMYFUNCTION("SUM(FILTER(J:J, H:H=""Tiền mặt"")) - SUM(FILTER(K:K, H:H=""Tiền mặt""))
"),959000)</f>
        <v>959000</v>
      </c>
      <c r="N1925" s="6">
        <f ca="1">IFERROR(__xludf.DUMMYFUNCTION("SUM(FILTER(J:J, H:H=""Chuyển khoản"")) - SUM(FILTER(K:K, H:H=""Chuyển khoản""))
"),4468984)</f>
        <v>4468984</v>
      </c>
      <c r="O1925" s="5"/>
      <c r="P1925" s="5"/>
      <c r="Q1925" s="5"/>
      <c r="R1925" s="5"/>
      <c r="S1925" s="5"/>
    </row>
    <row r="1926" spans="1:19" ht="15.75" customHeight="1" x14ac:dyDescent="0.2">
      <c r="A1926" s="3"/>
      <c r="B1926" s="4" t="str">
        <f>IF(A1926="","","PC-"&amp;TEXT(A1926,"mm/yyyy")&amp;"-"&amp;TEXT(COUNTIFS($A$2:A1926,"&gt;="&amp;EOMONTH(A1926,-1)+1,$A$2:A1926,"&lt;="&amp;EOMONTH(A1926,0)),"000"))</f>
        <v/>
      </c>
      <c r="C1926" s="5"/>
      <c r="D1926" s="5"/>
      <c r="E1926" s="5"/>
      <c r="F1926" s="5"/>
      <c r="G1926" s="5"/>
      <c r="H1926" s="5"/>
      <c r="I1926" s="6"/>
      <c r="J1926" s="6">
        <f>IF(D1926="Thu",I1926,0)</f>
        <v>0</v>
      </c>
      <c r="K1926" s="6">
        <f>IF(D1926="Chi",I1926,0)</f>
        <v>0</v>
      </c>
      <c r="L1926" s="6">
        <f>L1925+J1926-K1926</f>
        <v>8050118</v>
      </c>
      <c r="M1926" s="6">
        <f ca="1">IFERROR(__xludf.DUMMYFUNCTION("SUM(FILTER(J:J, H:H=""Tiền mặt"")) - SUM(FILTER(K:K, H:H=""Tiền mặt""))
"),959000)</f>
        <v>959000</v>
      </c>
      <c r="N1926" s="6">
        <f ca="1">IFERROR(__xludf.DUMMYFUNCTION("SUM(FILTER(J:J, H:H=""Chuyển khoản"")) - SUM(FILTER(K:K, H:H=""Chuyển khoản""))
"),4468984)</f>
        <v>4468984</v>
      </c>
      <c r="O1926" s="5"/>
      <c r="P1926" s="5"/>
      <c r="Q1926" s="5"/>
      <c r="R1926" s="5"/>
      <c r="S1926" s="5"/>
    </row>
    <row r="1927" spans="1:19" ht="15.75" customHeight="1" x14ac:dyDescent="0.2">
      <c r="A1927" s="3"/>
      <c r="B1927" s="4" t="str">
        <f>IF(A1927="","","PC-"&amp;TEXT(A1927,"mm/yyyy")&amp;"-"&amp;TEXT(COUNTIFS($A$2:A1927,"&gt;="&amp;EOMONTH(A1927,-1)+1,$A$2:A1927,"&lt;="&amp;EOMONTH(A1927,0)),"000"))</f>
        <v/>
      </c>
      <c r="C1927" s="5"/>
      <c r="D1927" s="5"/>
      <c r="E1927" s="5"/>
      <c r="F1927" s="5"/>
      <c r="G1927" s="5"/>
      <c r="H1927" s="5"/>
      <c r="I1927" s="6"/>
      <c r="J1927" s="6">
        <f>IF(D1927="Thu",I1927,0)</f>
        <v>0</v>
      </c>
      <c r="K1927" s="6">
        <f>IF(D1927="Chi",I1927,0)</f>
        <v>0</v>
      </c>
      <c r="L1927" s="6">
        <f>L1926+J1927-K1927</f>
        <v>8050118</v>
      </c>
      <c r="M1927" s="6">
        <f ca="1">IFERROR(__xludf.DUMMYFUNCTION("SUM(FILTER(J:J, H:H=""Tiền mặt"")) - SUM(FILTER(K:K, H:H=""Tiền mặt""))
"),959000)</f>
        <v>959000</v>
      </c>
      <c r="N1927" s="6">
        <f ca="1">IFERROR(__xludf.DUMMYFUNCTION("SUM(FILTER(J:J, H:H=""Chuyển khoản"")) - SUM(FILTER(K:K, H:H=""Chuyển khoản""))
"),4468984)</f>
        <v>4468984</v>
      </c>
      <c r="O1927" s="5"/>
      <c r="P1927" s="5"/>
      <c r="Q1927" s="5"/>
      <c r="R1927" s="5"/>
      <c r="S1927" s="5"/>
    </row>
    <row r="1928" spans="1:19" ht="15.75" customHeight="1" x14ac:dyDescent="0.2">
      <c r="A1928" s="3"/>
      <c r="B1928" s="4" t="str">
        <f>IF(A1928="","","PC-"&amp;TEXT(A1928,"mm/yyyy")&amp;"-"&amp;TEXT(COUNTIFS($A$2:A1928,"&gt;="&amp;EOMONTH(A1928,-1)+1,$A$2:A1928,"&lt;="&amp;EOMONTH(A1928,0)),"000"))</f>
        <v/>
      </c>
      <c r="C1928" s="5"/>
      <c r="D1928" s="5"/>
      <c r="E1928" s="5"/>
      <c r="F1928" s="5"/>
      <c r="G1928" s="5"/>
      <c r="H1928" s="5"/>
      <c r="I1928" s="6"/>
      <c r="J1928" s="6">
        <f>IF(D1928="Thu",I1928,0)</f>
        <v>0</v>
      </c>
      <c r="K1928" s="6">
        <f>IF(D1928="Chi",I1928,0)</f>
        <v>0</v>
      </c>
      <c r="L1928" s="6">
        <f>L1927+J1928-K1928</f>
        <v>8050118</v>
      </c>
      <c r="M1928" s="6">
        <f ca="1">IFERROR(__xludf.DUMMYFUNCTION("SUM(FILTER(J:J, H:H=""Tiền mặt"")) - SUM(FILTER(K:K, H:H=""Tiền mặt""))
"),959000)</f>
        <v>959000</v>
      </c>
      <c r="N1928" s="6">
        <f ca="1">IFERROR(__xludf.DUMMYFUNCTION("SUM(FILTER(J:J, H:H=""Chuyển khoản"")) - SUM(FILTER(K:K, H:H=""Chuyển khoản""))
"),4468984)</f>
        <v>4468984</v>
      </c>
      <c r="O1928" s="5"/>
      <c r="P1928" s="5"/>
      <c r="Q1928" s="5"/>
      <c r="R1928" s="5"/>
      <c r="S1928" s="5"/>
    </row>
    <row r="1929" spans="1:19" ht="15.75" customHeight="1" x14ac:dyDescent="0.2">
      <c r="A1929" s="3"/>
      <c r="B1929" s="4" t="str">
        <f>IF(A1929="","","PC-"&amp;TEXT(A1929,"mm/yyyy")&amp;"-"&amp;TEXT(COUNTIFS($A$2:A1929,"&gt;="&amp;EOMONTH(A1929,-1)+1,$A$2:A1929,"&lt;="&amp;EOMONTH(A1929,0)),"000"))</f>
        <v/>
      </c>
      <c r="C1929" s="5"/>
      <c r="D1929" s="5"/>
      <c r="E1929" s="5"/>
      <c r="F1929" s="5"/>
      <c r="G1929" s="5"/>
      <c r="H1929" s="5"/>
      <c r="I1929" s="6"/>
      <c r="J1929" s="6">
        <f>IF(D1929="Thu",I1929,0)</f>
        <v>0</v>
      </c>
      <c r="K1929" s="6">
        <f>IF(D1929="Chi",I1929,0)</f>
        <v>0</v>
      </c>
      <c r="L1929" s="6">
        <f>L1928+J1929-K1929</f>
        <v>8050118</v>
      </c>
      <c r="M1929" s="6">
        <f ca="1">IFERROR(__xludf.DUMMYFUNCTION("SUM(FILTER(J:J, H:H=""Tiền mặt"")) - SUM(FILTER(K:K, H:H=""Tiền mặt""))
"),959000)</f>
        <v>959000</v>
      </c>
      <c r="N1929" s="6">
        <f ca="1">IFERROR(__xludf.DUMMYFUNCTION("SUM(FILTER(J:J, H:H=""Chuyển khoản"")) - SUM(FILTER(K:K, H:H=""Chuyển khoản""))
"),4468984)</f>
        <v>4468984</v>
      </c>
      <c r="O1929" s="5"/>
      <c r="P1929" s="5"/>
      <c r="Q1929" s="5"/>
      <c r="R1929" s="5"/>
      <c r="S1929" s="5"/>
    </row>
    <row r="1930" spans="1:19" ht="15.75" customHeight="1" x14ac:dyDescent="0.2">
      <c r="A1930" s="3"/>
      <c r="B1930" s="4" t="str">
        <f>IF(A1930="","","PC-"&amp;TEXT(A1930,"mm/yyyy")&amp;"-"&amp;TEXT(COUNTIFS($A$2:A1930,"&gt;="&amp;EOMONTH(A1930,-1)+1,$A$2:A1930,"&lt;="&amp;EOMONTH(A1930,0)),"000"))</f>
        <v/>
      </c>
      <c r="C1930" s="5"/>
      <c r="D1930" s="5"/>
      <c r="E1930" s="5"/>
      <c r="F1930" s="5"/>
      <c r="G1930" s="5"/>
      <c r="H1930" s="5"/>
      <c r="I1930" s="6"/>
      <c r="J1930" s="6">
        <f>IF(D1930="Thu",I1930,0)</f>
        <v>0</v>
      </c>
      <c r="K1930" s="6">
        <f>IF(D1930="Chi",I1930,0)</f>
        <v>0</v>
      </c>
      <c r="L1930" s="6">
        <f>L1929+J1930-K1930</f>
        <v>8050118</v>
      </c>
      <c r="M1930" s="6">
        <f ca="1">IFERROR(__xludf.DUMMYFUNCTION("SUM(FILTER(J:J, H:H=""Tiền mặt"")) - SUM(FILTER(K:K, H:H=""Tiền mặt""))
"),959000)</f>
        <v>959000</v>
      </c>
      <c r="N1930" s="6">
        <f ca="1">IFERROR(__xludf.DUMMYFUNCTION("SUM(FILTER(J:J, H:H=""Chuyển khoản"")) - SUM(FILTER(K:K, H:H=""Chuyển khoản""))
"),4468984)</f>
        <v>4468984</v>
      </c>
      <c r="O1930" s="5"/>
      <c r="P1930" s="5"/>
      <c r="Q1930" s="5"/>
      <c r="R1930" s="5"/>
      <c r="S1930" s="5"/>
    </row>
    <row r="1931" spans="1:19" ht="15.75" customHeight="1" x14ac:dyDescent="0.2">
      <c r="A1931" s="3"/>
      <c r="B1931" s="4" t="str">
        <f>IF(A1931="","","PC-"&amp;TEXT(A1931,"mm/yyyy")&amp;"-"&amp;TEXT(COUNTIFS($A$2:A1931,"&gt;="&amp;EOMONTH(A1931,-1)+1,$A$2:A1931,"&lt;="&amp;EOMONTH(A1931,0)),"000"))</f>
        <v/>
      </c>
      <c r="C1931" s="5"/>
      <c r="D1931" s="5"/>
      <c r="E1931" s="5"/>
      <c r="F1931" s="5"/>
      <c r="G1931" s="5"/>
      <c r="H1931" s="5"/>
      <c r="I1931" s="6"/>
      <c r="J1931" s="6">
        <f>IF(D1931="Thu",I1931,0)</f>
        <v>0</v>
      </c>
      <c r="K1931" s="6">
        <f>IF(D1931="Chi",I1931,0)</f>
        <v>0</v>
      </c>
      <c r="L1931" s="6">
        <f>L1930+J1931-K1931</f>
        <v>8050118</v>
      </c>
      <c r="M1931" s="6">
        <f ca="1">IFERROR(__xludf.DUMMYFUNCTION("SUM(FILTER(J:J, H:H=""Tiền mặt"")) - SUM(FILTER(K:K, H:H=""Tiền mặt""))
"),959000)</f>
        <v>959000</v>
      </c>
      <c r="N1931" s="6">
        <f ca="1">IFERROR(__xludf.DUMMYFUNCTION("SUM(FILTER(J:J, H:H=""Chuyển khoản"")) - SUM(FILTER(K:K, H:H=""Chuyển khoản""))
"),4468984)</f>
        <v>4468984</v>
      </c>
      <c r="O1931" s="5"/>
      <c r="P1931" s="5"/>
      <c r="Q1931" s="5"/>
      <c r="R1931" s="5"/>
      <c r="S1931" s="5"/>
    </row>
    <row r="1932" spans="1:19" ht="15.75" customHeight="1" x14ac:dyDescent="0.2">
      <c r="A1932" s="3"/>
      <c r="B1932" s="4" t="str">
        <f>IF(A1932="","","PC-"&amp;TEXT(A1932,"mm/yyyy")&amp;"-"&amp;TEXT(COUNTIFS($A$2:A1932,"&gt;="&amp;EOMONTH(A1932,-1)+1,$A$2:A1932,"&lt;="&amp;EOMONTH(A1932,0)),"000"))</f>
        <v/>
      </c>
      <c r="C1932" s="5"/>
      <c r="D1932" s="5"/>
      <c r="E1932" s="5"/>
      <c r="F1932" s="5"/>
      <c r="G1932" s="5"/>
      <c r="H1932" s="5"/>
      <c r="I1932" s="6"/>
      <c r="J1932" s="6">
        <f>IF(D1932="Thu",I1932,0)</f>
        <v>0</v>
      </c>
      <c r="K1932" s="6">
        <f>IF(D1932="Chi",I1932,0)</f>
        <v>0</v>
      </c>
      <c r="L1932" s="6">
        <f>L1931+J1932-K1932</f>
        <v>8050118</v>
      </c>
      <c r="M1932" s="6">
        <f ca="1">IFERROR(__xludf.DUMMYFUNCTION("SUM(FILTER(J:J, H:H=""Tiền mặt"")) - SUM(FILTER(K:K, H:H=""Tiền mặt""))
"),959000)</f>
        <v>959000</v>
      </c>
      <c r="N1932" s="6">
        <f ca="1">IFERROR(__xludf.DUMMYFUNCTION("SUM(FILTER(J:J, H:H=""Chuyển khoản"")) - SUM(FILTER(K:K, H:H=""Chuyển khoản""))
"),4468984)</f>
        <v>4468984</v>
      </c>
      <c r="O1932" s="5"/>
      <c r="P1932" s="5"/>
      <c r="Q1932" s="5"/>
      <c r="R1932" s="5"/>
      <c r="S1932" s="5"/>
    </row>
    <row r="1933" spans="1:19" ht="15.75" customHeight="1" x14ac:dyDescent="0.2">
      <c r="A1933" s="3"/>
      <c r="B1933" s="4" t="str">
        <f>IF(A1933="","","PC-"&amp;TEXT(A1933,"mm/yyyy")&amp;"-"&amp;TEXT(COUNTIFS($A$2:A1933,"&gt;="&amp;EOMONTH(A1933,-1)+1,$A$2:A1933,"&lt;="&amp;EOMONTH(A1933,0)),"000"))</f>
        <v/>
      </c>
      <c r="C1933" s="5"/>
      <c r="D1933" s="5"/>
      <c r="E1933" s="5"/>
      <c r="F1933" s="5"/>
      <c r="G1933" s="5"/>
      <c r="H1933" s="5"/>
      <c r="I1933" s="6"/>
      <c r="J1933" s="6">
        <f>IF(D1933="Thu",I1933,0)</f>
        <v>0</v>
      </c>
      <c r="K1933" s="6">
        <f>IF(D1933="Chi",I1933,0)</f>
        <v>0</v>
      </c>
      <c r="L1933" s="6">
        <f>L1932+J1933-K1933</f>
        <v>8050118</v>
      </c>
      <c r="M1933" s="6">
        <f ca="1">IFERROR(__xludf.DUMMYFUNCTION("SUM(FILTER(J:J, H:H=""Tiền mặt"")) - SUM(FILTER(K:K, H:H=""Tiền mặt""))
"),959000)</f>
        <v>959000</v>
      </c>
      <c r="N1933" s="6">
        <f ca="1">IFERROR(__xludf.DUMMYFUNCTION("SUM(FILTER(J:J, H:H=""Chuyển khoản"")) - SUM(FILTER(K:K, H:H=""Chuyển khoản""))
"),4468984)</f>
        <v>4468984</v>
      </c>
      <c r="O1933" s="5"/>
      <c r="P1933" s="5"/>
      <c r="Q1933" s="5"/>
      <c r="R1933" s="5"/>
      <c r="S1933" s="5"/>
    </row>
    <row r="1934" spans="1:19" ht="15.75" customHeight="1" x14ac:dyDescent="0.2">
      <c r="A1934" s="3"/>
      <c r="B1934" s="4" t="str">
        <f>IF(A1934="","","PC-"&amp;TEXT(A1934,"mm/yyyy")&amp;"-"&amp;TEXT(COUNTIFS($A$2:A1934,"&gt;="&amp;EOMONTH(A1934,-1)+1,$A$2:A1934,"&lt;="&amp;EOMONTH(A1934,0)),"000"))</f>
        <v/>
      </c>
      <c r="C1934" s="5"/>
      <c r="D1934" s="5"/>
      <c r="E1934" s="5"/>
      <c r="F1934" s="5"/>
      <c r="G1934" s="5"/>
      <c r="H1934" s="5"/>
      <c r="I1934" s="6"/>
      <c r="J1934" s="6">
        <f>IF(D1934="Thu",I1934,0)</f>
        <v>0</v>
      </c>
      <c r="K1934" s="6">
        <f>IF(D1934="Chi",I1934,0)</f>
        <v>0</v>
      </c>
      <c r="L1934" s="6">
        <f>L1933+J1934-K1934</f>
        <v>8050118</v>
      </c>
      <c r="M1934" s="6">
        <f ca="1">IFERROR(__xludf.DUMMYFUNCTION("SUM(FILTER(J:J, H:H=""Tiền mặt"")) - SUM(FILTER(K:K, H:H=""Tiền mặt""))
"),959000)</f>
        <v>959000</v>
      </c>
      <c r="N1934" s="6">
        <f ca="1">IFERROR(__xludf.DUMMYFUNCTION("SUM(FILTER(J:J, H:H=""Chuyển khoản"")) - SUM(FILTER(K:K, H:H=""Chuyển khoản""))
"),4468984)</f>
        <v>4468984</v>
      </c>
      <c r="O1934" s="5"/>
      <c r="P1934" s="5"/>
      <c r="Q1934" s="5"/>
      <c r="R1934" s="5"/>
      <c r="S1934" s="5"/>
    </row>
    <row r="1935" spans="1:19" ht="15.75" customHeight="1" x14ac:dyDescent="0.2">
      <c r="A1935" s="3"/>
      <c r="B1935" s="4" t="str">
        <f>IF(A1935="","","PC-"&amp;TEXT(A1935,"mm/yyyy")&amp;"-"&amp;TEXT(COUNTIFS($A$2:A1935,"&gt;="&amp;EOMONTH(A1935,-1)+1,$A$2:A1935,"&lt;="&amp;EOMONTH(A1935,0)),"000"))</f>
        <v/>
      </c>
      <c r="C1935" s="5"/>
      <c r="D1935" s="5"/>
      <c r="E1935" s="5"/>
      <c r="F1935" s="5"/>
      <c r="G1935" s="5"/>
      <c r="H1935" s="5"/>
      <c r="I1935" s="6"/>
      <c r="J1935" s="6">
        <f>IF(D1935="Thu",I1935,0)</f>
        <v>0</v>
      </c>
      <c r="K1935" s="6">
        <f>IF(D1935="Chi",I1935,0)</f>
        <v>0</v>
      </c>
      <c r="L1935" s="6">
        <f>L1934+J1935-K1935</f>
        <v>8050118</v>
      </c>
      <c r="M1935" s="6">
        <f ca="1">IFERROR(__xludf.DUMMYFUNCTION("SUM(FILTER(J:J, H:H=""Tiền mặt"")) - SUM(FILTER(K:K, H:H=""Tiền mặt""))
"),959000)</f>
        <v>959000</v>
      </c>
      <c r="N1935" s="6">
        <f ca="1">IFERROR(__xludf.DUMMYFUNCTION("SUM(FILTER(J:J, H:H=""Chuyển khoản"")) - SUM(FILTER(K:K, H:H=""Chuyển khoản""))
"),4468984)</f>
        <v>4468984</v>
      </c>
      <c r="O1935" s="5"/>
      <c r="P1935" s="5"/>
      <c r="Q1935" s="5"/>
      <c r="R1935" s="5"/>
      <c r="S1935" s="5"/>
    </row>
    <row r="1936" spans="1:19" ht="15.75" customHeight="1" x14ac:dyDescent="0.2">
      <c r="A1936" s="3"/>
      <c r="B1936" s="4" t="str">
        <f>IF(A1936="","","PC-"&amp;TEXT(A1936,"mm/yyyy")&amp;"-"&amp;TEXT(COUNTIFS($A$2:A1936,"&gt;="&amp;EOMONTH(A1936,-1)+1,$A$2:A1936,"&lt;="&amp;EOMONTH(A1936,0)),"000"))</f>
        <v/>
      </c>
      <c r="C1936" s="5"/>
      <c r="D1936" s="5"/>
      <c r="E1936" s="5"/>
      <c r="F1936" s="5"/>
      <c r="G1936" s="5"/>
      <c r="H1936" s="5"/>
      <c r="I1936" s="6"/>
      <c r="J1936" s="6">
        <f>IF(D1936="Thu",I1936,0)</f>
        <v>0</v>
      </c>
      <c r="K1936" s="6">
        <f>IF(D1936="Chi",I1936,0)</f>
        <v>0</v>
      </c>
      <c r="L1936" s="6">
        <f>L1935+J1936-K1936</f>
        <v>8050118</v>
      </c>
      <c r="M1936" s="6">
        <f ca="1">IFERROR(__xludf.DUMMYFUNCTION("SUM(FILTER(J:J, H:H=""Tiền mặt"")) - SUM(FILTER(K:K, H:H=""Tiền mặt""))
"),959000)</f>
        <v>959000</v>
      </c>
      <c r="N1936" s="6">
        <f ca="1">IFERROR(__xludf.DUMMYFUNCTION("SUM(FILTER(J:J, H:H=""Chuyển khoản"")) - SUM(FILTER(K:K, H:H=""Chuyển khoản""))
"),4468984)</f>
        <v>4468984</v>
      </c>
      <c r="O1936" s="5"/>
      <c r="P1936" s="5"/>
      <c r="Q1936" s="5"/>
      <c r="R1936" s="5"/>
      <c r="S1936" s="5"/>
    </row>
    <row r="1937" spans="1:19" ht="15.75" customHeight="1" x14ac:dyDescent="0.2">
      <c r="A1937" s="3"/>
      <c r="B1937" s="4" t="str">
        <f>IF(A1937="","","PC-"&amp;TEXT(A1937,"mm/yyyy")&amp;"-"&amp;TEXT(COUNTIFS($A$2:A1937,"&gt;="&amp;EOMONTH(A1937,-1)+1,$A$2:A1937,"&lt;="&amp;EOMONTH(A1937,0)),"000"))</f>
        <v/>
      </c>
      <c r="C1937" s="5"/>
      <c r="D1937" s="5"/>
      <c r="E1937" s="5"/>
      <c r="F1937" s="5"/>
      <c r="G1937" s="5"/>
      <c r="H1937" s="5"/>
      <c r="I1937" s="6"/>
      <c r="J1937" s="6">
        <f>IF(D1937="Thu",I1937,0)</f>
        <v>0</v>
      </c>
      <c r="K1937" s="6">
        <f>IF(D1937="Chi",I1937,0)</f>
        <v>0</v>
      </c>
      <c r="L1937" s="6">
        <f>L1936+J1937-K1937</f>
        <v>8050118</v>
      </c>
      <c r="M1937" s="6">
        <f ca="1">IFERROR(__xludf.DUMMYFUNCTION("SUM(FILTER(J:J, H:H=""Tiền mặt"")) - SUM(FILTER(K:K, H:H=""Tiền mặt""))
"),959000)</f>
        <v>959000</v>
      </c>
      <c r="N1937" s="6">
        <f ca="1">IFERROR(__xludf.DUMMYFUNCTION("SUM(FILTER(J:J, H:H=""Chuyển khoản"")) - SUM(FILTER(K:K, H:H=""Chuyển khoản""))
"),4468984)</f>
        <v>4468984</v>
      </c>
      <c r="O1937" s="5"/>
      <c r="P1937" s="5"/>
      <c r="Q1937" s="5"/>
      <c r="R1937" s="5"/>
      <c r="S1937" s="5"/>
    </row>
    <row r="1938" spans="1:19" ht="15.75" customHeight="1" x14ac:dyDescent="0.2">
      <c r="A1938" s="3"/>
      <c r="B1938" s="4" t="str">
        <f>IF(A1938="","","PC-"&amp;TEXT(A1938,"mm/yyyy")&amp;"-"&amp;TEXT(COUNTIFS($A$2:A1938,"&gt;="&amp;EOMONTH(A1938,-1)+1,$A$2:A1938,"&lt;="&amp;EOMONTH(A1938,0)),"000"))</f>
        <v/>
      </c>
      <c r="C1938" s="5"/>
      <c r="D1938" s="5"/>
      <c r="E1938" s="5"/>
      <c r="F1938" s="5"/>
      <c r="G1938" s="5"/>
      <c r="H1938" s="5"/>
      <c r="I1938" s="6"/>
      <c r="J1938" s="6">
        <f>IF(D1938="Thu",I1938,0)</f>
        <v>0</v>
      </c>
      <c r="K1938" s="6">
        <f>IF(D1938="Chi",I1938,0)</f>
        <v>0</v>
      </c>
      <c r="L1938" s="6">
        <f>L1937+J1938-K1938</f>
        <v>8050118</v>
      </c>
      <c r="M1938" s="6">
        <f ca="1">IFERROR(__xludf.DUMMYFUNCTION("SUM(FILTER(J:J, H:H=""Tiền mặt"")) - SUM(FILTER(K:K, H:H=""Tiền mặt""))
"),959000)</f>
        <v>959000</v>
      </c>
      <c r="N1938" s="6">
        <f ca="1">IFERROR(__xludf.DUMMYFUNCTION("SUM(FILTER(J:J, H:H=""Chuyển khoản"")) - SUM(FILTER(K:K, H:H=""Chuyển khoản""))
"),4468984)</f>
        <v>4468984</v>
      </c>
      <c r="O1938" s="5"/>
      <c r="P1938" s="5"/>
      <c r="Q1938" s="5"/>
      <c r="R1938" s="5"/>
      <c r="S1938" s="5"/>
    </row>
    <row r="1939" spans="1:19" ht="15.75" customHeight="1" x14ac:dyDescent="0.2">
      <c r="A1939" s="3"/>
      <c r="B1939" s="4" t="str">
        <f>IF(A1939="","","PC-"&amp;TEXT(A1939,"mm/yyyy")&amp;"-"&amp;TEXT(COUNTIFS($A$2:A1939,"&gt;="&amp;EOMONTH(A1939,-1)+1,$A$2:A1939,"&lt;="&amp;EOMONTH(A1939,0)),"000"))</f>
        <v/>
      </c>
      <c r="C1939" s="5"/>
      <c r="D1939" s="5"/>
      <c r="E1939" s="5"/>
      <c r="F1939" s="5"/>
      <c r="G1939" s="5"/>
      <c r="H1939" s="5"/>
      <c r="I1939" s="6"/>
      <c r="J1939" s="6">
        <f>IF(D1939="Thu",I1939,0)</f>
        <v>0</v>
      </c>
      <c r="K1939" s="6">
        <f>IF(D1939="Chi",I1939,0)</f>
        <v>0</v>
      </c>
      <c r="L1939" s="6">
        <f>L1938+J1939-K1939</f>
        <v>8050118</v>
      </c>
      <c r="M1939" s="6">
        <f ca="1">IFERROR(__xludf.DUMMYFUNCTION("SUM(FILTER(J:J, H:H=""Tiền mặt"")) - SUM(FILTER(K:K, H:H=""Tiền mặt""))
"),959000)</f>
        <v>959000</v>
      </c>
      <c r="N1939" s="6">
        <f ca="1">IFERROR(__xludf.DUMMYFUNCTION("SUM(FILTER(J:J, H:H=""Chuyển khoản"")) - SUM(FILTER(K:K, H:H=""Chuyển khoản""))
"),4468984)</f>
        <v>4468984</v>
      </c>
      <c r="O1939" s="5"/>
      <c r="P1939" s="5"/>
      <c r="Q1939" s="5"/>
      <c r="R1939" s="5"/>
      <c r="S1939" s="5"/>
    </row>
    <row r="1940" spans="1:19" ht="15.75" customHeight="1" x14ac:dyDescent="0.2">
      <c r="A1940" s="3"/>
      <c r="B1940" s="4" t="str">
        <f>IF(A1940="","","PC-"&amp;TEXT(A1940,"mm/yyyy")&amp;"-"&amp;TEXT(COUNTIFS($A$2:A1940,"&gt;="&amp;EOMONTH(A1940,-1)+1,$A$2:A1940,"&lt;="&amp;EOMONTH(A1940,0)),"000"))</f>
        <v/>
      </c>
      <c r="C1940" s="5"/>
      <c r="D1940" s="5"/>
      <c r="E1940" s="5"/>
      <c r="F1940" s="5"/>
      <c r="G1940" s="5"/>
      <c r="H1940" s="5"/>
      <c r="I1940" s="6"/>
      <c r="J1940" s="6">
        <f>IF(D1940="Thu",I1940,0)</f>
        <v>0</v>
      </c>
      <c r="K1940" s="6">
        <f>IF(D1940="Chi",I1940,0)</f>
        <v>0</v>
      </c>
      <c r="L1940" s="6">
        <f>L1939+J1940-K1940</f>
        <v>8050118</v>
      </c>
      <c r="M1940" s="6">
        <f ca="1">IFERROR(__xludf.DUMMYFUNCTION("SUM(FILTER(J:J, H:H=""Tiền mặt"")) - SUM(FILTER(K:K, H:H=""Tiền mặt""))
"),959000)</f>
        <v>959000</v>
      </c>
      <c r="N1940" s="6">
        <f ca="1">IFERROR(__xludf.DUMMYFUNCTION("SUM(FILTER(J:J, H:H=""Chuyển khoản"")) - SUM(FILTER(K:K, H:H=""Chuyển khoản""))
"),4468984)</f>
        <v>4468984</v>
      </c>
      <c r="O1940" s="5"/>
      <c r="P1940" s="5"/>
      <c r="Q1940" s="5"/>
      <c r="R1940" s="5"/>
      <c r="S1940" s="5"/>
    </row>
    <row r="1941" spans="1:19" ht="15.75" customHeight="1" x14ac:dyDescent="0.2">
      <c r="A1941" s="3"/>
      <c r="B1941" s="4" t="str">
        <f>IF(A1941="","","PC-"&amp;TEXT(A1941,"mm/yyyy")&amp;"-"&amp;TEXT(COUNTIFS($A$2:A1941,"&gt;="&amp;EOMONTH(A1941,-1)+1,$A$2:A1941,"&lt;="&amp;EOMONTH(A1941,0)),"000"))</f>
        <v/>
      </c>
      <c r="C1941" s="5"/>
      <c r="D1941" s="5"/>
      <c r="E1941" s="5"/>
      <c r="F1941" s="5"/>
      <c r="G1941" s="5"/>
      <c r="H1941" s="5"/>
      <c r="I1941" s="6"/>
      <c r="J1941" s="6">
        <f>IF(D1941="Thu",I1941,0)</f>
        <v>0</v>
      </c>
      <c r="K1941" s="6">
        <f>IF(D1941="Chi",I1941,0)</f>
        <v>0</v>
      </c>
      <c r="L1941" s="6">
        <f>L1940+J1941-K1941</f>
        <v>8050118</v>
      </c>
      <c r="M1941" s="6">
        <f ca="1">IFERROR(__xludf.DUMMYFUNCTION("SUM(FILTER(J:J, H:H=""Tiền mặt"")) - SUM(FILTER(K:K, H:H=""Tiền mặt""))
"),959000)</f>
        <v>959000</v>
      </c>
      <c r="N1941" s="6">
        <f ca="1">IFERROR(__xludf.DUMMYFUNCTION("SUM(FILTER(J:J, H:H=""Chuyển khoản"")) - SUM(FILTER(K:K, H:H=""Chuyển khoản""))
"),4468984)</f>
        <v>4468984</v>
      </c>
      <c r="O1941" s="5"/>
      <c r="P1941" s="5"/>
      <c r="Q1941" s="5"/>
      <c r="R1941" s="5"/>
      <c r="S1941" s="5"/>
    </row>
    <row r="1942" spans="1:19" ht="15.75" customHeight="1" x14ac:dyDescent="0.2">
      <c r="A1942" s="3"/>
      <c r="B1942" s="4" t="str">
        <f>IF(A1942="","","PC-"&amp;TEXT(A1942,"mm/yyyy")&amp;"-"&amp;TEXT(COUNTIFS($A$2:A1942,"&gt;="&amp;EOMONTH(A1942,-1)+1,$A$2:A1942,"&lt;="&amp;EOMONTH(A1942,0)),"000"))</f>
        <v/>
      </c>
      <c r="C1942" s="5"/>
      <c r="D1942" s="5"/>
      <c r="E1942" s="5"/>
      <c r="F1942" s="5"/>
      <c r="G1942" s="5"/>
      <c r="H1942" s="5"/>
      <c r="I1942" s="6"/>
      <c r="J1942" s="6">
        <f>IF(D1942="Thu",I1942,0)</f>
        <v>0</v>
      </c>
      <c r="K1942" s="6">
        <f>IF(D1942="Chi",I1942,0)</f>
        <v>0</v>
      </c>
      <c r="L1942" s="6">
        <f>L1941+J1942-K1942</f>
        <v>8050118</v>
      </c>
      <c r="M1942" s="6">
        <f ca="1">IFERROR(__xludf.DUMMYFUNCTION("SUM(FILTER(J:J, H:H=""Tiền mặt"")) - SUM(FILTER(K:K, H:H=""Tiền mặt""))
"),959000)</f>
        <v>959000</v>
      </c>
      <c r="N1942" s="6">
        <f ca="1">IFERROR(__xludf.DUMMYFUNCTION("SUM(FILTER(J:J, H:H=""Chuyển khoản"")) - SUM(FILTER(K:K, H:H=""Chuyển khoản""))
"),4468984)</f>
        <v>4468984</v>
      </c>
      <c r="O1942" s="5"/>
      <c r="P1942" s="5"/>
      <c r="Q1942" s="5"/>
      <c r="R1942" s="5"/>
      <c r="S1942" s="5"/>
    </row>
    <row r="1943" spans="1:19" ht="15.75" customHeight="1" x14ac:dyDescent="0.2">
      <c r="A1943" s="3"/>
      <c r="B1943" s="4" t="str">
        <f>IF(A1943="","","PC-"&amp;TEXT(A1943,"mm/yyyy")&amp;"-"&amp;TEXT(COUNTIFS($A$2:A1943,"&gt;="&amp;EOMONTH(A1943,-1)+1,$A$2:A1943,"&lt;="&amp;EOMONTH(A1943,0)),"000"))</f>
        <v/>
      </c>
      <c r="C1943" s="5"/>
      <c r="D1943" s="5"/>
      <c r="E1943" s="5"/>
      <c r="F1943" s="5"/>
      <c r="G1943" s="5"/>
      <c r="H1943" s="5"/>
      <c r="I1943" s="6"/>
      <c r="J1943" s="6">
        <f>IF(D1943="Thu",I1943,0)</f>
        <v>0</v>
      </c>
      <c r="K1943" s="6">
        <f>IF(D1943="Chi",I1943,0)</f>
        <v>0</v>
      </c>
      <c r="L1943" s="6">
        <f>L1942+J1943-K1943</f>
        <v>8050118</v>
      </c>
      <c r="M1943" s="6">
        <f ca="1">IFERROR(__xludf.DUMMYFUNCTION("SUM(FILTER(J:J, H:H=""Tiền mặt"")) - SUM(FILTER(K:K, H:H=""Tiền mặt""))
"),959000)</f>
        <v>959000</v>
      </c>
      <c r="N1943" s="6">
        <f ca="1">IFERROR(__xludf.DUMMYFUNCTION("SUM(FILTER(J:J, H:H=""Chuyển khoản"")) - SUM(FILTER(K:K, H:H=""Chuyển khoản""))
"),4468984)</f>
        <v>4468984</v>
      </c>
      <c r="O1943" s="5"/>
      <c r="P1943" s="5"/>
      <c r="Q1943" s="5"/>
      <c r="R1943" s="5"/>
      <c r="S1943" s="5"/>
    </row>
    <row r="1944" spans="1:19" ht="15.75" customHeight="1" x14ac:dyDescent="0.2">
      <c r="A1944" s="3"/>
      <c r="B1944" s="4" t="str">
        <f>IF(A1944="","","PC-"&amp;TEXT(A1944,"mm/yyyy")&amp;"-"&amp;TEXT(COUNTIFS($A$2:A1944,"&gt;="&amp;EOMONTH(A1944,-1)+1,$A$2:A1944,"&lt;="&amp;EOMONTH(A1944,0)),"000"))</f>
        <v/>
      </c>
      <c r="C1944" s="5"/>
      <c r="D1944" s="5"/>
      <c r="E1944" s="5"/>
      <c r="F1944" s="5"/>
      <c r="G1944" s="5"/>
      <c r="H1944" s="5"/>
      <c r="I1944" s="6"/>
      <c r="J1944" s="6">
        <f>IF(D1944="Thu",I1944,0)</f>
        <v>0</v>
      </c>
      <c r="K1944" s="6">
        <f>IF(D1944="Chi",I1944,0)</f>
        <v>0</v>
      </c>
      <c r="L1944" s="6">
        <f>L1943+J1944-K1944</f>
        <v>8050118</v>
      </c>
      <c r="M1944" s="6">
        <f ca="1">IFERROR(__xludf.DUMMYFUNCTION("SUM(FILTER(J:J, H:H=""Tiền mặt"")) - SUM(FILTER(K:K, H:H=""Tiền mặt""))
"),959000)</f>
        <v>959000</v>
      </c>
      <c r="N1944" s="6">
        <f ca="1">IFERROR(__xludf.DUMMYFUNCTION("SUM(FILTER(J:J, H:H=""Chuyển khoản"")) - SUM(FILTER(K:K, H:H=""Chuyển khoản""))
"),4468984)</f>
        <v>4468984</v>
      </c>
      <c r="O1944" s="5"/>
      <c r="P1944" s="5"/>
      <c r="Q1944" s="5"/>
      <c r="R1944" s="5"/>
      <c r="S1944" s="5"/>
    </row>
    <row r="1945" spans="1:19" ht="15.75" customHeight="1" x14ac:dyDescent="0.2">
      <c r="A1945" s="3"/>
      <c r="B1945" s="4" t="str">
        <f>IF(A1945="","","PC-"&amp;TEXT(A1945,"mm/yyyy")&amp;"-"&amp;TEXT(COUNTIFS($A$2:A1945,"&gt;="&amp;EOMONTH(A1945,-1)+1,$A$2:A1945,"&lt;="&amp;EOMONTH(A1945,0)),"000"))</f>
        <v/>
      </c>
      <c r="C1945" s="5"/>
      <c r="D1945" s="5"/>
      <c r="E1945" s="5"/>
      <c r="F1945" s="5"/>
      <c r="G1945" s="5"/>
      <c r="H1945" s="5"/>
      <c r="I1945" s="6"/>
      <c r="J1945" s="6">
        <f>IF(D1945="Thu",I1945,0)</f>
        <v>0</v>
      </c>
      <c r="K1945" s="6">
        <f>IF(D1945="Chi",I1945,0)</f>
        <v>0</v>
      </c>
      <c r="L1945" s="6">
        <f>L1944+J1945-K1945</f>
        <v>8050118</v>
      </c>
      <c r="M1945" s="6">
        <f ca="1">IFERROR(__xludf.DUMMYFUNCTION("SUM(FILTER(J:J, H:H=""Tiền mặt"")) - SUM(FILTER(K:K, H:H=""Tiền mặt""))
"),959000)</f>
        <v>959000</v>
      </c>
      <c r="N1945" s="6">
        <f ca="1">IFERROR(__xludf.DUMMYFUNCTION("SUM(FILTER(J:J, H:H=""Chuyển khoản"")) - SUM(FILTER(K:K, H:H=""Chuyển khoản""))
"),4468984)</f>
        <v>4468984</v>
      </c>
      <c r="O1945" s="5"/>
      <c r="P1945" s="5"/>
      <c r="Q1945" s="5"/>
      <c r="R1945" s="5"/>
      <c r="S1945" s="5"/>
    </row>
    <row r="1946" spans="1:19" ht="15.75" customHeight="1" x14ac:dyDescent="0.2">
      <c r="A1946" s="3"/>
      <c r="B1946" s="4" t="str">
        <f>IF(A1946="","","PC-"&amp;TEXT(A1946,"mm/yyyy")&amp;"-"&amp;TEXT(COUNTIFS($A$2:A1946,"&gt;="&amp;EOMONTH(A1946,-1)+1,$A$2:A1946,"&lt;="&amp;EOMONTH(A1946,0)),"000"))</f>
        <v/>
      </c>
      <c r="C1946" s="5"/>
      <c r="D1946" s="5"/>
      <c r="E1946" s="5"/>
      <c r="F1946" s="5"/>
      <c r="G1946" s="5"/>
      <c r="H1946" s="5"/>
      <c r="I1946" s="6"/>
      <c r="J1946" s="6">
        <f>IF(D1946="Thu",I1946,0)</f>
        <v>0</v>
      </c>
      <c r="K1946" s="6">
        <f>IF(D1946="Chi",I1946,0)</f>
        <v>0</v>
      </c>
      <c r="L1946" s="6">
        <f>L1945+J1946-K1946</f>
        <v>8050118</v>
      </c>
      <c r="M1946" s="6">
        <f ca="1">IFERROR(__xludf.DUMMYFUNCTION("SUM(FILTER(J:J, H:H=""Tiền mặt"")) - SUM(FILTER(K:K, H:H=""Tiền mặt""))
"),959000)</f>
        <v>959000</v>
      </c>
      <c r="N1946" s="6">
        <f ca="1">IFERROR(__xludf.DUMMYFUNCTION("SUM(FILTER(J:J, H:H=""Chuyển khoản"")) - SUM(FILTER(K:K, H:H=""Chuyển khoản""))
"),4468984)</f>
        <v>4468984</v>
      </c>
      <c r="O1946" s="5"/>
      <c r="P1946" s="5"/>
      <c r="Q1946" s="5"/>
      <c r="R1946" s="5"/>
      <c r="S1946" s="5"/>
    </row>
    <row r="1947" spans="1:19" ht="15.75" customHeight="1" x14ac:dyDescent="0.2">
      <c r="A1947" s="3"/>
      <c r="B1947" s="4" t="str">
        <f>IF(A1947="","","PC-"&amp;TEXT(A1947,"mm/yyyy")&amp;"-"&amp;TEXT(COUNTIFS($A$2:A1947,"&gt;="&amp;EOMONTH(A1947,-1)+1,$A$2:A1947,"&lt;="&amp;EOMONTH(A1947,0)),"000"))</f>
        <v/>
      </c>
      <c r="C1947" s="5"/>
      <c r="D1947" s="5"/>
      <c r="E1947" s="5"/>
      <c r="F1947" s="5"/>
      <c r="G1947" s="5"/>
      <c r="H1947" s="5"/>
      <c r="I1947" s="6"/>
      <c r="J1947" s="6">
        <f>IF(D1947="Thu",I1947,0)</f>
        <v>0</v>
      </c>
      <c r="K1947" s="6">
        <f>IF(D1947="Chi",I1947,0)</f>
        <v>0</v>
      </c>
      <c r="L1947" s="6">
        <f>L1946+J1947-K1947</f>
        <v>8050118</v>
      </c>
      <c r="M1947" s="6">
        <f ca="1">IFERROR(__xludf.DUMMYFUNCTION("SUM(FILTER(J:J, H:H=""Tiền mặt"")) - SUM(FILTER(K:K, H:H=""Tiền mặt""))
"),959000)</f>
        <v>959000</v>
      </c>
      <c r="N1947" s="6">
        <f ca="1">IFERROR(__xludf.DUMMYFUNCTION("SUM(FILTER(J:J, H:H=""Chuyển khoản"")) - SUM(FILTER(K:K, H:H=""Chuyển khoản""))
"),4468984)</f>
        <v>4468984</v>
      </c>
      <c r="O1947" s="5"/>
      <c r="P1947" s="5"/>
      <c r="Q1947" s="5"/>
      <c r="R1947" s="5"/>
      <c r="S1947" s="5"/>
    </row>
    <row r="1948" spans="1:19" ht="15.75" customHeight="1" x14ac:dyDescent="0.2">
      <c r="A1948" s="3"/>
      <c r="B1948" s="4" t="str">
        <f>IF(A1948="","","PC-"&amp;TEXT(A1948,"mm/yyyy")&amp;"-"&amp;TEXT(COUNTIFS($A$2:A1948,"&gt;="&amp;EOMONTH(A1948,-1)+1,$A$2:A1948,"&lt;="&amp;EOMONTH(A1948,0)),"000"))</f>
        <v/>
      </c>
      <c r="C1948" s="5"/>
      <c r="D1948" s="5"/>
      <c r="E1948" s="5"/>
      <c r="F1948" s="5"/>
      <c r="G1948" s="5"/>
      <c r="H1948" s="5"/>
      <c r="I1948" s="6"/>
      <c r="J1948" s="6">
        <f>IF(D1948="Thu",I1948,0)</f>
        <v>0</v>
      </c>
      <c r="K1948" s="6">
        <f>IF(D1948="Chi",I1948,0)</f>
        <v>0</v>
      </c>
      <c r="L1948" s="6">
        <f>L1947+J1948-K1948</f>
        <v>8050118</v>
      </c>
      <c r="M1948" s="6">
        <f ca="1">IFERROR(__xludf.DUMMYFUNCTION("SUM(FILTER(J:J, H:H=""Tiền mặt"")) - SUM(FILTER(K:K, H:H=""Tiền mặt""))
"),959000)</f>
        <v>959000</v>
      </c>
      <c r="N1948" s="6">
        <f ca="1">IFERROR(__xludf.DUMMYFUNCTION("SUM(FILTER(J:J, H:H=""Chuyển khoản"")) - SUM(FILTER(K:K, H:H=""Chuyển khoản""))
"),4468984)</f>
        <v>4468984</v>
      </c>
      <c r="O1948" s="5"/>
      <c r="P1948" s="5"/>
      <c r="Q1948" s="5"/>
      <c r="R1948" s="5"/>
      <c r="S1948" s="5"/>
    </row>
    <row r="1949" spans="1:19" ht="15.75" customHeight="1" x14ac:dyDescent="0.2">
      <c r="A1949" s="3"/>
      <c r="B1949" s="4" t="str">
        <f>IF(A1949="","","PC-"&amp;TEXT(A1949,"mm/yyyy")&amp;"-"&amp;TEXT(COUNTIFS($A$2:A1949,"&gt;="&amp;EOMONTH(A1949,-1)+1,$A$2:A1949,"&lt;="&amp;EOMONTH(A1949,0)),"000"))</f>
        <v/>
      </c>
      <c r="C1949" s="5"/>
      <c r="D1949" s="5"/>
      <c r="E1949" s="5"/>
      <c r="F1949" s="5"/>
      <c r="G1949" s="5"/>
      <c r="H1949" s="5"/>
      <c r="I1949" s="6"/>
      <c r="J1949" s="6">
        <f>IF(D1949="Thu",I1949,0)</f>
        <v>0</v>
      </c>
      <c r="K1949" s="6">
        <f>IF(D1949="Chi",I1949,0)</f>
        <v>0</v>
      </c>
      <c r="L1949" s="6">
        <f>L1948+J1949-K1949</f>
        <v>8050118</v>
      </c>
      <c r="M1949" s="6">
        <f ca="1">IFERROR(__xludf.DUMMYFUNCTION("SUM(FILTER(J:J, H:H=""Tiền mặt"")) - SUM(FILTER(K:K, H:H=""Tiền mặt""))
"),959000)</f>
        <v>959000</v>
      </c>
      <c r="N1949" s="6">
        <f ca="1">IFERROR(__xludf.DUMMYFUNCTION("SUM(FILTER(J:J, H:H=""Chuyển khoản"")) - SUM(FILTER(K:K, H:H=""Chuyển khoản""))
"),4468984)</f>
        <v>4468984</v>
      </c>
      <c r="O1949" s="5"/>
      <c r="P1949" s="5"/>
      <c r="Q1949" s="5"/>
      <c r="R1949" s="5"/>
      <c r="S1949" s="5"/>
    </row>
    <row r="1950" spans="1:19" ht="15.75" customHeight="1" x14ac:dyDescent="0.2">
      <c r="A1950" s="3"/>
      <c r="B1950" s="4" t="str">
        <f>IF(A1950="","","PC-"&amp;TEXT(A1950,"mm/yyyy")&amp;"-"&amp;TEXT(COUNTIFS($A$2:A1950,"&gt;="&amp;EOMONTH(A1950,-1)+1,$A$2:A1950,"&lt;="&amp;EOMONTH(A1950,0)),"000"))</f>
        <v/>
      </c>
      <c r="C1950" s="5"/>
      <c r="D1950" s="5"/>
      <c r="E1950" s="5"/>
      <c r="F1950" s="5"/>
      <c r="G1950" s="5"/>
      <c r="H1950" s="5"/>
      <c r="I1950" s="6"/>
      <c r="J1950" s="6">
        <f>IF(D1950="Thu",I1950,0)</f>
        <v>0</v>
      </c>
      <c r="K1950" s="6">
        <f>IF(D1950="Chi",I1950,0)</f>
        <v>0</v>
      </c>
      <c r="L1950" s="6">
        <f>L1949+J1950-K1950</f>
        <v>8050118</v>
      </c>
      <c r="M1950" s="6">
        <f ca="1">IFERROR(__xludf.DUMMYFUNCTION("SUM(FILTER(J:J, H:H=""Tiền mặt"")) - SUM(FILTER(K:K, H:H=""Tiền mặt""))
"),959000)</f>
        <v>959000</v>
      </c>
      <c r="N1950" s="6">
        <f ca="1">IFERROR(__xludf.DUMMYFUNCTION("SUM(FILTER(J:J, H:H=""Chuyển khoản"")) - SUM(FILTER(K:K, H:H=""Chuyển khoản""))
"),4468984)</f>
        <v>4468984</v>
      </c>
      <c r="O1950" s="5"/>
      <c r="P1950" s="5"/>
      <c r="Q1950" s="5"/>
      <c r="R1950" s="5"/>
      <c r="S1950" s="5"/>
    </row>
    <row r="1951" spans="1:19" ht="15.75" customHeight="1" x14ac:dyDescent="0.2">
      <c r="A1951" s="3"/>
      <c r="B1951" s="4" t="str">
        <f>IF(A1951="","","PC-"&amp;TEXT(A1951,"mm/yyyy")&amp;"-"&amp;TEXT(COUNTIFS($A$2:A1951,"&gt;="&amp;EOMONTH(A1951,-1)+1,$A$2:A1951,"&lt;="&amp;EOMONTH(A1951,0)),"000"))</f>
        <v/>
      </c>
      <c r="C1951" s="5"/>
      <c r="D1951" s="5"/>
      <c r="E1951" s="5"/>
      <c r="F1951" s="5"/>
      <c r="G1951" s="5"/>
      <c r="H1951" s="5"/>
      <c r="I1951" s="6"/>
      <c r="J1951" s="6">
        <f>IF(D1951="Thu",I1951,0)</f>
        <v>0</v>
      </c>
      <c r="K1951" s="6">
        <f>IF(D1951="Chi",I1951,0)</f>
        <v>0</v>
      </c>
      <c r="L1951" s="6">
        <f>L1950+J1951-K1951</f>
        <v>8050118</v>
      </c>
      <c r="M1951" s="6">
        <f ca="1">IFERROR(__xludf.DUMMYFUNCTION("SUM(FILTER(J:J, H:H=""Tiền mặt"")) - SUM(FILTER(K:K, H:H=""Tiền mặt""))
"),959000)</f>
        <v>959000</v>
      </c>
      <c r="N1951" s="6">
        <f ca="1">IFERROR(__xludf.DUMMYFUNCTION("SUM(FILTER(J:J, H:H=""Chuyển khoản"")) - SUM(FILTER(K:K, H:H=""Chuyển khoản""))
"),4468984)</f>
        <v>4468984</v>
      </c>
      <c r="O1951" s="5"/>
      <c r="P1951" s="5"/>
      <c r="Q1951" s="5"/>
      <c r="R1951" s="5"/>
      <c r="S1951" s="5"/>
    </row>
    <row r="1952" spans="1:19" ht="15.75" customHeight="1" x14ac:dyDescent="0.2">
      <c r="A1952" s="3"/>
      <c r="B1952" s="4" t="str">
        <f>IF(A1952="","","PC-"&amp;TEXT(A1952,"mm/yyyy")&amp;"-"&amp;TEXT(COUNTIFS($A$2:A1952,"&gt;="&amp;EOMONTH(A1952,-1)+1,$A$2:A1952,"&lt;="&amp;EOMONTH(A1952,0)),"000"))</f>
        <v/>
      </c>
      <c r="C1952" s="5"/>
      <c r="D1952" s="5"/>
      <c r="E1952" s="5"/>
      <c r="F1952" s="5"/>
      <c r="G1952" s="5"/>
      <c r="H1952" s="5"/>
      <c r="I1952" s="6"/>
      <c r="J1952" s="6">
        <f>IF(D1952="Thu",I1952,0)</f>
        <v>0</v>
      </c>
      <c r="K1952" s="6">
        <f>IF(D1952="Chi",I1952,0)</f>
        <v>0</v>
      </c>
      <c r="L1952" s="6">
        <f>L1951+J1952-K1952</f>
        <v>8050118</v>
      </c>
      <c r="M1952" s="6">
        <f ca="1">IFERROR(__xludf.DUMMYFUNCTION("SUM(FILTER(J:J, H:H=""Tiền mặt"")) - SUM(FILTER(K:K, H:H=""Tiền mặt""))
"),959000)</f>
        <v>959000</v>
      </c>
      <c r="N1952" s="6">
        <f ca="1">IFERROR(__xludf.DUMMYFUNCTION("SUM(FILTER(J:J, H:H=""Chuyển khoản"")) - SUM(FILTER(K:K, H:H=""Chuyển khoản""))
"),4468984)</f>
        <v>4468984</v>
      </c>
      <c r="O1952" s="5"/>
      <c r="P1952" s="5"/>
      <c r="Q1952" s="5"/>
      <c r="R1952" s="5"/>
      <c r="S1952" s="5"/>
    </row>
    <row r="1953" spans="1:19" ht="15.75" customHeight="1" x14ac:dyDescent="0.2">
      <c r="A1953" s="3"/>
      <c r="B1953" s="4" t="str">
        <f>IF(A1953="","","PC-"&amp;TEXT(A1953,"mm/yyyy")&amp;"-"&amp;TEXT(COUNTIFS($A$2:A1953,"&gt;="&amp;EOMONTH(A1953,-1)+1,$A$2:A1953,"&lt;="&amp;EOMONTH(A1953,0)),"000"))</f>
        <v/>
      </c>
      <c r="C1953" s="5"/>
      <c r="D1953" s="5"/>
      <c r="E1953" s="5"/>
      <c r="F1953" s="5"/>
      <c r="G1953" s="5"/>
      <c r="H1953" s="5"/>
      <c r="I1953" s="6"/>
      <c r="J1953" s="6">
        <f>IF(D1953="Thu",I1953,0)</f>
        <v>0</v>
      </c>
      <c r="K1953" s="6">
        <f>IF(D1953="Chi",I1953,0)</f>
        <v>0</v>
      </c>
      <c r="L1953" s="6">
        <f>L1952+J1953-K1953</f>
        <v>8050118</v>
      </c>
      <c r="M1953" s="6">
        <f ca="1">IFERROR(__xludf.DUMMYFUNCTION("SUM(FILTER(J:J, H:H=""Tiền mặt"")) - SUM(FILTER(K:K, H:H=""Tiền mặt""))
"),959000)</f>
        <v>959000</v>
      </c>
      <c r="N1953" s="6">
        <f ca="1">IFERROR(__xludf.DUMMYFUNCTION("SUM(FILTER(J:J, H:H=""Chuyển khoản"")) - SUM(FILTER(K:K, H:H=""Chuyển khoản""))
"),4468984)</f>
        <v>4468984</v>
      </c>
      <c r="O1953" s="5"/>
      <c r="P1953" s="5"/>
      <c r="Q1953" s="5"/>
      <c r="R1953" s="5"/>
      <c r="S1953" s="5"/>
    </row>
    <row r="1954" spans="1:19" ht="15.75" customHeight="1" x14ac:dyDescent="0.2">
      <c r="A1954" s="3"/>
      <c r="B1954" s="4" t="str">
        <f>IF(A1954="","","PC-"&amp;TEXT(A1954,"mm/yyyy")&amp;"-"&amp;TEXT(COUNTIFS($A$2:A1954,"&gt;="&amp;EOMONTH(A1954,-1)+1,$A$2:A1954,"&lt;="&amp;EOMONTH(A1954,0)),"000"))</f>
        <v/>
      </c>
      <c r="C1954" s="5"/>
      <c r="D1954" s="5"/>
      <c r="E1954" s="5"/>
      <c r="F1954" s="5"/>
      <c r="G1954" s="5"/>
      <c r="H1954" s="5"/>
      <c r="I1954" s="6"/>
      <c r="J1954" s="6">
        <f>IF(D1954="Thu",I1954,0)</f>
        <v>0</v>
      </c>
      <c r="K1954" s="6">
        <f>IF(D1954="Chi",I1954,0)</f>
        <v>0</v>
      </c>
      <c r="L1954" s="6">
        <f>L1953+J1954-K1954</f>
        <v>8050118</v>
      </c>
      <c r="M1954" s="6">
        <f ca="1">IFERROR(__xludf.DUMMYFUNCTION("SUM(FILTER(J:J, H:H=""Tiền mặt"")) - SUM(FILTER(K:K, H:H=""Tiền mặt""))
"),959000)</f>
        <v>959000</v>
      </c>
      <c r="N1954" s="6">
        <f ca="1">IFERROR(__xludf.DUMMYFUNCTION("SUM(FILTER(J:J, H:H=""Chuyển khoản"")) - SUM(FILTER(K:K, H:H=""Chuyển khoản""))
"),4468984)</f>
        <v>4468984</v>
      </c>
      <c r="O1954" s="5"/>
      <c r="P1954" s="5"/>
      <c r="Q1954" s="5"/>
      <c r="R1954" s="5"/>
      <c r="S1954" s="5"/>
    </row>
    <row r="1955" spans="1:19" ht="15.75" customHeight="1" x14ac:dyDescent="0.2">
      <c r="A1955" s="3"/>
      <c r="B1955" s="4" t="str">
        <f>IF(A1955="","","PC-"&amp;TEXT(A1955,"mm/yyyy")&amp;"-"&amp;TEXT(COUNTIFS($A$2:A1955,"&gt;="&amp;EOMONTH(A1955,-1)+1,$A$2:A1955,"&lt;="&amp;EOMONTH(A1955,0)),"000"))</f>
        <v/>
      </c>
      <c r="C1955" s="5"/>
      <c r="D1955" s="5"/>
      <c r="E1955" s="5"/>
      <c r="F1955" s="5"/>
      <c r="G1955" s="5"/>
      <c r="H1955" s="5"/>
      <c r="I1955" s="6"/>
      <c r="J1955" s="6">
        <f>IF(D1955="Thu",I1955,0)</f>
        <v>0</v>
      </c>
      <c r="K1955" s="6">
        <f>IF(D1955="Chi",I1955,0)</f>
        <v>0</v>
      </c>
      <c r="L1955" s="6">
        <f>L1954+J1955-K1955</f>
        <v>8050118</v>
      </c>
      <c r="M1955" s="6">
        <f ca="1">IFERROR(__xludf.DUMMYFUNCTION("SUM(FILTER(J:J, H:H=""Tiền mặt"")) - SUM(FILTER(K:K, H:H=""Tiền mặt""))
"),959000)</f>
        <v>959000</v>
      </c>
      <c r="N1955" s="6">
        <f ca="1">IFERROR(__xludf.DUMMYFUNCTION("SUM(FILTER(J:J, H:H=""Chuyển khoản"")) - SUM(FILTER(K:K, H:H=""Chuyển khoản""))
"),4468984)</f>
        <v>4468984</v>
      </c>
      <c r="O1955" s="5"/>
      <c r="P1955" s="5"/>
      <c r="Q1955" s="5"/>
      <c r="R1955" s="5"/>
      <c r="S1955" s="5"/>
    </row>
    <row r="1956" spans="1:19" ht="15.75" customHeight="1" x14ac:dyDescent="0.2">
      <c r="A1956" s="3"/>
      <c r="B1956" s="4" t="str">
        <f>IF(A1956="","","PC-"&amp;TEXT(A1956,"mm/yyyy")&amp;"-"&amp;TEXT(COUNTIFS($A$2:A1956,"&gt;="&amp;EOMONTH(A1956,-1)+1,$A$2:A1956,"&lt;="&amp;EOMONTH(A1956,0)),"000"))</f>
        <v/>
      </c>
      <c r="C1956" s="5"/>
      <c r="D1956" s="5"/>
      <c r="E1956" s="5"/>
      <c r="F1956" s="5"/>
      <c r="G1956" s="5"/>
      <c r="H1956" s="5"/>
      <c r="I1956" s="6"/>
      <c r="J1956" s="6">
        <f>IF(D1956="Thu",I1956,0)</f>
        <v>0</v>
      </c>
      <c r="K1956" s="6">
        <f>IF(D1956="Chi",I1956,0)</f>
        <v>0</v>
      </c>
      <c r="L1956" s="6">
        <f>L1955+J1956-K1956</f>
        <v>8050118</v>
      </c>
      <c r="M1956" s="6">
        <f ca="1">IFERROR(__xludf.DUMMYFUNCTION("SUM(FILTER(J:J, H:H=""Tiền mặt"")) - SUM(FILTER(K:K, H:H=""Tiền mặt""))
"),959000)</f>
        <v>959000</v>
      </c>
      <c r="N1956" s="6">
        <f ca="1">IFERROR(__xludf.DUMMYFUNCTION("SUM(FILTER(J:J, H:H=""Chuyển khoản"")) - SUM(FILTER(K:K, H:H=""Chuyển khoản""))
"),4468984)</f>
        <v>4468984</v>
      </c>
      <c r="O1956" s="5"/>
      <c r="P1956" s="5"/>
      <c r="Q1956" s="5"/>
      <c r="R1956" s="5"/>
      <c r="S1956" s="5"/>
    </row>
    <row r="1957" spans="1:19" ht="15.75" customHeight="1" x14ac:dyDescent="0.2">
      <c r="A1957" s="3"/>
      <c r="B1957" s="4" t="str">
        <f>IF(A1957="","","PC-"&amp;TEXT(A1957,"mm/yyyy")&amp;"-"&amp;TEXT(COUNTIFS($A$2:A1957,"&gt;="&amp;EOMONTH(A1957,-1)+1,$A$2:A1957,"&lt;="&amp;EOMONTH(A1957,0)),"000"))</f>
        <v/>
      </c>
      <c r="C1957" s="5"/>
      <c r="D1957" s="5"/>
      <c r="E1957" s="5"/>
      <c r="F1957" s="5"/>
      <c r="G1957" s="5"/>
      <c r="H1957" s="5"/>
      <c r="I1957" s="6"/>
      <c r="J1957" s="6">
        <f>IF(D1957="Thu",I1957,0)</f>
        <v>0</v>
      </c>
      <c r="K1957" s="6">
        <f>IF(D1957="Chi",I1957,0)</f>
        <v>0</v>
      </c>
      <c r="L1957" s="6">
        <f>L1956+J1957-K1957</f>
        <v>8050118</v>
      </c>
      <c r="M1957" s="6">
        <f ca="1">IFERROR(__xludf.DUMMYFUNCTION("SUM(FILTER(J:J, H:H=""Tiền mặt"")) - SUM(FILTER(K:K, H:H=""Tiền mặt""))
"),959000)</f>
        <v>959000</v>
      </c>
      <c r="N1957" s="6">
        <f ca="1">IFERROR(__xludf.DUMMYFUNCTION("SUM(FILTER(J:J, H:H=""Chuyển khoản"")) - SUM(FILTER(K:K, H:H=""Chuyển khoản""))
"),4468984)</f>
        <v>4468984</v>
      </c>
      <c r="O1957" s="5"/>
      <c r="P1957" s="5"/>
      <c r="Q1957" s="5"/>
      <c r="R1957" s="5"/>
      <c r="S1957" s="5"/>
    </row>
    <row r="1958" spans="1:19" ht="15.75" customHeight="1" x14ac:dyDescent="0.2">
      <c r="A1958" s="3"/>
      <c r="B1958" s="4" t="str">
        <f>IF(A1958="","","PC-"&amp;TEXT(A1958,"mm/yyyy")&amp;"-"&amp;TEXT(COUNTIFS($A$2:A1958,"&gt;="&amp;EOMONTH(A1958,-1)+1,$A$2:A1958,"&lt;="&amp;EOMONTH(A1958,0)),"000"))</f>
        <v/>
      </c>
      <c r="C1958" s="5"/>
      <c r="D1958" s="5"/>
      <c r="E1958" s="5"/>
      <c r="F1958" s="5"/>
      <c r="G1958" s="5"/>
      <c r="H1958" s="5"/>
      <c r="I1958" s="6"/>
      <c r="J1958" s="6">
        <f>IF(D1958="Thu",I1958,0)</f>
        <v>0</v>
      </c>
      <c r="K1958" s="6">
        <f>IF(D1958="Chi",I1958,0)</f>
        <v>0</v>
      </c>
      <c r="L1958" s="6">
        <f>L1957+J1958-K1958</f>
        <v>8050118</v>
      </c>
      <c r="M1958" s="6">
        <f ca="1">IFERROR(__xludf.DUMMYFUNCTION("SUM(FILTER(J:J, H:H=""Tiền mặt"")) - SUM(FILTER(K:K, H:H=""Tiền mặt""))
"),959000)</f>
        <v>959000</v>
      </c>
      <c r="N1958" s="6">
        <f ca="1">IFERROR(__xludf.DUMMYFUNCTION("SUM(FILTER(J:J, H:H=""Chuyển khoản"")) - SUM(FILTER(K:K, H:H=""Chuyển khoản""))
"),4468984)</f>
        <v>4468984</v>
      </c>
      <c r="O1958" s="5"/>
      <c r="P1958" s="5"/>
      <c r="Q1958" s="5"/>
      <c r="R1958" s="5"/>
      <c r="S1958" s="5"/>
    </row>
    <row r="1959" spans="1:19" ht="15.75" customHeight="1" x14ac:dyDescent="0.2">
      <c r="A1959" s="3"/>
      <c r="B1959" s="4" t="str">
        <f>IF(A1959="","","PC-"&amp;TEXT(A1959,"mm/yyyy")&amp;"-"&amp;TEXT(COUNTIFS($A$2:A1959,"&gt;="&amp;EOMONTH(A1959,-1)+1,$A$2:A1959,"&lt;="&amp;EOMONTH(A1959,0)),"000"))</f>
        <v/>
      </c>
      <c r="C1959" s="5"/>
      <c r="D1959" s="5"/>
      <c r="E1959" s="5"/>
      <c r="F1959" s="5"/>
      <c r="G1959" s="5"/>
      <c r="H1959" s="5"/>
      <c r="I1959" s="6"/>
      <c r="J1959" s="6">
        <f>IF(D1959="Thu",I1959,0)</f>
        <v>0</v>
      </c>
      <c r="K1959" s="6">
        <f>IF(D1959="Chi",I1959,0)</f>
        <v>0</v>
      </c>
      <c r="L1959" s="6">
        <f>L1958+J1959-K1959</f>
        <v>8050118</v>
      </c>
      <c r="M1959" s="6">
        <f ca="1">IFERROR(__xludf.DUMMYFUNCTION("SUM(FILTER(J:J, H:H=""Tiền mặt"")) - SUM(FILTER(K:K, H:H=""Tiền mặt""))
"),959000)</f>
        <v>959000</v>
      </c>
      <c r="N1959" s="6">
        <f ca="1">IFERROR(__xludf.DUMMYFUNCTION("SUM(FILTER(J:J, H:H=""Chuyển khoản"")) - SUM(FILTER(K:K, H:H=""Chuyển khoản""))
"),4468984)</f>
        <v>4468984</v>
      </c>
      <c r="O1959" s="5"/>
      <c r="P1959" s="5"/>
      <c r="Q1959" s="5"/>
      <c r="R1959" s="5"/>
      <c r="S1959" s="5"/>
    </row>
    <row r="1960" spans="1:19" ht="15.75" customHeight="1" x14ac:dyDescent="0.2">
      <c r="A1960" s="3"/>
      <c r="B1960" s="4" t="str">
        <f>IF(A1960="","","PC-"&amp;TEXT(A1960,"mm/yyyy")&amp;"-"&amp;TEXT(COUNTIFS($A$2:A1960,"&gt;="&amp;EOMONTH(A1960,-1)+1,$A$2:A1960,"&lt;="&amp;EOMONTH(A1960,0)),"000"))</f>
        <v/>
      </c>
      <c r="C1960" s="5"/>
      <c r="D1960" s="5"/>
      <c r="E1960" s="5"/>
      <c r="F1960" s="5"/>
      <c r="G1960" s="5"/>
      <c r="H1960" s="5"/>
      <c r="I1960" s="6"/>
      <c r="J1960" s="6">
        <f>IF(D1960="Thu",I1960,0)</f>
        <v>0</v>
      </c>
      <c r="K1960" s="6">
        <f>IF(D1960="Chi",I1960,0)</f>
        <v>0</v>
      </c>
      <c r="L1960" s="6">
        <f>L1959+J1960-K1960</f>
        <v>8050118</v>
      </c>
      <c r="M1960" s="6">
        <f ca="1">IFERROR(__xludf.DUMMYFUNCTION("SUM(FILTER(J:J, H:H=""Tiền mặt"")) - SUM(FILTER(K:K, H:H=""Tiền mặt""))
"),959000)</f>
        <v>959000</v>
      </c>
      <c r="N1960" s="6">
        <f ca="1">IFERROR(__xludf.DUMMYFUNCTION("SUM(FILTER(J:J, H:H=""Chuyển khoản"")) - SUM(FILTER(K:K, H:H=""Chuyển khoản""))
"),4468984)</f>
        <v>4468984</v>
      </c>
      <c r="O1960" s="5"/>
      <c r="P1960" s="5"/>
      <c r="Q1960" s="5"/>
      <c r="R1960" s="5"/>
      <c r="S1960" s="5"/>
    </row>
    <row r="1961" spans="1:19" ht="15.75" customHeight="1" x14ac:dyDescent="0.2">
      <c r="A1961" s="3"/>
      <c r="B1961" s="4" t="str">
        <f>IF(A1961="","","PC-"&amp;TEXT(A1961,"mm/yyyy")&amp;"-"&amp;TEXT(COUNTIFS($A$2:A1961,"&gt;="&amp;EOMONTH(A1961,-1)+1,$A$2:A1961,"&lt;="&amp;EOMONTH(A1961,0)),"000"))</f>
        <v/>
      </c>
      <c r="C1961" s="5"/>
      <c r="D1961" s="5"/>
      <c r="E1961" s="5"/>
      <c r="F1961" s="5"/>
      <c r="G1961" s="5"/>
      <c r="H1961" s="5"/>
      <c r="I1961" s="6"/>
      <c r="J1961" s="6">
        <f>IF(D1961="Thu",I1961,0)</f>
        <v>0</v>
      </c>
      <c r="K1961" s="6">
        <f>IF(D1961="Chi",I1961,0)</f>
        <v>0</v>
      </c>
      <c r="L1961" s="6">
        <f>L1960+J1961-K1961</f>
        <v>8050118</v>
      </c>
      <c r="M1961" s="6">
        <f ca="1">IFERROR(__xludf.DUMMYFUNCTION("SUM(FILTER(J:J, H:H=""Tiền mặt"")) - SUM(FILTER(K:K, H:H=""Tiền mặt""))
"),959000)</f>
        <v>959000</v>
      </c>
      <c r="N1961" s="6">
        <f ca="1">IFERROR(__xludf.DUMMYFUNCTION("SUM(FILTER(J:J, H:H=""Chuyển khoản"")) - SUM(FILTER(K:K, H:H=""Chuyển khoản""))
"),4468984)</f>
        <v>4468984</v>
      </c>
      <c r="O1961" s="5"/>
      <c r="P1961" s="5"/>
      <c r="Q1961" s="5"/>
      <c r="R1961" s="5"/>
      <c r="S1961" s="5"/>
    </row>
    <row r="1962" spans="1:19" ht="15.75" customHeight="1" x14ac:dyDescent="0.2">
      <c r="A1962" s="3"/>
      <c r="B1962" s="4" t="str">
        <f>IF(A1962="","","PC-"&amp;TEXT(A1962,"mm/yyyy")&amp;"-"&amp;TEXT(COUNTIFS($A$2:A1962,"&gt;="&amp;EOMONTH(A1962,-1)+1,$A$2:A1962,"&lt;="&amp;EOMONTH(A1962,0)),"000"))</f>
        <v/>
      </c>
      <c r="C1962" s="5"/>
      <c r="D1962" s="5"/>
      <c r="E1962" s="5"/>
      <c r="F1962" s="5"/>
      <c r="G1962" s="5"/>
      <c r="H1962" s="5"/>
      <c r="I1962" s="6"/>
      <c r="J1962" s="6">
        <f>IF(D1962="Thu",I1962,0)</f>
        <v>0</v>
      </c>
      <c r="K1962" s="6">
        <f>IF(D1962="Chi",I1962,0)</f>
        <v>0</v>
      </c>
      <c r="L1962" s="6">
        <f>L1961+J1962-K1962</f>
        <v>8050118</v>
      </c>
      <c r="M1962" s="6">
        <f ca="1">IFERROR(__xludf.DUMMYFUNCTION("SUM(FILTER(J:J, H:H=""Tiền mặt"")) - SUM(FILTER(K:K, H:H=""Tiền mặt""))
"),959000)</f>
        <v>959000</v>
      </c>
      <c r="N1962" s="6">
        <f ca="1">IFERROR(__xludf.DUMMYFUNCTION("SUM(FILTER(J:J, H:H=""Chuyển khoản"")) - SUM(FILTER(K:K, H:H=""Chuyển khoản""))
"),4468984)</f>
        <v>4468984</v>
      </c>
      <c r="O1962" s="5"/>
      <c r="P1962" s="5"/>
      <c r="Q1962" s="5"/>
      <c r="R1962" s="5"/>
      <c r="S1962" s="5"/>
    </row>
    <row r="1963" spans="1:19" ht="15.75" customHeight="1" x14ac:dyDescent="0.2">
      <c r="A1963" s="3"/>
      <c r="B1963" s="4" t="str">
        <f>IF(A1963="","","PC-"&amp;TEXT(A1963,"mm/yyyy")&amp;"-"&amp;TEXT(COUNTIFS($A$2:A1963,"&gt;="&amp;EOMONTH(A1963,-1)+1,$A$2:A1963,"&lt;="&amp;EOMONTH(A1963,0)),"000"))</f>
        <v/>
      </c>
      <c r="C1963" s="5"/>
      <c r="D1963" s="5"/>
      <c r="E1963" s="5"/>
      <c r="F1963" s="5"/>
      <c r="G1963" s="5"/>
      <c r="H1963" s="5"/>
      <c r="I1963" s="6"/>
      <c r="J1963" s="6">
        <f>IF(D1963="Thu",I1963,0)</f>
        <v>0</v>
      </c>
      <c r="K1963" s="6">
        <f>IF(D1963="Chi",I1963,0)</f>
        <v>0</v>
      </c>
      <c r="L1963" s="6">
        <f>L1962+J1963-K1963</f>
        <v>8050118</v>
      </c>
      <c r="M1963" s="6">
        <f ca="1">IFERROR(__xludf.DUMMYFUNCTION("SUM(FILTER(J:J, H:H=""Tiền mặt"")) - SUM(FILTER(K:K, H:H=""Tiền mặt""))
"),959000)</f>
        <v>959000</v>
      </c>
      <c r="N1963" s="6">
        <f ca="1">IFERROR(__xludf.DUMMYFUNCTION("SUM(FILTER(J:J, H:H=""Chuyển khoản"")) - SUM(FILTER(K:K, H:H=""Chuyển khoản""))
"),4468984)</f>
        <v>4468984</v>
      </c>
      <c r="O1963" s="5"/>
      <c r="P1963" s="5"/>
      <c r="Q1963" s="5"/>
      <c r="R1963" s="5"/>
      <c r="S1963" s="5"/>
    </row>
    <row r="1964" spans="1:19" ht="15.75" customHeight="1" x14ac:dyDescent="0.2">
      <c r="A1964" s="3"/>
      <c r="B1964" s="4" t="str">
        <f>IF(A1964="","","PC-"&amp;TEXT(A1964,"mm/yyyy")&amp;"-"&amp;TEXT(COUNTIFS($A$2:A1964,"&gt;="&amp;EOMONTH(A1964,-1)+1,$A$2:A1964,"&lt;="&amp;EOMONTH(A1964,0)),"000"))</f>
        <v/>
      </c>
      <c r="C1964" s="5"/>
      <c r="D1964" s="5"/>
      <c r="E1964" s="5"/>
      <c r="F1964" s="5"/>
      <c r="G1964" s="5"/>
      <c r="H1964" s="5"/>
      <c r="I1964" s="6"/>
      <c r="J1964" s="6">
        <f>IF(D1964="Thu",I1964,0)</f>
        <v>0</v>
      </c>
      <c r="K1964" s="6">
        <f>IF(D1964="Chi",I1964,0)</f>
        <v>0</v>
      </c>
      <c r="L1964" s="6">
        <f>L1963+J1964-K1964</f>
        <v>8050118</v>
      </c>
      <c r="M1964" s="6">
        <f ca="1">IFERROR(__xludf.DUMMYFUNCTION("SUM(FILTER(J:J, H:H=""Tiền mặt"")) - SUM(FILTER(K:K, H:H=""Tiền mặt""))
"),959000)</f>
        <v>959000</v>
      </c>
      <c r="N1964" s="6">
        <f ca="1">IFERROR(__xludf.DUMMYFUNCTION("SUM(FILTER(J:J, H:H=""Chuyển khoản"")) - SUM(FILTER(K:K, H:H=""Chuyển khoản""))
"),4468984)</f>
        <v>4468984</v>
      </c>
      <c r="O1964" s="5"/>
      <c r="P1964" s="5"/>
      <c r="Q1964" s="5"/>
      <c r="R1964" s="5"/>
      <c r="S1964" s="5"/>
    </row>
    <row r="1965" spans="1:19" ht="15.75" customHeight="1" x14ac:dyDescent="0.2">
      <c r="A1965" s="3"/>
      <c r="B1965" s="4" t="str">
        <f>IF(A1965="","","PC-"&amp;TEXT(A1965,"mm/yyyy")&amp;"-"&amp;TEXT(COUNTIFS($A$2:A1965,"&gt;="&amp;EOMONTH(A1965,-1)+1,$A$2:A1965,"&lt;="&amp;EOMONTH(A1965,0)),"000"))</f>
        <v/>
      </c>
      <c r="C1965" s="5"/>
      <c r="D1965" s="5"/>
      <c r="E1965" s="5"/>
      <c r="F1965" s="5"/>
      <c r="G1965" s="5"/>
      <c r="H1965" s="5"/>
      <c r="I1965" s="6"/>
      <c r="J1965" s="6">
        <f>IF(D1965="Thu",I1965,0)</f>
        <v>0</v>
      </c>
      <c r="K1965" s="6">
        <f>IF(D1965="Chi",I1965,0)</f>
        <v>0</v>
      </c>
      <c r="L1965" s="6">
        <f>L1964+J1965-K1965</f>
        <v>8050118</v>
      </c>
      <c r="M1965" s="6">
        <f ca="1">IFERROR(__xludf.DUMMYFUNCTION("SUM(FILTER(J:J, H:H=""Tiền mặt"")) - SUM(FILTER(K:K, H:H=""Tiền mặt""))
"),959000)</f>
        <v>959000</v>
      </c>
      <c r="N1965" s="6">
        <f ca="1">IFERROR(__xludf.DUMMYFUNCTION("SUM(FILTER(J:J, H:H=""Chuyển khoản"")) - SUM(FILTER(K:K, H:H=""Chuyển khoản""))
"),4468984)</f>
        <v>4468984</v>
      </c>
      <c r="O1965" s="5"/>
      <c r="P1965" s="5"/>
      <c r="Q1965" s="5"/>
      <c r="R1965" s="5"/>
      <c r="S1965" s="5"/>
    </row>
    <row r="1966" spans="1:19" ht="15.75" customHeight="1" x14ac:dyDescent="0.2">
      <c r="A1966" s="3"/>
      <c r="B1966" s="4" t="str">
        <f>IF(A1966="","","PC-"&amp;TEXT(A1966,"mm/yyyy")&amp;"-"&amp;TEXT(COUNTIFS($A$2:A1966,"&gt;="&amp;EOMONTH(A1966,-1)+1,$A$2:A1966,"&lt;="&amp;EOMONTH(A1966,0)),"000"))</f>
        <v/>
      </c>
      <c r="C1966" s="5"/>
      <c r="D1966" s="5"/>
      <c r="E1966" s="5"/>
      <c r="F1966" s="5"/>
      <c r="G1966" s="5"/>
      <c r="H1966" s="5"/>
      <c r="I1966" s="6"/>
      <c r="J1966" s="6">
        <f>IF(D1966="Thu",I1966,0)</f>
        <v>0</v>
      </c>
      <c r="K1966" s="6">
        <f>IF(D1966="Chi",I1966,0)</f>
        <v>0</v>
      </c>
      <c r="L1966" s="6">
        <f>L1965+J1966-K1966</f>
        <v>8050118</v>
      </c>
      <c r="M1966" s="6">
        <f ca="1">IFERROR(__xludf.DUMMYFUNCTION("SUM(FILTER(J:J, H:H=""Tiền mặt"")) - SUM(FILTER(K:K, H:H=""Tiền mặt""))
"),959000)</f>
        <v>959000</v>
      </c>
      <c r="N1966" s="6">
        <f ca="1">IFERROR(__xludf.DUMMYFUNCTION("SUM(FILTER(J:J, H:H=""Chuyển khoản"")) - SUM(FILTER(K:K, H:H=""Chuyển khoản""))
"),4468984)</f>
        <v>4468984</v>
      </c>
      <c r="O1966" s="5"/>
      <c r="P1966" s="5"/>
      <c r="Q1966" s="5"/>
      <c r="R1966" s="5"/>
      <c r="S1966" s="5"/>
    </row>
    <row r="1967" spans="1:19" ht="15.75" customHeight="1" x14ac:dyDescent="0.2">
      <c r="A1967" s="3"/>
      <c r="B1967" s="4" t="str">
        <f>IF(A1967="","","PC-"&amp;TEXT(A1967,"mm/yyyy")&amp;"-"&amp;TEXT(COUNTIFS($A$2:A1967,"&gt;="&amp;EOMONTH(A1967,-1)+1,$A$2:A1967,"&lt;="&amp;EOMONTH(A1967,0)),"000"))</f>
        <v/>
      </c>
      <c r="C1967" s="5"/>
      <c r="D1967" s="5"/>
      <c r="E1967" s="5"/>
      <c r="F1967" s="5"/>
      <c r="G1967" s="5"/>
      <c r="H1967" s="5"/>
      <c r="I1967" s="6"/>
      <c r="J1967" s="6">
        <f>IF(D1967="Thu",I1967,0)</f>
        <v>0</v>
      </c>
      <c r="K1967" s="6">
        <f>IF(D1967="Chi",I1967,0)</f>
        <v>0</v>
      </c>
      <c r="L1967" s="6">
        <f>L1966+J1967-K1967</f>
        <v>8050118</v>
      </c>
      <c r="M1967" s="6">
        <f ca="1">IFERROR(__xludf.DUMMYFUNCTION("SUM(FILTER(J:J, H:H=""Tiền mặt"")) - SUM(FILTER(K:K, H:H=""Tiền mặt""))
"),959000)</f>
        <v>959000</v>
      </c>
      <c r="N1967" s="6">
        <f ca="1">IFERROR(__xludf.DUMMYFUNCTION("SUM(FILTER(J:J, H:H=""Chuyển khoản"")) - SUM(FILTER(K:K, H:H=""Chuyển khoản""))
"),4468984)</f>
        <v>4468984</v>
      </c>
      <c r="O1967" s="5"/>
      <c r="P1967" s="5"/>
      <c r="Q1967" s="5"/>
      <c r="R1967" s="5"/>
      <c r="S1967" s="5"/>
    </row>
    <row r="1968" spans="1:19" ht="15.75" customHeight="1" x14ac:dyDescent="0.2">
      <c r="A1968" s="3"/>
      <c r="B1968" s="4" t="str">
        <f>IF(A1968="","","PC-"&amp;TEXT(A1968,"mm/yyyy")&amp;"-"&amp;TEXT(COUNTIFS($A$2:A1968,"&gt;="&amp;EOMONTH(A1968,-1)+1,$A$2:A1968,"&lt;="&amp;EOMONTH(A1968,0)),"000"))</f>
        <v/>
      </c>
      <c r="C1968" s="5"/>
      <c r="D1968" s="5"/>
      <c r="E1968" s="5"/>
      <c r="F1968" s="5"/>
      <c r="G1968" s="5"/>
      <c r="H1968" s="5"/>
      <c r="I1968" s="6"/>
      <c r="J1968" s="6">
        <f>IF(D1968="Thu",I1968,0)</f>
        <v>0</v>
      </c>
      <c r="K1968" s="6">
        <f>IF(D1968="Chi",I1968,0)</f>
        <v>0</v>
      </c>
      <c r="L1968" s="6">
        <f>L1967+J1968-K1968</f>
        <v>8050118</v>
      </c>
      <c r="M1968" s="6">
        <f ca="1">IFERROR(__xludf.DUMMYFUNCTION("SUM(FILTER(J:J, H:H=""Tiền mặt"")) - SUM(FILTER(K:K, H:H=""Tiền mặt""))
"),959000)</f>
        <v>959000</v>
      </c>
      <c r="N1968" s="6">
        <f ca="1">IFERROR(__xludf.DUMMYFUNCTION("SUM(FILTER(J:J, H:H=""Chuyển khoản"")) - SUM(FILTER(K:K, H:H=""Chuyển khoản""))
"),4468984)</f>
        <v>4468984</v>
      </c>
      <c r="O1968" s="5"/>
      <c r="P1968" s="5"/>
      <c r="Q1968" s="5"/>
      <c r="R1968" s="5"/>
      <c r="S1968" s="5"/>
    </row>
    <row r="1969" spans="1:19" ht="15.75" customHeight="1" x14ac:dyDescent="0.2">
      <c r="A1969" s="3"/>
      <c r="B1969" s="4" t="str">
        <f>IF(A1969="","","PC-"&amp;TEXT(A1969,"mm/yyyy")&amp;"-"&amp;TEXT(COUNTIFS($A$2:A1969,"&gt;="&amp;EOMONTH(A1969,-1)+1,$A$2:A1969,"&lt;="&amp;EOMONTH(A1969,0)),"000"))</f>
        <v/>
      </c>
      <c r="C1969" s="5"/>
      <c r="D1969" s="5"/>
      <c r="E1969" s="5"/>
      <c r="F1969" s="5"/>
      <c r="G1969" s="5"/>
      <c r="H1969" s="5"/>
      <c r="I1969" s="6"/>
      <c r="J1969" s="6">
        <f>IF(D1969="Thu",I1969,0)</f>
        <v>0</v>
      </c>
      <c r="K1969" s="6">
        <f>IF(D1969="Chi",I1969,0)</f>
        <v>0</v>
      </c>
      <c r="L1969" s="6">
        <f>L1968+J1969-K1969</f>
        <v>8050118</v>
      </c>
      <c r="M1969" s="6">
        <f ca="1">IFERROR(__xludf.DUMMYFUNCTION("SUM(FILTER(J:J, H:H=""Tiền mặt"")) - SUM(FILTER(K:K, H:H=""Tiền mặt""))
"),959000)</f>
        <v>959000</v>
      </c>
      <c r="N1969" s="6">
        <f ca="1">IFERROR(__xludf.DUMMYFUNCTION("SUM(FILTER(J:J, H:H=""Chuyển khoản"")) - SUM(FILTER(K:K, H:H=""Chuyển khoản""))
"),4468984)</f>
        <v>4468984</v>
      </c>
      <c r="O1969" s="5"/>
      <c r="P1969" s="5"/>
      <c r="Q1969" s="5"/>
      <c r="R1969" s="5"/>
      <c r="S1969" s="5"/>
    </row>
    <row r="1970" spans="1:19" ht="15.75" customHeight="1" x14ac:dyDescent="0.2">
      <c r="A1970" s="3"/>
      <c r="B1970" s="4" t="str">
        <f>IF(A1970="","","PC-"&amp;TEXT(A1970,"mm/yyyy")&amp;"-"&amp;TEXT(COUNTIFS($A$2:A1970,"&gt;="&amp;EOMONTH(A1970,-1)+1,$A$2:A1970,"&lt;="&amp;EOMONTH(A1970,0)),"000"))</f>
        <v/>
      </c>
      <c r="C1970" s="5"/>
      <c r="D1970" s="5"/>
      <c r="E1970" s="5"/>
      <c r="F1970" s="5"/>
      <c r="G1970" s="5"/>
      <c r="H1970" s="5"/>
      <c r="I1970" s="6"/>
      <c r="J1970" s="6">
        <f>IF(D1970="Thu",I1970,0)</f>
        <v>0</v>
      </c>
      <c r="K1970" s="6">
        <f>IF(D1970="Chi",I1970,0)</f>
        <v>0</v>
      </c>
      <c r="L1970" s="6">
        <f>L1969+J1970-K1970</f>
        <v>8050118</v>
      </c>
      <c r="M1970" s="6">
        <f ca="1">IFERROR(__xludf.DUMMYFUNCTION("SUM(FILTER(J:J, H:H=""Tiền mặt"")) - SUM(FILTER(K:K, H:H=""Tiền mặt""))
"),959000)</f>
        <v>959000</v>
      </c>
      <c r="N1970" s="6">
        <f ca="1">IFERROR(__xludf.DUMMYFUNCTION("SUM(FILTER(J:J, H:H=""Chuyển khoản"")) - SUM(FILTER(K:K, H:H=""Chuyển khoản""))
"),4468984)</f>
        <v>4468984</v>
      </c>
      <c r="O1970" s="5"/>
      <c r="P1970" s="5"/>
      <c r="Q1970" s="5"/>
      <c r="R1970" s="5"/>
      <c r="S1970" s="5"/>
    </row>
    <row r="1971" spans="1:19" ht="15.75" customHeight="1" x14ac:dyDescent="0.2">
      <c r="A1971" s="3"/>
      <c r="B1971" s="4" t="str">
        <f>IF(A1971="","","PC-"&amp;TEXT(A1971,"mm/yyyy")&amp;"-"&amp;TEXT(COUNTIFS($A$2:A1971,"&gt;="&amp;EOMONTH(A1971,-1)+1,$A$2:A1971,"&lt;="&amp;EOMONTH(A1971,0)),"000"))</f>
        <v/>
      </c>
      <c r="C1971" s="5"/>
      <c r="D1971" s="5"/>
      <c r="E1971" s="5"/>
      <c r="F1971" s="5"/>
      <c r="G1971" s="5"/>
      <c r="H1971" s="5"/>
      <c r="I1971" s="6"/>
      <c r="J1971" s="6">
        <f>IF(D1971="Thu",I1971,0)</f>
        <v>0</v>
      </c>
      <c r="K1971" s="6">
        <f>IF(D1971="Chi",I1971,0)</f>
        <v>0</v>
      </c>
      <c r="L1971" s="6">
        <f>L1970+J1971-K1971</f>
        <v>8050118</v>
      </c>
      <c r="M1971" s="6">
        <f ca="1">IFERROR(__xludf.DUMMYFUNCTION("SUM(FILTER(J:J, H:H=""Tiền mặt"")) - SUM(FILTER(K:K, H:H=""Tiền mặt""))
"),959000)</f>
        <v>959000</v>
      </c>
      <c r="N1971" s="6">
        <f ca="1">IFERROR(__xludf.DUMMYFUNCTION("SUM(FILTER(J:J, H:H=""Chuyển khoản"")) - SUM(FILTER(K:K, H:H=""Chuyển khoản""))
"),4468984)</f>
        <v>4468984</v>
      </c>
      <c r="O1971" s="5"/>
      <c r="P1971" s="5"/>
      <c r="Q1971" s="5"/>
      <c r="R1971" s="5"/>
      <c r="S1971" s="5"/>
    </row>
    <row r="1972" spans="1:19" ht="15.75" customHeight="1" x14ac:dyDescent="0.2">
      <c r="A1972" s="3"/>
      <c r="B1972" s="4" t="str">
        <f>IF(A1972="","","PC-"&amp;TEXT(A1972,"mm/yyyy")&amp;"-"&amp;TEXT(COUNTIFS($A$2:A1972,"&gt;="&amp;EOMONTH(A1972,-1)+1,$A$2:A1972,"&lt;="&amp;EOMONTH(A1972,0)),"000"))</f>
        <v/>
      </c>
      <c r="C1972" s="5"/>
      <c r="D1972" s="5"/>
      <c r="E1972" s="5"/>
      <c r="F1972" s="5"/>
      <c r="G1972" s="5"/>
      <c r="H1972" s="5"/>
      <c r="I1972" s="6"/>
      <c r="J1972" s="6">
        <f>IF(D1972="Thu",I1972,0)</f>
        <v>0</v>
      </c>
      <c r="K1972" s="6">
        <f>IF(D1972="Chi",I1972,0)</f>
        <v>0</v>
      </c>
      <c r="L1972" s="6">
        <f>L1971+J1972-K1972</f>
        <v>8050118</v>
      </c>
      <c r="M1972" s="6">
        <f ca="1">IFERROR(__xludf.DUMMYFUNCTION("SUM(FILTER(J:J, H:H=""Tiền mặt"")) - SUM(FILTER(K:K, H:H=""Tiền mặt""))
"),959000)</f>
        <v>959000</v>
      </c>
      <c r="N1972" s="6">
        <f ca="1">IFERROR(__xludf.DUMMYFUNCTION("SUM(FILTER(J:J, H:H=""Chuyển khoản"")) - SUM(FILTER(K:K, H:H=""Chuyển khoản""))
"),4468984)</f>
        <v>4468984</v>
      </c>
      <c r="O1972" s="5"/>
      <c r="P1972" s="5"/>
      <c r="Q1972" s="5"/>
      <c r="R1972" s="5"/>
      <c r="S1972" s="5"/>
    </row>
    <row r="1973" spans="1:19" ht="15.75" customHeight="1" x14ac:dyDescent="0.2">
      <c r="A1973" s="3"/>
      <c r="B1973" s="4" t="str">
        <f>IF(A1973="","","PC-"&amp;TEXT(A1973,"mm/yyyy")&amp;"-"&amp;TEXT(COUNTIFS($A$2:A1973,"&gt;="&amp;EOMONTH(A1973,-1)+1,$A$2:A1973,"&lt;="&amp;EOMONTH(A1973,0)),"000"))</f>
        <v/>
      </c>
      <c r="C1973" s="5"/>
      <c r="D1973" s="5"/>
      <c r="E1973" s="5"/>
      <c r="F1973" s="5"/>
      <c r="G1973" s="5"/>
      <c r="H1973" s="5"/>
      <c r="I1973" s="6"/>
      <c r="J1973" s="6">
        <f>IF(D1973="Thu",I1973,0)</f>
        <v>0</v>
      </c>
      <c r="K1973" s="6">
        <f>IF(D1973="Chi",I1973,0)</f>
        <v>0</v>
      </c>
      <c r="L1973" s="6">
        <f>L1972+J1973-K1973</f>
        <v>8050118</v>
      </c>
      <c r="M1973" s="6">
        <f ca="1">IFERROR(__xludf.DUMMYFUNCTION("SUM(FILTER(J:J, H:H=""Tiền mặt"")) - SUM(FILTER(K:K, H:H=""Tiền mặt""))
"),959000)</f>
        <v>959000</v>
      </c>
      <c r="N1973" s="6">
        <f ca="1">IFERROR(__xludf.DUMMYFUNCTION("SUM(FILTER(J:J, H:H=""Chuyển khoản"")) - SUM(FILTER(K:K, H:H=""Chuyển khoản""))
"),4468984)</f>
        <v>4468984</v>
      </c>
      <c r="O1973" s="5"/>
      <c r="P1973" s="5"/>
      <c r="Q1973" s="5"/>
      <c r="R1973" s="5"/>
      <c r="S1973" s="5"/>
    </row>
    <row r="1974" spans="1:19" ht="15.75" customHeight="1" x14ac:dyDescent="0.2">
      <c r="A1974" s="3"/>
      <c r="B1974" s="4" t="str">
        <f>IF(A1974="","","PC-"&amp;TEXT(A1974,"mm/yyyy")&amp;"-"&amp;TEXT(COUNTIFS($A$2:A1974,"&gt;="&amp;EOMONTH(A1974,-1)+1,$A$2:A1974,"&lt;="&amp;EOMONTH(A1974,0)),"000"))</f>
        <v/>
      </c>
      <c r="C1974" s="5"/>
      <c r="D1974" s="5"/>
      <c r="E1974" s="5"/>
      <c r="F1974" s="5"/>
      <c r="G1974" s="5"/>
      <c r="H1974" s="5"/>
      <c r="I1974" s="6"/>
      <c r="J1974" s="6">
        <f>IF(D1974="Thu",I1974,0)</f>
        <v>0</v>
      </c>
      <c r="K1974" s="6">
        <f>IF(D1974="Chi",I1974,0)</f>
        <v>0</v>
      </c>
      <c r="L1974" s="6">
        <f>L1973+J1974-K1974</f>
        <v>8050118</v>
      </c>
      <c r="M1974" s="6">
        <f ca="1">IFERROR(__xludf.DUMMYFUNCTION("SUM(FILTER(J:J, H:H=""Tiền mặt"")) - SUM(FILTER(K:K, H:H=""Tiền mặt""))
"),959000)</f>
        <v>959000</v>
      </c>
      <c r="N1974" s="6">
        <f ca="1">IFERROR(__xludf.DUMMYFUNCTION("SUM(FILTER(J:J, H:H=""Chuyển khoản"")) - SUM(FILTER(K:K, H:H=""Chuyển khoản""))
"),4468984)</f>
        <v>4468984</v>
      </c>
      <c r="O1974" s="5"/>
      <c r="P1974" s="5"/>
      <c r="Q1974" s="5"/>
      <c r="R1974" s="5"/>
      <c r="S1974" s="5"/>
    </row>
    <row r="1975" spans="1:19" ht="15.75" customHeight="1" x14ac:dyDescent="0.2">
      <c r="A1975" s="3"/>
      <c r="B1975" s="4" t="str">
        <f>IF(A1975="","","PC-"&amp;TEXT(A1975,"mm/yyyy")&amp;"-"&amp;TEXT(COUNTIFS($A$2:A1975,"&gt;="&amp;EOMONTH(A1975,-1)+1,$A$2:A1975,"&lt;="&amp;EOMONTH(A1975,0)),"000"))</f>
        <v/>
      </c>
      <c r="C1975" s="5"/>
      <c r="D1975" s="5"/>
      <c r="E1975" s="5"/>
      <c r="F1975" s="5"/>
      <c r="G1975" s="5"/>
      <c r="H1975" s="5"/>
      <c r="I1975" s="6"/>
      <c r="J1975" s="6">
        <f>IF(D1975="Thu",I1975,0)</f>
        <v>0</v>
      </c>
      <c r="K1975" s="6">
        <f>IF(D1975="Chi",I1975,0)</f>
        <v>0</v>
      </c>
      <c r="L1975" s="6">
        <f>L1974+J1975-K1975</f>
        <v>8050118</v>
      </c>
      <c r="M1975" s="6">
        <f ca="1">IFERROR(__xludf.DUMMYFUNCTION("SUM(FILTER(J:J, H:H=""Tiền mặt"")) - SUM(FILTER(K:K, H:H=""Tiền mặt""))
"),959000)</f>
        <v>959000</v>
      </c>
      <c r="N1975" s="6">
        <f ca="1">IFERROR(__xludf.DUMMYFUNCTION("SUM(FILTER(J:J, H:H=""Chuyển khoản"")) - SUM(FILTER(K:K, H:H=""Chuyển khoản""))
"),4468984)</f>
        <v>4468984</v>
      </c>
      <c r="O1975" s="5"/>
      <c r="P1975" s="5"/>
      <c r="Q1975" s="5"/>
      <c r="R1975" s="5"/>
      <c r="S1975" s="5"/>
    </row>
    <row r="1976" spans="1:19" ht="15.75" customHeight="1" x14ac:dyDescent="0.2">
      <c r="A1976" s="3"/>
      <c r="B1976" s="4" t="str">
        <f>IF(A1976="","","PC-"&amp;TEXT(A1976,"mm/yyyy")&amp;"-"&amp;TEXT(COUNTIFS($A$2:A1976,"&gt;="&amp;EOMONTH(A1976,-1)+1,$A$2:A1976,"&lt;="&amp;EOMONTH(A1976,0)),"000"))</f>
        <v/>
      </c>
      <c r="C1976" s="5"/>
      <c r="D1976" s="5"/>
      <c r="E1976" s="5"/>
      <c r="F1976" s="5"/>
      <c r="G1976" s="5"/>
      <c r="H1976" s="5"/>
      <c r="I1976" s="6"/>
      <c r="J1976" s="6">
        <f>IF(D1976="Thu",I1976,0)</f>
        <v>0</v>
      </c>
      <c r="K1976" s="6">
        <f>IF(D1976="Chi",I1976,0)</f>
        <v>0</v>
      </c>
      <c r="L1976" s="6">
        <f>L1975+J1976-K1976</f>
        <v>8050118</v>
      </c>
      <c r="M1976" s="6">
        <f ca="1">IFERROR(__xludf.DUMMYFUNCTION("SUM(FILTER(J:J, H:H=""Tiền mặt"")) - SUM(FILTER(K:K, H:H=""Tiền mặt""))
"),959000)</f>
        <v>959000</v>
      </c>
      <c r="N1976" s="6">
        <f ca="1">IFERROR(__xludf.DUMMYFUNCTION("SUM(FILTER(J:J, H:H=""Chuyển khoản"")) - SUM(FILTER(K:K, H:H=""Chuyển khoản""))
"),4468984)</f>
        <v>4468984</v>
      </c>
      <c r="O1976" s="5"/>
      <c r="P1976" s="5"/>
      <c r="Q1976" s="5"/>
      <c r="R1976" s="5"/>
      <c r="S1976" s="5"/>
    </row>
    <row r="1977" spans="1:19" ht="15.75" customHeight="1" x14ac:dyDescent="0.2">
      <c r="A1977" s="3"/>
      <c r="B1977" s="4" t="str">
        <f>IF(A1977="","","PC-"&amp;TEXT(A1977,"mm/yyyy")&amp;"-"&amp;TEXT(COUNTIFS($A$2:A1977,"&gt;="&amp;EOMONTH(A1977,-1)+1,$A$2:A1977,"&lt;="&amp;EOMONTH(A1977,0)),"000"))</f>
        <v/>
      </c>
      <c r="C1977" s="5"/>
      <c r="D1977" s="5"/>
      <c r="E1977" s="5"/>
      <c r="F1977" s="5"/>
      <c r="G1977" s="5"/>
      <c r="H1977" s="5"/>
      <c r="I1977" s="6"/>
      <c r="J1977" s="6">
        <f>IF(D1977="Thu",I1977,0)</f>
        <v>0</v>
      </c>
      <c r="K1977" s="6">
        <f>IF(D1977="Chi",I1977,0)</f>
        <v>0</v>
      </c>
      <c r="L1977" s="6">
        <f>L1976+J1977-K1977</f>
        <v>8050118</v>
      </c>
      <c r="M1977" s="6">
        <f ca="1">IFERROR(__xludf.DUMMYFUNCTION("SUM(FILTER(J:J, H:H=""Tiền mặt"")) - SUM(FILTER(K:K, H:H=""Tiền mặt""))
"),959000)</f>
        <v>959000</v>
      </c>
      <c r="N1977" s="6">
        <f ca="1">IFERROR(__xludf.DUMMYFUNCTION("SUM(FILTER(J:J, H:H=""Chuyển khoản"")) - SUM(FILTER(K:K, H:H=""Chuyển khoản""))
"),4468984)</f>
        <v>4468984</v>
      </c>
      <c r="O1977" s="5"/>
      <c r="P1977" s="5"/>
      <c r="Q1977" s="5"/>
      <c r="R1977" s="5"/>
      <c r="S1977" s="5"/>
    </row>
    <row r="1978" spans="1:19" ht="15.75" customHeight="1" x14ac:dyDescent="0.2">
      <c r="A1978" s="3"/>
      <c r="B1978" s="4" t="str">
        <f>IF(A1978="","","PC-"&amp;TEXT(A1978,"mm/yyyy")&amp;"-"&amp;TEXT(COUNTIFS($A$2:A1978,"&gt;="&amp;EOMONTH(A1978,-1)+1,$A$2:A1978,"&lt;="&amp;EOMONTH(A1978,0)),"000"))</f>
        <v/>
      </c>
      <c r="C1978" s="5"/>
      <c r="D1978" s="5"/>
      <c r="E1978" s="5"/>
      <c r="F1978" s="5"/>
      <c r="G1978" s="5"/>
      <c r="H1978" s="5"/>
      <c r="I1978" s="6"/>
      <c r="J1978" s="6">
        <f>IF(D1978="Thu",I1978,0)</f>
        <v>0</v>
      </c>
      <c r="K1978" s="6">
        <f>IF(D1978="Chi",I1978,0)</f>
        <v>0</v>
      </c>
      <c r="L1978" s="6">
        <f>L1977+J1978-K1978</f>
        <v>8050118</v>
      </c>
      <c r="M1978" s="6">
        <f ca="1">IFERROR(__xludf.DUMMYFUNCTION("SUM(FILTER(J:J, H:H=""Tiền mặt"")) - SUM(FILTER(K:K, H:H=""Tiền mặt""))
"),959000)</f>
        <v>959000</v>
      </c>
      <c r="N1978" s="6">
        <f ca="1">IFERROR(__xludf.DUMMYFUNCTION("SUM(FILTER(J:J, H:H=""Chuyển khoản"")) - SUM(FILTER(K:K, H:H=""Chuyển khoản""))
"),4468984)</f>
        <v>4468984</v>
      </c>
      <c r="O1978" s="5"/>
      <c r="P1978" s="5"/>
      <c r="Q1978" s="5"/>
      <c r="R1978" s="5"/>
      <c r="S1978" s="5"/>
    </row>
    <row r="1979" spans="1:19" ht="15.75" customHeight="1" x14ac:dyDescent="0.2">
      <c r="A1979" s="3"/>
      <c r="B1979" s="4" t="str">
        <f>IF(A1979="","","PC-"&amp;TEXT(A1979,"mm/yyyy")&amp;"-"&amp;TEXT(COUNTIFS($A$2:A1979,"&gt;="&amp;EOMONTH(A1979,-1)+1,$A$2:A1979,"&lt;="&amp;EOMONTH(A1979,0)),"000"))</f>
        <v/>
      </c>
      <c r="C1979" s="5"/>
      <c r="D1979" s="5"/>
      <c r="E1979" s="5"/>
      <c r="F1979" s="5"/>
      <c r="G1979" s="5"/>
      <c r="H1979" s="5"/>
      <c r="I1979" s="6"/>
      <c r="J1979" s="6">
        <f>IF(D1979="Thu",I1979,0)</f>
        <v>0</v>
      </c>
      <c r="K1979" s="6">
        <f>IF(D1979="Chi",I1979,0)</f>
        <v>0</v>
      </c>
      <c r="L1979" s="6">
        <f>L1978+J1979-K1979</f>
        <v>8050118</v>
      </c>
      <c r="M1979" s="6">
        <f ca="1">IFERROR(__xludf.DUMMYFUNCTION("SUM(FILTER(J:J, H:H=""Tiền mặt"")) - SUM(FILTER(K:K, H:H=""Tiền mặt""))
"),959000)</f>
        <v>959000</v>
      </c>
      <c r="N1979" s="6">
        <f ca="1">IFERROR(__xludf.DUMMYFUNCTION("SUM(FILTER(J:J, H:H=""Chuyển khoản"")) - SUM(FILTER(K:K, H:H=""Chuyển khoản""))
"),4468984)</f>
        <v>4468984</v>
      </c>
      <c r="O1979" s="5"/>
      <c r="P1979" s="5"/>
      <c r="Q1979" s="5"/>
      <c r="R1979" s="5"/>
      <c r="S1979" s="5"/>
    </row>
    <row r="1980" spans="1:19" ht="15.75" customHeight="1" x14ac:dyDescent="0.2">
      <c r="A1980" s="3"/>
      <c r="B1980" s="4" t="str">
        <f>IF(A1980="","","PC-"&amp;TEXT(A1980,"mm/yyyy")&amp;"-"&amp;TEXT(COUNTIFS($A$2:A1980,"&gt;="&amp;EOMONTH(A1980,-1)+1,$A$2:A1980,"&lt;="&amp;EOMONTH(A1980,0)),"000"))</f>
        <v/>
      </c>
      <c r="C1980" s="5"/>
      <c r="D1980" s="5"/>
      <c r="E1980" s="5"/>
      <c r="F1980" s="5"/>
      <c r="G1980" s="5"/>
      <c r="H1980" s="5"/>
      <c r="I1980" s="6"/>
      <c r="J1980" s="6">
        <f>IF(D1980="Thu",I1980,0)</f>
        <v>0</v>
      </c>
      <c r="K1980" s="6">
        <f>IF(D1980="Chi",I1980,0)</f>
        <v>0</v>
      </c>
      <c r="L1980" s="6">
        <f>L1979+J1980-K1980</f>
        <v>8050118</v>
      </c>
      <c r="M1980" s="6">
        <f ca="1">IFERROR(__xludf.DUMMYFUNCTION("SUM(FILTER(J:J, H:H=""Tiền mặt"")) - SUM(FILTER(K:K, H:H=""Tiền mặt""))
"),959000)</f>
        <v>959000</v>
      </c>
      <c r="N1980" s="6">
        <f ca="1">IFERROR(__xludf.DUMMYFUNCTION("SUM(FILTER(J:J, H:H=""Chuyển khoản"")) - SUM(FILTER(K:K, H:H=""Chuyển khoản""))
"),4468984)</f>
        <v>4468984</v>
      </c>
      <c r="O1980" s="5"/>
      <c r="P1980" s="5"/>
      <c r="Q1980" s="5"/>
      <c r="R1980" s="5"/>
      <c r="S1980" s="5"/>
    </row>
    <row r="1981" spans="1:19" ht="15.75" customHeight="1" x14ac:dyDescent="0.2">
      <c r="A1981" s="3"/>
      <c r="B1981" s="4" t="str">
        <f>IF(A1981="","","PC-"&amp;TEXT(A1981,"mm/yyyy")&amp;"-"&amp;TEXT(COUNTIFS($A$2:A1981,"&gt;="&amp;EOMONTH(A1981,-1)+1,$A$2:A1981,"&lt;="&amp;EOMONTH(A1981,0)),"000"))</f>
        <v/>
      </c>
      <c r="C1981" s="5"/>
      <c r="D1981" s="5"/>
      <c r="E1981" s="5"/>
      <c r="F1981" s="5"/>
      <c r="G1981" s="5"/>
      <c r="H1981" s="5"/>
      <c r="I1981" s="6"/>
      <c r="J1981" s="6">
        <f>IF(D1981="Thu",I1981,0)</f>
        <v>0</v>
      </c>
      <c r="K1981" s="6">
        <f>IF(D1981="Chi",I1981,0)</f>
        <v>0</v>
      </c>
      <c r="L1981" s="6">
        <f>L1980+J1981-K1981</f>
        <v>8050118</v>
      </c>
      <c r="M1981" s="6">
        <f ca="1">IFERROR(__xludf.DUMMYFUNCTION("SUM(FILTER(J:J, H:H=""Tiền mặt"")) - SUM(FILTER(K:K, H:H=""Tiền mặt""))
"),959000)</f>
        <v>959000</v>
      </c>
      <c r="N1981" s="6">
        <f ca="1">IFERROR(__xludf.DUMMYFUNCTION("SUM(FILTER(J:J, H:H=""Chuyển khoản"")) - SUM(FILTER(K:K, H:H=""Chuyển khoản""))
"),4468984)</f>
        <v>4468984</v>
      </c>
      <c r="O1981" s="5"/>
      <c r="P1981" s="5"/>
      <c r="Q1981" s="5"/>
      <c r="R1981" s="5"/>
      <c r="S1981" s="5"/>
    </row>
    <row r="1982" spans="1:19" ht="15.75" customHeight="1" x14ac:dyDescent="0.2">
      <c r="A1982" s="3"/>
      <c r="B1982" s="4" t="str">
        <f>IF(A1982="","","PC-"&amp;TEXT(A1982,"mm/yyyy")&amp;"-"&amp;TEXT(COUNTIFS($A$2:A1982,"&gt;="&amp;EOMONTH(A1982,-1)+1,$A$2:A1982,"&lt;="&amp;EOMONTH(A1982,0)),"000"))</f>
        <v/>
      </c>
      <c r="C1982" s="5"/>
      <c r="D1982" s="5"/>
      <c r="E1982" s="5"/>
      <c r="F1982" s="5"/>
      <c r="G1982" s="5"/>
      <c r="H1982" s="5"/>
      <c r="I1982" s="6"/>
      <c r="J1982" s="6">
        <f>IF(D1982="Thu",I1982,0)</f>
        <v>0</v>
      </c>
      <c r="K1982" s="6">
        <f>IF(D1982="Chi",I1982,0)</f>
        <v>0</v>
      </c>
      <c r="L1982" s="6">
        <f>L1981+J1982-K1982</f>
        <v>8050118</v>
      </c>
      <c r="M1982" s="6">
        <f ca="1">IFERROR(__xludf.DUMMYFUNCTION("SUM(FILTER(J:J, H:H=""Tiền mặt"")) - SUM(FILTER(K:K, H:H=""Tiền mặt""))
"),959000)</f>
        <v>959000</v>
      </c>
      <c r="N1982" s="6">
        <f ca="1">IFERROR(__xludf.DUMMYFUNCTION("SUM(FILTER(J:J, H:H=""Chuyển khoản"")) - SUM(FILTER(K:K, H:H=""Chuyển khoản""))
"),4468984)</f>
        <v>4468984</v>
      </c>
      <c r="O1982" s="5"/>
      <c r="P1982" s="5"/>
      <c r="Q1982" s="5"/>
      <c r="R1982" s="5"/>
      <c r="S1982" s="5"/>
    </row>
    <row r="1983" spans="1:19" ht="15.75" customHeight="1" x14ac:dyDescent="0.2">
      <c r="A1983" s="3"/>
      <c r="B1983" s="4" t="str">
        <f>IF(A1983="","","PC-"&amp;TEXT(A1983,"mm/yyyy")&amp;"-"&amp;TEXT(COUNTIFS($A$2:A1983,"&gt;="&amp;EOMONTH(A1983,-1)+1,$A$2:A1983,"&lt;="&amp;EOMONTH(A1983,0)),"000"))</f>
        <v/>
      </c>
      <c r="C1983" s="5"/>
      <c r="D1983" s="5"/>
      <c r="E1983" s="5"/>
      <c r="F1983" s="5"/>
      <c r="G1983" s="5"/>
      <c r="H1983" s="5"/>
      <c r="I1983" s="6"/>
      <c r="J1983" s="6">
        <f>IF(D1983="Thu",I1983,0)</f>
        <v>0</v>
      </c>
      <c r="K1983" s="6">
        <f>IF(D1983="Chi",I1983,0)</f>
        <v>0</v>
      </c>
      <c r="L1983" s="6">
        <f>L1982+J1983-K1983</f>
        <v>8050118</v>
      </c>
      <c r="M1983" s="6">
        <f ca="1">IFERROR(__xludf.DUMMYFUNCTION("SUM(FILTER(J:J, H:H=""Tiền mặt"")) - SUM(FILTER(K:K, H:H=""Tiền mặt""))
"),959000)</f>
        <v>959000</v>
      </c>
      <c r="N1983" s="6">
        <f ca="1">IFERROR(__xludf.DUMMYFUNCTION("SUM(FILTER(J:J, H:H=""Chuyển khoản"")) - SUM(FILTER(K:K, H:H=""Chuyển khoản""))
"),4468984)</f>
        <v>4468984</v>
      </c>
      <c r="O1983" s="5"/>
      <c r="P1983" s="5"/>
      <c r="Q1983" s="5"/>
      <c r="R1983" s="5"/>
      <c r="S1983" s="5"/>
    </row>
    <row r="1984" spans="1:19" ht="15.75" customHeight="1" x14ac:dyDescent="0.2">
      <c r="A1984" s="3"/>
      <c r="B1984" s="4" t="str">
        <f>IF(A1984="","","PC-"&amp;TEXT(A1984,"mm/yyyy")&amp;"-"&amp;TEXT(COUNTIFS($A$2:A1984,"&gt;="&amp;EOMONTH(A1984,-1)+1,$A$2:A1984,"&lt;="&amp;EOMONTH(A1984,0)),"000"))</f>
        <v/>
      </c>
      <c r="C1984" s="5"/>
      <c r="D1984" s="5"/>
      <c r="E1984" s="5"/>
      <c r="F1984" s="5"/>
      <c r="G1984" s="5"/>
      <c r="H1984" s="5"/>
      <c r="I1984" s="6"/>
      <c r="J1984" s="6">
        <f>IF(D1984="Thu",I1984,0)</f>
        <v>0</v>
      </c>
      <c r="K1984" s="6">
        <f>IF(D1984="Chi",I1984,0)</f>
        <v>0</v>
      </c>
      <c r="L1984" s="6">
        <f>L1983+J1984-K1984</f>
        <v>8050118</v>
      </c>
      <c r="M1984" s="6">
        <f ca="1">IFERROR(__xludf.DUMMYFUNCTION("SUM(FILTER(J:J, H:H=""Tiền mặt"")) - SUM(FILTER(K:K, H:H=""Tiền mặt""))
"),959000)</f>
        <v>959000</v>
      </c>
      <c r="N1984" s="6">
        <f ca="1">IFERROR(__xludf.DUMMYFUNCTION("SUM(FILTER(J:J, H:H=""Chuyển khoản"")) - SUM(FILTER(K:K, H:H=""Chuyển khoản""))
"),4468984)</f>
        <v>4468984</v>
      </c>
      <c r="O1984" s="5"/>
      <c r="P1984" s="5"/>
      <c r="Q1984" s="5"/>
      <c r="R1984" s="5"/>
      <c r="S1984" s="5"/>
    </row>
    <row r="1985" spans="1:19" ht="15.75" customHeight="1" x14ac:dyDescent="0.2">
      <c r="A1985" s="3"/>
      <c r="B1985" s="4" t="str">
        <f>IF(A1985="","","PC-"&amp;TEXT(A1985,"mm/yyyy")&amp;"-"&amp;TEXT(COUNTIFS($A$2:A1985,"&gt;="&amp;EOMONTH(A1985,-1)+1,$A$2:A1985,"&lt;="&amp;EOMONTH(A1985,0)),"000"))</f>
        <v/>
      </c>
      <c r="C1985" s="5"/>
      <c r="D1985" s="5"/>
      <c r="E1985" s="5"/>
      <c r="F1985" s="5"/>
      <c r="G1985" s="5"/>
      <c r="H1985" s="5"/>
      <c r="I1985" s="6"/>
      <c r="J1985" s="6">
        <f>IF(D1985="Thu",I1985,0)</f>
        <v>0</v>
      </c>
      <c r="K1985" s="6">
        <f>IF(D1985="Chi",I1985,0)</f>
        <v>0</v>
      </c>
      <c r="L1985" s="6">
        <f>L1984+J1985-K1985</f>
        <v>8050118</v>
      </c>
      <c r="M1985" s="6">
        <f ca="1">IFERROR(__xludf.DUMMYFUNCTION("SUM(FILTER(J:J, H:H=""Tiền mặt"")) - SUM(FILTER(K:K, H:H=""Tiền mặt""))
"),959000)</f>
        <v>959000</v>
      </c>
      <c r="N1985" s="6">
        <f ca="1">IFERROR(__xludf.DUMMYFUNCTION("SUM(FILTER(J:J, H:H=""Chuyển khoản"")) - SUM(FILTER(K:K, H:H=""Chuyển khoản""))
"),4468984)</f>
        <v>4468984</v>
      </c>
      <c r="O1985" s="5"/>
      <c r="P1985" s="5"/>
      <c r="Q1985" s="5"/>
      <c r="R1985" s="5"/>
      <c r="S1985" s="5"/>
    </row>
    <row r="1986" spans="1:19" ht="15.75" customHeight="1" x14ac:dyDescent="0.2">
      <c r="A1986" s="3"/>
      <c r="B1986" s="4" t="str">
        <f>IF(A1986="","","PC-"&amp;TEXT(A1986,"mm/yyyy")&amp;"-"&amp;TEXT(COUNTIFS($A$2:A1986,"&gt;="&amp;EOMONTH(A1986,-1)+1,$A$2:A1986,"&lt;="&amp;EOMONTH(A1986,0)),"000"))</f>
        <v/>
      </c>
      <c r="C1986" s="5"/>
      <c r="D1986" s="5"/>
      <c r="E1986" s="5"/>
      <c r="F1986" s="5"/>
      <c r="G1986" s="5"/>
      <c r="H1986" s="5"/>
      <c r="I1986" s="6"/>
      <c r="J1986" s="6">
        <f>IF(D1986="Thu",I1986,0)</f>
        <v>0</v>
      </c>
      <c r="K1986" s="6">
        <f>IF(D1986="Chi",I1986,0)</f>
        <v>0</v>
      </c>
      <c r="L1986" s="6">
        <f>L1985+J1986-K1986</f>
        <v>8050118</v>
      </c>
      <c r="M1986" s="6">
        <f ca="1">IFERROR(__xludf.DUMMYFUNCTION("SUM(FILTER(J:J, H:H=""Tiền mặt"")) - SUM(FILTER(K:K, H:H=""Tiền mặt""))
"),959000)</f>
        <v>959000</v>
      </c>
      <c r="N1986" s="6">
        <f ca="1">IFERROR(__xludf.DUMMYFUNCTION("SUM(FILTER(J:J, H:H=""Chuyển khoản"")) - SUM(FILTER(K:K, H:H=""Chuyển khoản""))
"),4468984)</f>
        <v>4468984</v>
      </c>
      <c r="O1986" s="5"/>
      <c r="P1986" s="5"/>
      <c r="Q1986" s="5"/>
      <c r="R1986" s="5"/>
      <c r="S1986" s="5"/>
    </row>
    <row r="1987" spans="1:19" ht="15.75" customHeight="1" x14ac:dyDescent="0.2">
      <c r="A1987" s="3"/>
      <c r="B1987" s="4" t="str">
        <f>IF(A1987="","","PC-"&amp;TEXT(A1987,"mm/yyyy")&amp;"-"&amp;TEXT(COUNTIFS($A$2:A1987,"&gt;="&amp;EOMONTH(A1987,-1)+1,$A$2:A1987,"&lt;="&amp;EOMONTH(A1987,0)),"000"))</f>
        <v/>
      </c>
      <c r="C1987" s="5"/>
      <c r="D1987" s="5"/>
      <c r="E1987" s="5"/>
      <c r="F1987" s="5"/>
      <c r="G1987" s="5"/>
      <c r="H1987" s="5"/>
      <c r="I1987" s="6"/>
      <c r="J1987" s="6">
        <f>IF(D1987="Thu",I1987,0)</f>
        <v>0</v>
      </c>
      <c r="K1987" s="6">
        <f>IF(D1987="Chi",I1987,0)</f>
        <v>0</v>
      </c>
      <c r="L1987" s="6">
        <f>L1986+J1987-K1987</f>
        <v>8050118</v>
      </c>
      <c r="M1987" s="6">
        <f ca="1">IFERROR(__xludf.DUMMYFUNCTION("SUM(FILTER(J:J, H:H=""Tiền mặt"")) - SUM(FILTER(K:K, H:H=""Tiền mặt""))
"),959000)</f>
        <v>959000</v>
      </c>
      <c r="N1987" s="6">
        <f ca="1">IFERROR(__xludf.DUMMYFUNCTION("SUM(FILTER(J:J, H:H=""Chuyển khoản"")) - SUM(FILTER(K:K, H:H=""Chuyển khoản""))
"),4468984)</f>
        <v>4468984</v>
      </c>
      <c r="O1987" s="5"/>
      <c r="P1987" s="5"/>
      <c r="Q1987" s="5"/>
      <c r="R1987" s="5"/>
      <c r="S1987" s="5"/>
    </row>
    <row r="1988" spans="1:19" ht="15.75" customHeight="1" x14ac:dyDescent="0.2">
      <c r="A1988" s="3"/>
      <c r="B1988" s="4" t="str">
        <f>IF(A1988="","","PC-"&amp;TEXT(A1988,"mm/yyyy")&amp;"-"&amp;TEXT(COUNTIFS($A$2:A1988,"&gt;="&amp;EOMONTH(A1988,-1)+1,$A$2:A1988,"&lt;="&amp;EOMONTH(A1988,0)),"000"))</f>
        <v/>
      </c>
      <c r="C1988" s="5"/>
      <c r="D1988" s="5"/>
      <c r="E1988" s="5"/>
      <c r="F1988" s="5"/>
      <c r="G1988" s="5"/>
      <c r="H1988" s="5"/>
      <c r="I1988" s="6"/>
      <c r="J1988" s="6">
        <f>IF(D1988="Thu",I1988,0)</f>
        <v>0</v>
      </c>
      <c r="K1988" s="6">
        <f>IF(D1988="Chi",I1988,0)</f>
        <v>0</v>
      </c>
      <c r="L1988" s="6">
        <f>L1987+J1988-K1988</f>
        <v>8050118</v>
      </c>
      <c r="M1988" s="6">
        <f ca="1">IFERROR(__xludf.DUMMYFUNCTION("SUM(FILTER(J:J, H:H=""Tiền mặt"")) - SUM(FILTER(K:K, H:H=""Tiền mặt""))
"),959000)</f>
        <v>959000</v>
      </c>
      <c r="N1988" s="6">
        <f ca="1">IFERROR(__xludf.DUMMYFUNCTION("SUM(FILTER(J:J, H:H=""Chuyển khoản"")) - SUM(FILTER(K:K, H:H=""Chuyển khoản""))
"),4468984)</f>
        <v>4468984</v>
      </c>
      <c r="O1988" s="5"/>
      <c r="P1988" s="5"/>
      <c r="Q1988" s="5"/>
      <c r="R1988" s="5"/>
      <c r="S1988" s="5"/>
    </row>
    <row r="1989" spans="1:19" ht="15.75" customHeight="1" x14ac:dyDescent="0.2">
      <c r="A1989" s="3"/>
      <c r="B1989" s="4" t="str">
        <f>IF(A1989="","","PC-"&amp;TEXT(A1989,"mm/yyyy")&amp;"-"&amp;TEXT(COUNTIFS($A$2:A1989,"&gt;="&amp;EOMONTH(A1989,-1)+1,$A$2:A1989,"&lt;="&amp;EOMONTH(A1989,0)),"000"))</f>
        <v/>
      </c>
      <c r="C1989" s="5"/>
      <c r="D1989" s="5"/>
      <c r="E1989" s="5"/>
      <c r="F1989" s="5"/>
      <c r="G1989" s="5"/>
      <c r="H1989" s="5"/>
      <c r="I1989" s="6"/>
      <c r="J1989" s="6">
        <f>IF(D1989="Thu",I1989,0)</f>
        <v>0</v>
      </c>
      <c r="K1989" s="6">
        <f>IF(D1989="Chi",I1989,0)</f>
        <v>0</v>
      </c>
      <c r="L1989" s="6">
        <f>L1988+J1989-K1989</f>
        <v>8050118</v>
      </c>
      <c r="M1989" s="6">
        <f ca="1">IFERROR(__xludf.DUMMYFUNCTION("SUM(FILTER(J:J, H:H=""Tiền mặt"")) - SUM(FILTER(K:K, H:H=""Tiền mặt""))
"),959000)</f>
        <v>959000</v>
      </c>
      <c r="N1989" s="6">
        <f ca="1">IFERROR(__xludf.DUMMYFUNCTION("SUM(FILTER(J:J, H:H=""Chuyển khoản"")) - SUM(FILTER(K:K, H:H=""Chuyển khoản""))
"),4468984)</f>
        <v>4468984</v>
      </c>
      <c r="O1989" s="5"/>
      <c r="P1989" s="5"/>
      <c r="Q1989" s="5"/>
      <c r="R1989" s="5"/>
      <c r="S1989" s="5"/>
    </row>
    <row r="1990" spans="1:19" ht="15.75" customHeight="1" x14ac:dyDescent="0.2">
      <c r="A1990" s="3"/>
      <c r="B1990" s="4" t="str">
        <f>IF(A1990="","","PC-"&amp;TEXT(A1990,"mm/yyyy")&amp;"-"&amp;TEXT(COUNTIFS($A$2:A1990,"&gt;="&amp;EOMONTH(A1990,-1)+1,$A$2:A1990,"&lt;="&amp;EOMONTH(A1990,0)),"000"))</f>
        <v/>
      </c>
      <c r="C1990" s="5"/>
      <c r="D1990" s="5"/>
      <c r="E1990" s="5"/>
      <c r="F1990" s="5"/>
      <c r="G1990" s="5"/>
      <c r="H1990" s="5"/>
      <c r="I1990" s="6"/>
      <c r="J1990" s="6">
        <f>IF(D1990="Thu",I1990,0)</f>
        <v>0</v>
      </c>
      <c r="K1990" s="6">
        <f>IF(D1990="Chi",I1990,0)</f>
        <v>0</v>
      </c>
      <c r="L1990" s="6">
        <f>L1989+J1990-K1990</f>
        <v>8050118</v>
      </c>
      <c r="M1990" s="6">
        <f ca="1">IFERROR(__xludf.DUMMYFUNCTION("SUM(FILTER(J:J, H:H=""Tiền mặt"")) - SUM(FILTER(K:K, H:H=""Tiền mặt""))
"),959000)</f>
        <v>959000</v>
      </c>
      <c r="N1990" s="6">
        <f ca="1">IFERROR(__xludf.DUMMYFUNCTION("SUM(FILTER(J:J, H:H=""Chuyển khoản"")) - SUM(FILTER(K:K, H:H=""Chuyển khoản""))
"),4468984)</f>
        <v>4468984</v>
      </c>
      <c r="O1990" s="5"/>
      <c r="P1990" s="5"/>
      <c r="Q1990" s="5"/>
      <c r="R1990" s="5"/>
      <c r="S1990" s="5"/>
    </row>
    <row r="1991" spans="1:19" ht="15.75" customHeight="1" x14ac:dyDescent="0.2">
      <c r="A1991" s="3"/>
      <c r="B1991" s="4" t="str">
        <f>IF(A1991="","","PC-"&amp;TEXT(A1991,"mm/yyyy")&amp;"-"&amp;TEXT(COUNTIFS($A$2:A1991,"&gt;="&amp;EOMONTH(A1991,-1)+1,$A$2:A1991,"&lt;="&amp;EOMONTH(A1991,0)),"000"))</f>
        <v/>
      </c>
      <c r="C1991" s="5"/>
      <c r="D1991" s="5"/>
      <c r="E1991" s="5"/>
      <c r="F1991" s="5"/>
      <c r="G1991" s="5"/>
      <c r="H1991" s="5"/>
      <c r="I1991" s="6"/>
      <c r="J1991" s="6">
        <f>IF(D1991="Thu",I1991,0)</f>
        <v>0</v>
      </c>
      <c r="K1991" s="6">
        <f>IF(D1991="Chi",I1991,0)</f>
        <v>0</v>
      </c>
      <c r="L1991" s="6">
        <f>L1990+J1991-K1991</f>
        <v>8050118</v>
      </c>
      <c r="M1991" s="6">
        <f ca="1">IFERROR(__xludf.DUMMYFUNCTION("SUM(FILTER(J:J, H:H=""Tiền mặt"")) - SUM(FILTER(K:K, H:H=""Tiền mặt""))
"),959000)</f>
        <v>959000</v>
      </c>
      <c r="N1991" s="6">
        <f ca="1">IFERROR(__xludf.DUMMYFUNCTION("SUM(FILTER(J:J, H:H=""Chuyển khoản"")) - SUM(FILTER(K:K, H:H=""Chuyển khoản""))
"),4468984)</f>
        <v>4468984</v>
      </c>
      <c r="O1991" s="5"/>
      <c r="P1991" s="5"/>
      <c r="Q1991" s="5"/>
      <c r="R1991" s="5"/>
      <c r="S1991" s="5"/>
    </row>
    <row r="1992" spans="1:19" ht="15.75" customHeight="1" x14ac:dyDescent="0.2">
      <c r="A1992" s="3"/>
      <c r="B1992" s="4" t="str">
        <f>IF(A1992="","","PC-"&amp;TEXT(A1992,"mm/yyyy")&amp;"-"&amp;TEXT(COUNTIFS($A$2:A1992,"&gt;="&amp;EOMONTH(A1992,-1)+1,$A$2:A1992,"&lt;="&amp;EOMONTH(A1992,0)),"000"))</f>
        <v/>
      </c>
      <c r="C1992" s="5"/>
      <c r="D1992" s="5"/>
      <c r="E1992" s="5"/>
      <c r="F1992" s="5"/>
      <c r="G1992" s="5"/>
      <c r="H1992" s="5"/>
      <c r="I1992" s="6"/>
      <c r="J1992" s="6">
        <f>IF(D1992="Thu",I1992,0)</f>
        <v>0</v>
      </c>
      <c r="K1992" s="6">
        <f>IF(D1992="Chi",I1992,0)</f>
        <v>0</v>
      </c>
      <c r="L1992" s="6">
        <f>L1991+J1992-K1992</f>
        <v>8050118</v>
      </c>
      <c r="M1992" s="6">
        <f ca="1">IFERROR(__xludf.DUMMYFUNCTION("SUM(FILTER(J:J, H:H=""Tiền mặt"")) - SUM(FILTER(K:K, H:H=""Tiền mặt""))
"),959000)</f>
        <v>959000</v>
      </c>
      <c r="N1992" s="6">
        <f ca="1">IFERROR(__xludf.DUMMYFUNCTION("SUM(FILTER(J:J, H:H=""Chuyển khoản"")) - SUM(FILTER(K:K, H:H=""Chuyển khoản""))
"),4468984)</f>
        <v>4468984</v>
      </c>
      <c r="O1992" s="5"/>
      <c r="P1992" s="5"/>
      <c r="Q1992" s="5"/>
      <c r="R1992" s="5"/>
      <c r="S1992" s="5"/>
    </row>
    <row r="1993" spans="1:19" ht="15.75" customHeight="1" x14ac:dyDescent="0.2">
      <c r="A1993" s="3"/>
      <c r="B1993" s="4" t="str">
        <f>IF(A1993="","","PC-"&amp;TEXT(A1993,"mm/yyyy")&amp;"-"&amp;TEXT(COUNTIFS($A$2:A1993,"&gt;="&amp;EOMONTH(A1993,-1)+1,$A$2:A1993,"&lt;="&amp;EOMONTH(A1993,0)),"000"))</f>
        <v/>
      </c>
      <c r="C1993" s="5"/>
      <c r="D1993" s="5"/>
      <c r="E1993" s="5"/>
      <c r="F1993" s="5"/>
      <c r="G1993" s="5"/>
      <c r="H1993" s="5"/>
      <c r="I1993" s="6"/>
      <c r="J1993" s="6">
        <f>IF(D1993="Thu",I1993,0)</f>
        <v>0</v>
      </c>
      <c r="K1993" s="6">
        <f>IF(D1993="Chi",I1993,0)</f>
        <v>0</v>
      </c>
      <c r="L1993" s="6">
        <f>L1992+J1993-K1993</f>
        <v>8050118</v>
      </c>
      <c r="M1993" s="6">
        <f ca="1">IFERROR(__xludf.DUMMYFUNCTION("SUM(FILTER(J:J, H:H=""Tiền mặt"")) - SUM(FILTER(K:K, H:H=""Tiền mặt""))
"),959000)</f>
        <v>959000</v>
      </c>
      <c r="N1993" s="6">
        <f ca="1">IFERROR(__xludf.DUMMYFUNCTION("SUM(FILTER(J:J, H:H=""Chuyển khoản"")) - SUM(FILTER(K:K, H:H=""Chuyển khoản""))
"),4468984)</f>
        <v>4468984</v>
      </c>
      <c r="O1993" s="5"/>
      <c r="P1993" s="5"/>
      <c r="Q1993" s="5"/>
      <c r="R1993" s="5"/>
      <c r="S1993" s="5"/>
    </row>
    <row r="1994" spans="1:19" ht="15.75" customHeight="1" x14ac:dyDescent="0.2">
      <c r="A1994" s="3"/>
      <c r="B1994" s="4" t="str">
        <f>IF(A1994="","","PC-"&amp;TEXT(A1994,"mm/yyyy")&amp;"-"&amp;TEXT(COUNTIFS($A$2:A1994,"&gt;="&amp;EOMONTH(A1994,-1)+1,$A$2:A1994,"&lt;="&amp;EOMONTH(A1994,0)),"000"))</f>
        <v/>
      </c>
      <c r="C1994" s="5"/>
      <c r="D1994" s="5"/>
      <c r="E1994" s="5"/>
      <c r="F1994" s="5"/>
      <c r="G1994" s="5"/>
      <c r="H1994" s="5"/>
      <c r="I1994" s="6"/>
      <c r="J1994" s="6">
        <f>IF(D1994="Thu",I1994,0)</f>
        <v>0</v>
      </c>
      <c r="K1994" s="6">
        <f>IF(D1994="Chi",I1994,0)</f>
        <v>0</v>
      </c>
      <c r="L1994" s="6">
        <f>L1993+J1994-K1994</f>
        <v>8050118</v>
      </c>
      <c r="M1994" s="6">
        <f ca="1">IFERROR(__xludf.DUMMYFUNCTION("SUM(FILTER(J:J, H:H=""Tiền mặt"")) - SUM(FILTER(K:K, H:H=""Tiền mặt""))
"),959000)</f>
        <v>959000</v>
      </c>
      <c r="N1994" s="6">
        <f ca="1">IFERROR(__xludf.DUMMYFUNCTION("SUM(FILTER(J:J, H:H=""Chuyển khoản"")) - SUM(FILTER(K:K, H:H=""Chuyển khoản""))
"),4468984)</f>
        <v>4468984</v>
      </c>
      <c r="O1994" s="5"/>
      <c r="P1994" s="5"/>
      <c r="Q1994" s="5"/>
      <c r="R1994" s="5"/>
      <c r="S1994" s="5"/>
    </row>
    <row r="1995" spans="1:19" ht="15.75" customHeight="1" x14ac:dyDescent="0.2">
      <c r="A1995" s="3"/>
      <c r="B1995" s="4" t="str">
        <f>IF(A1995="","","PC-"&amp;TEXT(A1995,"mm/yyyy")&amp;"-"&amp;TEXT(COUNTIFS($A$2:A1995,"&gt;="&amp;EOMONTH(A1995,-1)+1,$A$2:A1995,"&lt;="&amp;EOMONTH(A1995,0)),"000"))</f>
        <v/>
      </c>
      <c r="C1995" s="5"/>
      <c r="D1995" s="5"/>
      <c r="E1995" s="5"/>
      <c r="F1995" s="5"/>
      <c r="G1995" s="5"/>
      <c r="H1995" s="5"/>
      <c r="I1995" s="6"/>
      <c r="J1995" s="6">
        <f>IF(D1995="Thu",I1995,0)</f>
        <v>0</v>
      </c>
      <c r="K1995" s="6">
        <f>IF(D1995="Chi",I1995,0)</f>
        <v>0</v>
      </c>
      <c r="L1995" s="6">
        <f>L1994+J1995-K1995</f>
        <v>8050118</v>
      </c>
      <c r="M1995" s="6">
        <f ca="1">IFERROR(__xludf.DUMMYFUNCTION("SUM(FILTER(J:J, H:H=""Tiền mặt"")) - SUM(FILTER(K:K, H:H=""Tiền mặt""))
"),959000)</f>
        <v>959000</v>
      </c>
      <c r="N1995" s="6">
        <f ca="1">IFERROR(__xludf.DUMMYFUNCTION("SUM(FILTER(J:J, H:H=""Chuyển khoản"")) - SUM(FILTER(K:K, H:H=""Chuyển khoản""))
"),4468984)</f>
        <v>4468984</v>
      </c>
      <c r="O1995" s="5"/>
      <c r="P1995" s="5"/>
      <c r="Q1995" s="5"/>
      <c r="R1995" s="5"/>
      <c r="S1995" s="5"/>
    </row>
    <row r="1996" spans="1:19" ht="15.75" customHeight="1" x14ac:dyDescent="0.2">
      <c r="A1996" s="3"/>
      <c r="B1996" s="4" t="str">
        <f>IF(A1996="","","PC-"&amp;TEXT(A1996,"mm/yyyy")&amp;"-"&amp;TEXT(COUNTIFS($A$2:A1996,"&gt;="&amp;EOMONTH(A1996,-1)+1,$A$2:A1996,"&lt;="&amp;EOMONTH(A1996,0)),"000"))</f>
        <v/>
      </c>
      <c r="C1996" s="5"/>
      <c r="D1996" s="5"/>
      <c r="E1996" s="5"/>
      <c r="F1996" s="5"/>
      <c r="G1996" s="5"/>
      <c r="H1996" s="5"/>
      <c r="I1996" s="6"/>
      <c r="J1996" s="6">
        <f>IF(D1996="Thu",I1996,0)</f>
        <v>0</v>
      </c>
      <c r="K1996" s="6">
        <f>IF(D1996="Chi",I1996,0)</f>
        <v>0</v>
      </c>
      <c r="L1996" s="6">
        <f>L1995+J1996-K1996</f>
        <v>8050118</v>
      </c>
      <c r="M1996" s="6">
        <f ca="1">IFERROR(__xludf.DUMMYFUNCTION("SUM(FILTER(J:J, H:H=""Tiền mặt"")) - SUM(FILTER(K:K, H:H=""Tiền mặt""))
"),959000)</f>
        <v>959000</v>
      </c>
      <c r="N1996" s="6">
        <f ca="1">IFERROR(__xludf.DUMMYFUNCTION("SUM(FILTER(J:J, H:H=""Chuyển khoản"")) - SUM(FILTER(K:K, H:H=""Chuyển khoản""))
"),4468984)</f>
        <v>4468984</v>
      </c>
      <c r="O1996" s="5"/>
      <c r="P1996" s="5"/>
      <c r="Q1996" s="5"/>
      <c r="R1996" s="5"/>
      <c r="S1996" s="5"/>
    </row>
    <row r="1997" spans="1:19" ht="15.75" customHeight="1" x14ac:dyDescent="0.2">
      <c r="A1997" s="3"/>
      <c r="B1997" s="4" t="str">
        <f>IF(A1997="","","PC-"&amp;TEXT(A1997,"mm/yyyy")&amp;"-"&amp;TEXT(COUNTIFS($A$2:A1997,"&gt;="&amp;EOMONTH(A1997,-1)+1,$A$2:A1997,"&lt;="&amp;EOMONTH(A1997,0)),"000"))</f>
        <v/>
      </c>
      <c r="C1997" s="5"/>
      <c r="D1997" s="5"/>
      <c r="E1997" s="5"/>
      <c r="F1997" s="5"/>
      <c r="G1997" s="5"/>
      <c r="H1997" s="5"/>
      <c r="I1997" s="6"/>
      <c r="J1997" s="6">
        <f>IF(D1997="Thu",I1997,0)</f>
        <v>0</v>
      </c>
      <c r="K1997" s="6">
        <f>IF(D1997="Chi",I1997,0)</f>
        <v>0</v>
      </c>
      <c r="L1997" s="6">
        <f>L1996+J1997-K1997</f>
        <v>8050118</v>
      </c>
      <c r="M1997" s="6">
        <f ca="1">IFERROR(__xludf.DUMMYFUNCTION("SUM(FILTER(J:J, H:H=""Tiền mặt"")) - SUM(FILTER(K:K, H:H=""Tiền mặt""))
"),959000)</f>
        <v>959000</v>
      </c>
      <c r="N1997" s="6">
        <f ca="1">IFERROR(__xludf.DUMMYFUNCTION("SUM(FILTER(J:J, H:H=""Chuyển khoản"")) - SUM(FILTER(K:K, H:H=""Chuyển khoản""))
"),4468984)</f>
        <v>4468984</v>
      </c>
      <c r="O1997" s="5"/>
      <c r="P1997" s="5"/>
      <c r="Q1997" s="5"/>
      <c r="R1997" s="5"/>
      <c r="S1997" s="5"/>
    </row>
    <row r="1998" spans="1:19" ht="15.75" customHeight="1" x14ac:dyDescent="0.2">
      <c r="A1998" s="3"/>
      <c r="B1998" s="4" t="str">
        <f>IF(A1998="","","PC-"&amp;TEXT(A1998,"mm/yyyy")&amp;"-"&amp;TEXT(COUNTIFS($A$2:A1998,"&gt;="&amp;EOMONTH(A1998,-1)+1,$A$2:A1998,"&lt;="&amp;EOMONTH(A1998,0)),"000"))</f>
        <v/>
      </c>
      <c r="C1998" s="5"/>
      <c r="D1998" s="5"/>
      <c r="E1998" s="5"/>
      <c r="F1998" s="5"/>
      <c r="G1998" s="5"/>
      <c r="H1998" s="5"/>
      <c r="I1998" s="6"/>
      <c r="J1998" s="6">
        <f>IF(D1998="Thu",I1998,0)</f>
        <v>0</v>
      </c>
      <c r="K1998" s="6">
        <f>IF(D1998="Chi",I1998,0)</f>
        <v>0</v>
      </c>
      <c r="L1998" s="6">
        <f>L1997+J1998-K1998</f>
        <v>8050118</v>
      </c>
      <c r="M1998" s="6">
        <f ca="1">IFERROR(__xludf.DUMMYFUNCTION("SUM(FILTER(J:J, H:H=""Tiền mặt"")) - SUM(FILTER(K:K, H:H=""Tiền mặt""))
"),959000)</f>
        <v>959000</v>
      </c>
      <c r="N1998" s="6">
        <f ca="1">IFERROR(__xludf.DUMMYFUNCTION("SUM(FILTER(J:J, H:H=""Chuyển khoản"")) - SUM(FILTER(K:K, H:H=""Chuyển khoản""))
"),4468984)</f>
        <v>4468984</v>
      </c>
      <c r="O1998" s="5"/>
      <c r="P1998" s="5"/>
      <c r="Q1998" s="5"/>
      <c r="R1998" s="5"/>
      <c r="S1998" s="5"/>
    </row>
    <row r="1999" spans="1:19" ht="15.75" customHeight="1" x14ac:dyDescent="0.2">
      <c r="A1999" s="3"/>
      <c r="B1999" s="4" t="str">
        <f>IF(A1999="","","PC-"&amp;TEXT(A1999,"mm/yyyy")&amp;"-"&amp;TEXT(COUNTIFS($A$2:A1999,"&gt;="&amp;EOMONTH(A1999,-1)+1,$A$2:A1999,"&lt;="&amp;EOMONTH(A1999,0)),"000"))</f>
        <v/>
      </c>
      <c r="C1999" s="5"/>
      <c r="D1999" s="5"/>
      <c r="E1999" s="5"/>
      <c r="F1999" s="5"/>
      <c r="G1999" s="5"/>
      <c r="H1999" s="5"/>
      <c r="I1999" s="6"/>
      <c r="J1999" s="6">
        <f>IF(D1999="Thu",I1999,0)</f>
        <v>0</v>
      </c>
      <c r="K1999" s="6">
        <f>IF(D1999="Chi",I1999,0)</f>
        <v>0</v>
      </c>
      <c r="L1999" s="6">
        <f>L1998+J1999-K1999</f>
        <v>8050118</v>
      </c>
      <c r="M1999" s="6">
        <f ca="1">IFERROR(__xludf.DUMMYFUNCTION("SUM(FILTER(J:J, H:H=""Tiền mặt"")) - SUM(FILTER(K:K, H:H=""Tiền mặt""))
"),959000)</f>
        <v>959000</v>
      </c>
      <c r="N1999" s="6">
        <f ca="1">IFERROR(__xludf.DUMMYFUNCTION("SUM(FILTER(J:J, H:H=""Chuyển khoản"")) - SUM(FILTER(K:K, H:H=""Chuyển khoản""))
"),4468984)</f>
        <v>4468984</v>
      </c>
      <c r="O1999" s="5"/>
      <c r="P1999" s="5"/>
      <c r="Q1999" s="5"/>
      <c r="R1999" s="5"/>
      <c r="S1999" s="5"/>
    </row>
    <row r="2000" spans="1:19" ht="15.75" customHeight="1" x14ac:dyDescent="0.2">
      <c r="A2000" s="3"/>
      <c r="B2000" s="4" t="str">
        <f>IF(A2000="","","PC-"&amp;TEXT(A2000,"mm/yyyy")&amp;"-"&amp;TEXT(COUNTIFS($A$2:A2000,"&gt;="&amp;EOMONTH(A2000,-1)+1,$A$2:A2000,"&lt;="&amp;EOMONTH(A2000,0)),"000"))</f>
        <v/>
      </c>
      <c r="C2000" s="5"/>
      <c r="D2000" s="5"/>
      <c r="E2000" s="5"/>
      <c r="F2000" s="5"/>
      <c r="G2000" s="5"/>
      <c r="H2000" s="5"/>
      <c r="I2000" s="6"/>
      <c r="J2000" s="6">
        <f>IF(D2000="Thu",I2000,0)</f>
        <v>0</v>
      </c>
      <c r="K2000" s="6">
        <f>IF(D2000="Chi",I2000,0)</f>
        <v>0</v>
      </c>
      <c r="L2000" s="6">
        <f>L1999+J2000-K2000</f>
        <v>8050118</v>
      </c>
      <c r="M2000" s="6">
        <f ca="1">IFERROR(__xludf.DUMMYFUNCTION("SUM(FILTER(J:J, H:H=""Tiền mặt"")) - SUM(FILTER(K:K, H:H=""Tiền mặt""))
"),959000)</f>
        <v>959000</v>
      </c>
      <c r="N2000" s="6">
        <f ca="1">IFERROR(__xludf.DUMMYFUNCTION("SUM(FILTER(J:J, H:H=""Chuyển khoản"")) - SUM(FILTER(K:K, H:H=""Chuyển khoản""))
"),4468984)</f>
        <v>4468984</v>
      </c>
      <c r="O2000" s="5"/>
      <c r="P2000" s="5"/>
      <c r="Q2000" s="5"/>
      <c r="R2000" s="5"/>
      <c r="S2000" s="5"/>
    </row>
  </sheetData>
  <conditionalFormatting sqref="C1:C33 C35:C51 C54:C86 C88:C126 C129:C155 C157:C173 C175:C207 C209:C236 C238:C2000">
    <cfRule type="expression" dxfId="7" priority="5">
      <formula>COUNTIF(C:C, C1)&gt;1</formula>
    </cfRule>
  </conditionalFormatting>
  <conditionalFormatting sqref="C40 G2:G2000">
    <cfRule type="containsText" dxfId="6" priority="10" operator="containsText" text="đốc">
      <formula>NOT(ISERROR(SEARCH(("đốc"),(G2))))</formula>
    </cfRule>
  </conditionalFormatting>
  <conditionalFormatting sqref="D2:D33 E34 D35:D2000 E53">
    <cfRule type="containsText" dxfId="5" priority="9" operator="containsText" text="chi">
      <formula>NOT(ISERROR(SEARCH(("chi"),(D2))))</formula>
    </cfRule>
    <cfRule type="containsText" dxfId="4" priority="8" operator="containsText" text="thu">
      <formula>NOT(ISERROR(SEARCH(("thu"),(D2))))</formula>
    </cfRule>
  </conditionalFormatting>
  <conditionalFormatting sqref="D34">
    <cfRule type="expression" dxfId="3" priority="1">
      <formula>COUNTIF(C:C, D34)&gt;1</formula>
    </cfRule>
  </conditionalFormatting>
  <conditionalFormatting sqref="F2">
    <cfRule type="notContainsBlanks" dxfId="2" priority="2">
      <formula>LEN(TRIM(F2))&gt;0</formula>
    </cfRule>
  </conditionalFormatting>
  <conditionalFormatting sqref="H1:H33 I34 H35:H2000">
    <cfRule type="containsText" dxfId="1" priority="7" operator="containsText" text="khoản">
      <formula>NOT(ISERROR(SEARCH(("khoản"),(H1))))</formula>
    </cfRule>
    <cfRule type="containsText" dxfId="0" priority="6" operator="containsText" text="mặt">
      <formula>NOT(ISERROR(SEARCH(("mặt"),(H1))))</formula>
    </cfRule>
  </conditionalFormatting>
  <dataValidations count="2">
    <dataValidation type="custom" allowBlank="1" showDropDown="1" showInputMessage="1" showErrorMessage="1" prompt="Nhập ngày hợp lệ" sqref="A2:A2000" xr:uid="{00000000-0002-0000-0000-000002000000}">
      <formula1>OR(NOT(ISERROR(DATEVALUE(A2))), AND(ISNUMBER(A2), LEFT(CELL("format", A2))="D"))</formula1>
    </dataValidation>
    <dataValidation type="custom" allowBlank="1" showDropDown="1" sqref="I2:N2000" xr:uid="{00000000-0002-0000-0000-000005000000}">
      <formula1>AND(ISNUMBER(I2),(NOT(OR(NOT(ISERROR(DATEVALUE(I2))), AND(ISNUMBER(I2), LEFT(CELL("format", I2))="D")))))</formula1>
    </dataValidation>
  </dataValidations>
  <pageMargins left="0.75" right="0.75" top="1" bottom="1" header="0" footer="0"/>
  <pageSetup orientation="landscape"/>
  <legacyDrawing r:id="rId1"/>
  <tableParts count="1">
    <tablePart r:id="rId2"/>
  </tableParts>
  <extLst>
    <ext xmlns:x14="http://schemas.microsoft.com/office/spreadsheetml/2009/9/main" uri="{CCE6A557-97BC-4b89-ADB6-D9C93CAAB3DF}">
      <x14:dataValidations xmlns:xm="http://schemas.microsoft.com/office/excel/2006/main" count="4">
        <x14:dataValidation type="list" allowBlank="1" showDropDown="1" showErrorMessage="1" xr:uid="{00000000-0002-0000-0000-000000000000}">
          <x14:formula1>
            <xm:f>DanhMuc!$A$4:$A$6</xm:f>
          </x14:formula1>
          <xm:sqref>D2:D2000</xm:sqref>
        </x14:dataValidation>
        <x14:dataValidation type="list" allowBlank="1" showDropDown="1" showErrorMessage="1" xr:uid="{00000000-0002-0000-0000-000001000000}">
          <x14:formula1>
            <xm:f>DanhMuc!$A$8:$A$31</xm:f>
          </x14:formula1>
          <xm:sqref>E2:E33 E34:F34 E35:E2000</xm:sqref>
        </x14:dataValidation>
        <x14:dataValidation type="list" allowBlank="1" showDropDown="1" showErrorMessage="1" xr:uid="{00000000-0002-0000-0000-000003000000}">
          <x14:formula1>
            <xm:f>DanhMuc!$A$32:$A$33</xm:f>
          </x14:formula1>
          <xm:sqref>H2:H2000</xm:sqref>
        </x14:dataValidation>
        <x14:dataValidation type="list" allowBlank="1" showDropDown="1" showErrorMessage="1" xr:uid="{00000000-0002-0000-0000-000004000000}">
          <x14:formula1>
            <xm:f>DanhMuc!$A$35:$A$38</xm:f>
          </x14:formula1>
          <xm:sqref>S2:S2000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0"/>
  <sheetViews>
    <sheetView workbookViewId="0">
      <selection activeCell="C37" sqref="C37"/>
    </sheetView>
  </sheetViews>
  <sheetFormatPr baseColWidth="10" defaultColWidth="14.5" defaultRowHeight="15" customHeight="1" x14ac:dyDescent="0.2"/>
  <cols>
    <col min="1" max="1" width="27.6640625" customWidth="1"/>
    <col min="2" max="2" width="24" customWidth="1"/>
    <col min="3" max="3" width="20.33203125" customWidth="1"/>
    <col min="4" max="4" width="15.5" customWidth="1"/>
    <col min="5" max="5" width="16.5" customWidth="1"/>
    <col min="6" max="6" width="14.33203125" customWidth="1"/>
    <col min="7" max="7" width="12.1640625" customWidth="1"/>
    <col min="8" max="26" width="9" customWidth="1"/>
  </cols>
  <sheetData>
    <row r="1" spans="1:6" x14ac:dyDescent="0.2">
      <c r="A1" s="11" t="s">
        <v>1601</v>
      </c>
      <c r="B1" s="12" t="s">
        <v>1602</v>
      </c>
      <c r="C1" s="13"/>
    </row>
    <row r="2" spans="1:6" x14ac:dyDescent="0.2">
      <c r="A2" s="14" t="s">
        <v>1603</v>
      </c>
      <c r="C2" s="13"/>
    </row>
    <row r="3" spans="1:6" x14ac:dyDescent="0.2">
      <c r="A3" s="14"/>
      <c r="B3" s="15"/>
      <c r="C3" s="13"/>
    </row>
    <row r="4" spans="1:6" x14ac:dyDescent="0.2">
      <c r="A4" s="14" t="s">
        <v>1604</v>
      </c>
      <c r="B4" s="15"/>
      <c r="C4" s="15"/>
    </row>
    <row r="5" spans="1:6" x14ac:dyDescent="0.2">
      <c r="A5" s="14" t="s">
        <v>20</v>
      </c>
      <c r="B5" s="15"/>
      <c r="C5" s="13"/>
    </row>
    <row r="6" spans="1:6" x14ac:dyDescent="0.2">
      <c r="A6" s="14" t="s">
        <v>29</v>
      </c>
      <c r="B6" s="15"/>
      <c r="C6" s="13"/>
    </row>
    <row r="7" spans="1:6" x14ac:dyDescent="0.2">
      <c r="A7" s="14"/>
      <c r="B7" s="15"/>
      <c r="C7" s="13"/>
    </row>
    <row r="8" spans="1:6" x14ac:dyDescent="0.2">
      <c r="A8" s="16" t="s">
        <v>1605</v>
      </c>
      <c r="B8" s="15"/>
      <c r="C8" s="17" t="s">
        <v>5</v>
      </c>
      <c r="D8" s="18" t="s">
        <v>6</v>
      </c>
      <c r="E8" s="18" t="s">
        <v>16</v>
      </c>
      <c r="F8" s="18" t="s">
        <v>17</v>
      </c>
    </row>
    <row r="9" spans="1:6" x14ac:dyDescent="0.2">
      <c r="A9" s="14" t="s">
        <v>36</v>
      </c>
      <c r="B9" s="15"/>
      <c r="C9" s="13"/>
      <c r="D9" s="19"/>
      <c r="E9" s="19"/>
      <c r="F9" s="19"/>
    </row>
    <row r="10" spans="1:6" x14ac:dyDescent="0.2">
      <c r="A10" s="14" t="s">
        <v>47</v>
      </c>
      <c r="B10" s="15"/>
      <c r="C10" s="13"/>
      <c r="D10" s="19"/>
      <c r="E10" s="19"/>
      <c r="F10" s="19"/>
    </row>
    <row r="11" spans="1:6" x14ac:dyDescent="0.2">
      <c r="A11" s="20" t="s">
        <v>44</v>
      </c>
      <c r="B11" s="15"/>
      <c r="C11" s="13"/>
      <c r="D11" s="19"/>
      <c r="E11" s="19"/>
      <c r="F11" s="19"/>
    </row>
    <row r="12" spans="1:6" x14ac:dyDescent="0.2">
      <c r="A12" s="14" t="s">
        <v>68</v>
      </c>
      <c r="B12" s="15"/>
      <c r="C12" s="13"/>
      <c r="D12" s="19"/>
      <c r="E12" s="19"/>
      <c r="F12" s="19"/>
    </row>
    <row r="13" spans="1:6" x14ac:dyDescent="0.2">
      <c r="A13" s="14" t="s">
        <v>346</v>
      </c>
      <c r="B13" s="15"/>
      <c r="C13" s="13"/>
      <c r="D13" s="19"/>
      <c r="E13" s="19"/>
      <c r="F13" s="19"/>
    </row>
    <row r="14" spans="1:6" x14ac:dyDescent="0.2">
      <c r="A14" s="14" t="s">
        <v>78</v>
      </c>
      <c r="B14" s="15"/>
      <c r="C14" s="13" t="s">
        <v>1606</v>
      </c>
      <c r="D14" s="19" t="s">
        <v>37</v>
      </c>
      <c r="E14" s="19" t="s">
        <v>37</v>
      </c>
      <c r="F14" s="19" t="s">
        <v>1607</v>
      </c>
    </row>
    <row r="15" spans="1:6" x14ac:dyDescent="0.2">
      <c r="A15" s="14" t="s">
        <v>429</v>
      </c>
      <c r="B15" s="15"/>
      <c r="C15" s="13" t="s">
        <v>1608</v>
      </c>
    </row>
    <row r="16" spans="1:6" x14ac:dyDescent="0.2">
      <c r="A16" s="14" t="s">
        <v>41</v>
      </c>
      <c r="B16" s="15"/>
      <c r="C16" s="13" t="s">
        <v>1609</v>
      </c>
    </row>
    <row r="17" spans="1:3" x14ac:dyDescent="0.2">
      <c r="A17" s="14" t="s">
        <v>153</v>
      </c>
      <c r="B17" s="15"/>
      <c r="C17" s="13"/>
    </row>
    <row r="18" spans="1:3" x14ac:dyDescent="0.2">
      <c r="A18" s="14" t="s">
        <v>1610</v>
      </c>
      <c r="B18" s="15"/>
      <c r="C18" s="13"/>
    </row>
    <row r="19" spans="1:3" x14ac:dyDescent="0.2">
      <c r="A19" s="14" t="s">
        <v>64</v>
      </c>
      <c r="B19" s="15"/>
      <c r="C19" s="13"/>
    </row>
    <row r="20" spans="1:3" x14ac:dyDescent="0.2">
      <c r="A20" s="14" t="s">
        <v>71</v>
      </c>
      <c r="B20" s="15"/>
      <c r="C20" s="13"/>
    </row>
    <row r="21" spans="1:3" x14ac:dyDescent="0.2">
      <c r="A21" s="14" t="s">
        <v>1611</v>
      </c>
      <c r="B21" s="15"/>
      <c r="C21" s="13"/>
    </row>
    <row r="22" spans="1:3" x14ac:dyDescent="0.2">
      <c r="A22" s="14" t="s">
        <v>1284</v>
      </c>
      <c r="B22" s="15"/>
      <c r="C22" s="13"/>
    </row>
    <row r="23" spans="1:3" x14ac:dyDescent="0.2">
      <c r="A23" s="14" t="s">
        <v>75</v>
      </c>
      <c r="B23" s="15"/>
      <c r="C23" s="13"/>
    </row>
    <row r="24" spans="1:3" x14ac:dyDescent="0.2">
      <c r="A24" s="14" t="s">
        <v>33</v>
      </c>
      <c r="B24" s="15"/>
      <c r="C24" s="13"/>
    </row>
    <row r="25" spans="1:3" ht="15.75" customHeight="1" x14ac:dyDescent="0.2">
      <c r="A25" s="14" t="s">
        <v>141</v>
      </c>
      <c r="B25" s="15"/>
      <c r="C25" s="13"/>
    </row>
    <row r="26" spans="1:3" ht="15.75" customHeight="1" x14ac:dyDescent="0.2">
      <c r="A26" s="14" t="s">
        <v>51</v>
      </c>
      <c r="B26" s="15"/>
      <c r="C26" s="13"/>
    </row>
    <row r="27" spans="1:3" ht="15.75" customHeight="1" x14ac:dyDescent="0.2">
      <c r="A27" s="14" t="s">
        <v>61</v>
      </c>
      <c r="B27" s="15"/>
      <c r="C27" s="13"/>
    </row>
    <row r="28" spans="1:3" ht="15.75" customHeight="1" x14ac:dyDescent="0.2">
      <c r="A28" s="14" t="s">
        <v>674</v>
      </c>
      <c r="B28" s="15"/>
      <c r="C28" s="13"/>
    </row>
    <row r="29" spans="1:3" ht="15.75" customHeight="1" x14ac:dyDescent="0.2">
      <c r="A29" s="14" t="s">
        <v>30</v>
      </c>
      <c r="B29" s="15"/>
      <c r="C29" s="13"/>
    </row>
    <row r="30" spans="1:3" ht="15.75" customHeight="1" x14ac:dyDescent="0.2">
      <c r="A30" s="14" t="s">
        <v>21</v>
      </c>
      <c r="B30" s="15"/>
      <c r="C30" s="13"/>
    </row>
    <row r="31" spans="1:3" ht="15.75" customHeight="1" x14ac:dyDescent="0.2">
      <c r="A31" s="14" t="s">
        <v>88</v>
      </c>
      <c r="B31" s="15"/>
      <c r="C31" s="13"/>
    </row>
    <row r="32" spans="1:3" ht="15.75" customHeight="1" x14ac:dyDescent="0.2">
      <c r="A32" s="14" t="s">
        <v>23</v>
      </c>
      <c r="B32" s="15"/>
      <c r="C32" s="13"/>
    </row>
    <row r="33" spans="1:3" ht="15.75" customHeight="1" x14ac:dyDescent="0.2">
      <c r="A33" s="14" t="s">
        <v>27</v>
      </c>
      <c r="B33" s="15"/>
      <c r="C33" s="13"/>
    </row>
    <row r="34" spans="1:3" ht="15.75" customHeight="1" x14ac:dyDescent="0.2">
      <c r="A34" s="14" t="s">
        <v>1612</v>
      </c>
      <c r="B34" s="15"/>
      <c r="C34" s="13"/>
    </row>
    <row r="35" spans="1:3" ht="15.75" customHeight="1" x14ac:dyDescent="0.2">
      <c r="A35" s="14" t="s">
        <v>25</v>
      </c>
      <c r="B35" s="15"/>
      <c r="C35" s="13"/>
    </row>
    <row r="36" spans="1:3" ht="15.75" customHeight="1" x14ac:dyDescent="0.2">
      <c r="A36" s="14" t="s">
        <v>1613</v>
      </c>
      <c r="B36" s="15"/>
      <c r="C36" s="13"/>
    </row>
    <row r="37" spans="1:3" ht="15.75" customHeight="1" x14ac:dyDescent="0.2">
      <c r="A37" s="14" t="s">
        <v>1614</v>
      </c>
      <c r="B37" s="15"/>
      <c r="C37" s="13"/>
    </row>
    <row r="38" spans="1:3" ht="15.75" customHeight="1" x14ac:dyDescent="0.2">
      <c r="A38" s="14" t="s">
        <v>1615</v>
      </c>
      <c r="B38" s="15"/>
      <c r="C38" s="13"/>
    </row>
    <row r="39" spans="1:3" ht="15.75" customHeight="1" x14ac:dyDescent="0.2">
      <c r="A39" s="21"/>
      <c r="B39" s="13"/>
      <c r="C39" s="13"/>
    </row>
    <row r="40" spans="1:3" ht="15.75" customHeight="1" x14ac:dyDescent="0.2">
      <c r="A40" s="21"/>
      <c r="B40" s="13"/>
      <c r="C40" s="13"/>
    </row>
    <row r="41" spans="1:3" ht="15.75" customHeight="1" x14ac:dyDescent="0.2">
      <c r="A41" s="21"/>
      <c r="B41" s="13"/>
      <c r="C41" s="13"/>
    </row>
    <row r="42" spans="1:3" ht="15.75" customHeight="1" x14ac:dyDescent="0.2">
      <c r="B42" s="13"/>
      <c r="C42" s="13"/>
    </row>
    <row r="43" spans="1:3" ht="15.75" customHeight="1" x14ac:dyDescent="0.2">
      <c r="B43" s="13"/>
      <c r="C43" s="13"/>
    </row>
    <row r="44" spans="1:3" ht="15.75" customHeight="1" x14ac:dyDescent="0.2">
      <c r="B44" s="13"/>
      <c r="C44" s="13"/>
    </row>
    <row r="45" spans="1:3" ht="15.75" customHeight="1" x14ac:dyDescent="0.2">
      <c r="B45" s="13"/>
      <c r="C45" s="13"/>
    </row>
    <row r="46" spans="1:3" ht="15.75" customHeight="1" x14ac:dyDescent="0.2">
      <c r="B46" s="13"/>
      <c r="C46" s="13"/>
    </row>
    <row r="47" spans="1:3" ht="15.75" customHeight="1" x14ac:dyDescent="0.2">
      <c r="B47" s="13"/>
      <c r="C47" s="13"/>
    </row>
    <row r="48" spans="1:3" ht="15.75" customHeight="1" x14ac:dyDescent="0.2">
      <c r="B48" s="13"/>
      <c r="C48" s="13"/>
    </row>
    <row r="49" spans="2:3" ht="15.75" customHeight="1" x14ac:dyDescent="0.2">
      <c r="B49" s="13"/>
      <c r="C49" s="13"/>
    </row>
    <row r="50" spans="2:3" ht="15.75" customHeight="1" x14ac:dyDescent="0.2">
      <c r="B50" s="13"/>
      <c r="C50" s="13"/>
    </row>
    <row r="51" spans="2:3" ht="15.75" customHeight="1" x14ac:dyDescent="0.2">
      <c r="B51" s="13"/>
      <c r="C51" s="13"/>
    </row>
    <row r="52" spans="2:3" ht="15.75" customHeight="1" x14ac:dyDescent="0.2">
      <c r="B52" s="13"/>
      <c r="C52" s="13"/>
    </row>
    <row r="53" spans="2:3" ht="15.75" customHeight="1" x14ac:dyDescent="0.2">
      <c r="B53" s="13"/>
      <c r="C53" s="13"/>
    </row>
    <row r="54" spans="2:3" ht="15.75" customHeight="1" x14ac:dyDescent="0.2">
      <c r="B54" s="13"/>
      <c r="C54" s="13"/>
    </row>
    <row r="55" spans="2:3" ht="15.75" customHeight="1" x14ac:dyDescent="0.2">
      <c r="B55" s="13"/>
      <c r="C55" s="13"/>
    </row>
    <row r="56" spans="2:3" ht="15.75" customHeight="1" x14ac:dyDescent="0.2">
      <c r="B56" s="13"/>
      <c r="C56" s="13"/>
    </row>
    <row r="57" spans="2:3" ht="15.75" customHeight="1" x14ac:dyDescent="0.2">
      <c r="B57" s="13"/>
      <c r="C57" s="13"/>
    </row>
    <row r="58" spans="2:3" ht="15.75" customHeight="1" x14ac:dyDescent="0.2">
      <c r="B58" s="13"/>
      <c r="C58" s="13"/>
    </row>
    <row r="59" spans="2:3" ht="15.75" customHeight="1" x14ac:dyDescent="0.2">
      <c r="B59" s="13"/>
      <c r="C59" s="13"/>
    </row>
    <row r="60" spans="2:3" ht="15.75" customHeight="1" x14ac:dyDescent="0.2">
      <c r="B60" s="13"/>
      <c r="C60" s="13"/>
    </row>
    <row r="61" spans="2:3" ht="15.75" customHeight="1" x14ac:dyDescent="0.2">
      <c r="B61" s="13"/>
      <c r="C61" s="13"/>
    </row>
    <row r="62" spans="2:3" ht="15.75" customHeight="1" x14ac:dyDescent="0.2">
      <c r="B62" s="13"/>
      <c r="C62" s="13"/>
    </row>
    <row r="63" spans="2:3" ht="15.75" customHeight="1" x14ac:dyDescent="0.2">
      <c r="B63" s="13"/>
      <c r="C63" s="13"/>
    </row>
    <row r="64" spans="2:3" ht="15.75" customHeight="1" x14ac:dyDescent="0.2">
      <c r="B64" s="13"/>
      <c r="C64" s="13"/>
    </row>
    <row r="65" spans="2:3" ht="15.75" customHeight="1" x14ac:dyDescent="0.2">
      <c r="B65" s="13"/>
      <c r="C65" s="13"/>
    </row>
    <row r="66" spans="2:3" ht="15.75" customHeight="1" x14ac:dyDescent="0.2">
      <c r="B66" s="13"/>
      <c r="C66" s="13"/>
    </row>
    <row r="67" spans="2:3" ht="15.75" customHeight="1" x14ac:dyDescent="0.2">
      <c r="B67" s="13"/>
      <c r="C67" s="13"/>
    </row>
    <row r="68" spans="2:3" ht="15.75" customHeight="1" x14ac:dyDescent="0.2">
      <c r="B68" s="13"/>
      <c r="C68" s="13"/>
    </row>
    <row r="69" spans="2:3" ht="15.75" customHeight="1" x14ac:dyDescent="0.2">
      <c r="B69" s="13"/>
      <c r="C69" s="13"/>
    </row>
    <row r="70" spans="2:3" ht="15.75" customHeight="1" x14ac:dyDescent="0.2">
      <c r="B70" s="13"/>
      <c r="C70" s="13"/>
    </row>
    <row r="71" spans="2:3" ht="15.75" customHeight="1" x14ac:dyDescent="0.2">
      <c r="B71" s="13"/>
      <c r="C71" s="13"/>
    </row>
    <row r="72" spans="2:3" ht="15.75" customHeight="1" x14ac:dyDescent="0.2">
      <c r="B72" s="13"/>
      <c r="C72" s="13"/>
    </row>
    <row r="73" spans="2:3" ht="15.75" customHeight="1" x14ac:dyDescent="0.2">
      <c r="B73" s="13"/>
      <c r="C73" s="13"/>
    </row>
    <row r="74" spans="2:3" ht="15.75" customHeight="1" x14ac:dyDescent="0.2">
      <c r="B74" s="13"/>
      <c r="C74" s="13"/>
    </row>
    <row r="75" spans="2:3" ht="15.75" customHeight="1" x14ac:dyDescent="0.2">
      <c r="B75" s="13"/>
      <c r="C75" s="13"/>
    </row>
    <row r="76" spans="2:3" ht="15.75" customHeight="1" x14ac:dyDescent="0.2">
      <c r="B76" s="13"/>
      <c r="C76" s="13"/>
    </row>
    <row r="77" spans="2:3" ht="15.75" customHeight="1" x14ac:dyDescent="0.2">
      <c r="B77" s="13"/>
      <c r="C77" s="13"/>
    </row>
    <row r="78" spans="2:3" ht="15.75" customHeight="1" x14ac:dyDescent="0.2">
      <c r="B78" s="13"/>
      <c r="C78" s="13"/>
    </row>
    <row r="79" spans="2:3" ht="15.75" customHeight="1" x14ac:dyDescent="0.2">
      <c r="B79" s="13"/>
      <c r="C79" s="13"/>
    </row>
    <row r="80" spans="2:3" ht="15.75" customHeight="1" x14ac:dyDescent="0.2">
      <c r="B80" s="13"/>
      <c r="C80" s="13"/>
    </row>
    <row r="81" spans="2:3" ht="15.75" customHeight="1" x14ac:dyDescent="0.2">
      <c r="B81" s="13"/>
      <c r="C81" s="13"/>
    </row>
    <row r="82" spans="2:3" ht="15.75" customHeight="1" x14ac:dyDescent="0.2">
      <c r="B82" s="13"/>
      <c r="C82" s="13"/>
    </row>
    <row r="83" spans="2:3" ht="15.75" customHeight="1" x14ac:dyDescent="0.2">
      <c r="B83" s="13"/>
      <c r="C83" s="13"/>
    </row>
    <row r="84" spans="2:3" ht="15.75" customHeight="1" x14ac:dyDescent="0.2">
      <c r="B84" s="13"/>
      <c r="C84" s="13"/>
    </row>
    <row r="85" spans="2:3" ht="15.75" customHeight="1" x14ac:dyDescent="0.2">
      <c r="B85" s="13"/>
      <c r="C85" s="13"/>
    </row>
    <row r="86" spans="2:3" ht="15.75" customHeight="1" x14ac:dyDescent="0.2">
      <c r="B86" s="13"/>
      <c r="C86" s="13"/>
    </row>
    <row r="87" spans="2:3" ht="15.75" customHeight="1" x14ac:dyDescent="0.2">
      <c r="B87" s="13"/>
      <c r="C87" s="13"/>
    </row>
    <row r="88" spans="2:3" ht="15.75" customHeight="1" x14ac:dyDescent="0.2">
      <c r="B88" s="13"/>
      <c r="C88" s="13"/>
    </row>
    <row r="89" spans="2:3" ht="15.75" customHeight="1" x14ac:dyDescent="0.2">
      <c r="B89" s="13"/>
      <c r="C89" s="13"/>
    </row>
    <row r="90" spans="2:3" ht="15.75" customHeight="1" x14ac:dyDescent="0.2">
      <c r="B90" s="13"/>
      <c r="C90" s="13"/>
    </row>
    <row r="91" spans="2:3" ht="15.75" customHeight="1" x14ac:dyDescent="0.2">
      <c r="B91" s="13"/>
      <c r="C91" s="13"/>
    </row>
    <row r="92" spans="2:3" ht="15.75" customHeight="1" x14ac:dyDescent="0.2">
      <c r="B92" s="13"/>
      <c r="C92" s="13"/>
    </row>
    <row r="93" spans="2:3" ht="15.75" customHeight="1" x14ac:dyDescent="0.2">
      <c r="B93" s="13"/>
      <c r="C93" s="13"/>
    </row>
    <row r="94" spans="2:3" ht="15.75" customHeight="1" x14ac:dyDescent="0.2">
      <c r="B94" s="13"/>
      <c r="C94" s="13"/>
    </row>
    <row r="95" spans="2:3" ht="15.75" customHeight="1" x14ac:dyDescent="0.2">
      <c r="B95" s="13"/>
      <c r="C95" s="13"/>
    </row>
    <row r="96" spans="2:3" ht="15.75" customHeight="1" x14ac:dyDescent="0.2">
      <c r="B96" s="13"/>
      <c r="C96" s="13"/>
    </row>
    <row r="97" spans="2:3" ht="15.75" customHeight="1" x14ac:dyDescent="0.2">
      <c r="B97" s="13"/>
      <c r="C97" s="13"/>
    </row>
    <row r="98" spans="2:3" ht="15.75" customHeight="1" x14ac:dyDescent="0.2">
      <c r="B98" s="13"/>
      <c r="C98" s="13"/>
    </row>
    <row r="99" spans="2:3" ht="15.75" customHeight="1" x14ac:dyDescent="0.2">
      <c r="B99" s="13"/>
      <c r="C99" s="13"/>
    </row>
    <row r="100" spans="2:3" ht="15.75" customHeight="1" x14ac:dyDescent="0.2">
      <c r="B100" s="13"/>
      <c r="C100" s="13"/>
    </row>
    <row r="101" spans="2:3" ht="15.75" customHeight="1" x14ac:dyDescent="0.2">
      <c r="B101" s="13"/>
      <c r="C101" s="13"/>
    </row>
    <row r="102" spans="2:3" ht="15.75" customHeight="1" x14ac:dyDescent="0.2">
      <c r="B102" s="13"/>
      <c r="C102" s="13"/>
    </row>
    <row r="103" spans="2:3" ht="15.75" customHeight="1" x14ac:dyDescent="0.2">
      <c r="B103" s="13"/>
      <c r="C103" s="13"/>
    </row>
    <row r="104" spans="2:3" ht="15.75" customHeight="1" x14ac:dyDescent="0.2">
      <c r="B104" s="13"/>
      <c r="C104" s="13"/>
    </row>
    <row r="105" spans="2:3" ht="15.75" customHeight="1" x14ac:dyDescent="0.2">
      <c r="B105" s="13"/>
      <c r="C105" s="13"/>
    </row>
    <row r="106" spans="2:3" ht="15.75" customHeight="1" x14ac:dyDescent="0.2">
      <c r="B106" s="13"/>
      <c r="C106" s="13"/>
    </row>
    <row r="107" spans="2:3" ht="15.75" customHeight="1" x14ac:dyDescent="0.2">
      <c r="B107" s="13"/>
      <c r="C107" s="13"/>
    </row>
    <row r="108" spans="2:3" ht="15.75" customHeight="1" x14ac:dyDescent="0.2">
      <c r="B108" s="13"/>
      <c r="C108" s="13"/>
    </row>
    <row r="109" spans="2:3" ht="15.75" customHeight="1" x14ac:dyDescent="0.2">
      <c r="B109" s="13"/>
      <c r="C109" s="13"/>
    </row>
    <row r="110" spans="2:3" ht="15.75" customHeight="1" x14ac:dyDescent="0.2">
      <c r="B110" s="13"/>
      <c r="C110" s="13"/>
    </row>
    <row r="111" spans="2:3" ht="15.75" customHeight="1" x14ac:dyDescent="0.2">
      <c r="B111" s="13"/>
      <c r="C111" s="13"/>
    </row>
    <row r="112" spans="2:3" ht="15.75" customHeight="1" x14ac:dyDescent="0.2">
      <c r="B112" s="13"/>
      <c r="C112" s="13"/>
    </row>
    <row r="113" spans="2:3" ht="15.75" customHeight="1" x14ac:dyDescent="0.2">
      <c r="B113" s="13"/>
      <c r="C113" s="13"/>
    </row>
    <row r="114" spans="2:3" ht="15.75" customHeight="1" x14ac:dyDescent="0.2">
      <c r="B114" s="13"/>
      <c r="C114" s="13"/>
    </row>
    <row r="115" spans="2:3" ht="15.75" customHeight="1" x14ac:dyDescent="0.2">
      <c r="B115" s="13"/>
      <c r="C115" s="13"/>
    </row>
    <row r="116" spans="2:3" ht="15.75" customHeight="1" x14ac:dyDescent="0.2">
      <c r="B116" s="13"/>
      <c r="C116" s="13"/>
    </row>
    <row r="117" spans="2:3" ht="15.75" customHeight="1" x14ac:dyDescent="0.2">
      <c r="B117" s="13"/>
      <c r="C117" s="13"/>
    </row>
    <row r="118" spans="2:3" ht="15.75" customHeight="1" x14ac:dyDescent="0.2">
      <c r="B118" s="13"/>
      <c r="C118" s="13"/>
    </row>
    <row r="119" spans="2:3" ht="15.75" customHeight="1" x14ac:dyDescent="0.2">
      <c r="B119" s="13"/>
      <c r="C119" s="13"/>
    </row>
    <row r="120" spans="2:3" ht="15.75" customHeight="1" x14ac:dyDescent="0.2">
      <c r="B120" s="13"/>
      <c r="C120" s="13"/>
    </row>
    <row r="121" spans="2:3" ht="15.75" customHeight="1" x14ac:dyDescent="0.2">
      <c r="B121" s="13"/>
      <c r="C121" s="13"/>
    </row>
    <row r="122" spans="2:3" ht="15.75" customHeight="1" x14ac:dyDescent="0.2">
      <c r="B122" s="13"/>
      <c r="C122" s="13"/>
    </row>
    <row r="123" spans="2:3" ht="15.75" customHeight="1" x14ac:dyDescent="0.2">
      <c r="B123" s="13"/>
      <c r="C123" s="13"/>
    </row>
    <row r="124" spans="2:3" ht="15.75" customHeight="1" x14ac:dyDescent="0.2">
      <c r="B124" s="13"/>
      <c r="C124" s="13"/>
    </row>
    <row r="125" spans="2:3" ht="15.75" customHeight="1" x14ac:dyDescent="0.2">
      <c r="B125" s="13"/>
      <c r="C125" s="13"/>
    </row>
    <row r="126" spans="2:3" ht="15.75" customHeight="1" x14ac:dyDescent="0.2">
      <c r="B126" s="13"/>
      <c r="C126" s="13"/>
    </row>
    <row r="127" spans="2:3" ht="15.75" customHeight="1" x14ac:dyDescent="0.2">
      <c r="B127" s="13"/>
      <c r="C127" s="13"/>
    </row>
    <row r="128" spans="2:3" ht="15.75" customHeight="1" x14ac:dyDescent="0.2">
      <c r="B128" s="13"/>
      <c r="C128" s="13"/>
    </row>
    <row r="129" spans="2:3" ht="15.75" customHeight="1" x14ac:dyDescent="0.2">
      <c r="B129" s="13"/>
      <c r="C129" s="13"/>
    </row>
    <row r="130" spans="2:3" ht="15.75" customHeight="1" x14ac:dyDescent="0.2">
      <c r="B130" s="13"/>
      <c r="C130" s="13"/>
    </row>
    <row r="131" spans="2:3" ht="15.75" customHeight="1" x14ac:dyDescent="0.2">
      <c r="B131" s="13"/>
      <c r="C131" s="13"/>
    </row>
    <row r="132" spans="2:3" ht="15.75" customHeight="1" x14ac:dyDescent="0.2">
      <c r="B132" s="13"/>
      <c r="C132" s="13"/>
    </row>
    <row r="133" spans="2:3" ht="15.75" customHeight="1" x14ac:dyDescent="0.2">
      <c r="B133" s="13"/>
      <c r="C133" s="13"/>
    </row>
    <row r="134" spans="2:3" ht="15.75" customHeight="1" x14ac:dyDescent="0.2">
      <c r="B134" s="13"/>
      <c r="C134" s="13"/>
    </row>
    <row r="135" spans="2:3" ht="15.75" customHeight="1" x14ac:dyDescent="0.2">
      <c r="B135" s="13"/>
      <c r="C135" s="13"/>
    </row>
    <row r="136" spans="2:3" ht="15.75" customHeight="1" x14ac:dyDescent="0.2">
      <c r="B136" s="13"/>
      <c r="C136" s="13"/>
    </row>
    <row r="137" spans="2:3" ht="15.75" customHeight="1" x14ac:dyDescent="0.2">
      <c r="B137" s="13"/>
      <c r="C137" s="13"/>
    </row>
    <row r="138" spans="2:3" ht="15.75" customHeight="1" x14ac:dyDescent="0.2">
      <c r="B138" s="13"/>
      <c r="C138" s="13"/>
    </row>
    <row r="139" spans="2:3" ht="15.75" customHeight="1" x14ac:dyDescent="0.2">
      <c r="B139" s="13"/>
      <c r="C139" s="13"/>
    </row>
    <row r="140" spans="2:3" ht="15.75" customHeight="1" x14ac:dyDescent="0.2">
      <c r="B140" s="13"/>
      <c r="C140" s="13"/>
    </row>
    <row r="141" spans="2:3" ht="15.75" customHeight="1" x14ac:dyDescent="0.2">
      <c r="B141" s="13"/>
      <c r="C141" s="13"/>
    </row>
    <row r="142" spans="2:3" ht="15.75" customHeight="1" x14ac:dyDescent="0.2">
      <c r="B142" s="13"/>
      <c r="C142" s="13"/>
    </row>
    <row r="143" spans="2:3" ht="15.75" customHeight="1" x14ac:dyDescent="0.2">
      <c r="B143" s="13"/>
      <c r="C143" s="13"/>
    </row>
    <row r="144" spans="2:3" ht="15.75" customHeight="1" x14ac:dyDescent="0.2">
      <c r="B144" s="13"/>
      <c r="C144" s="13"/>
    </row>
    <row r="145" spans="2:3" ht="15.75" customHeight="1" x14ac:dyDescent="0.2">
      <c r="B145" s="13"/>
      <c r="C145" s="13"/>
    </row>
    <row r="146" spans="2:3" ht="15.75" customHeight="1" x14ac:dyDescent="0.2">
      <c r="B146" s="13"/>
      <c r="C146" s="13"/>
    </row>
    <row r="147" spans="2:3" ht="15.75" customHeight="1" x14ac:dyDescent="0.2">
      <c r="B147" s="13"/>
      <c r="C147" s="13"/>
    </row>
    <row r="148" spans="2:3" ht="15.75" customHeight="1" x14ac:dyDescent="0.2">
      <c r="B148" s="13"/>
      <c r="C148" s="13"/>
    </row>
    <row r="149" spans="2:3" ht="15.75" customHeight="1" x14ac:dyDescent="0.2">
      <c r="B149" s="13"/>
      <c r="C149" s="13"/>
    </row>
    <row r="150" spans="2:3" ht="15.75" customHeight="1" x14ac:dyDescent="0.2">
      <c r="B150" s="13"/>
      <c r="C150" s="13"/>
    </row>
    <row r="151" spans="2:3" ht="15.75" customHeight="1" x14ac:dyDescent="0.2">
      <c r="B151" s="13"/>
      <c r="C151" s="13"/>
    </row>
    <row r="152" spans="2:3" ht="15.75" customHeight="1" x14ac:dyDescent="0.2">
      <c r="B152" s="13"/>
      <c r="C152" s="13"/>
    </row>
    <row r="153" spans="2:3" ht="15.75" customHeight="1" x14ac:dyDescent="0.2">
      <c r="B153" s="13"/>
      <c r="C153" s="13"/>
    </row>
    <row r="154" spans="2:3" ht="15.75" customHeight="1" x14ac:dyDescent="0.2">
      <c r="B154" s="13"/>
      <c r="C154" s="13"/>
    </row>
    <row r="155" spans="2:3" ht="15.75" customHeight="1" x14ac:dyDescent="0.2">
      <c r="B155" s="13"/>
      <c r="C155" s="13"/>
    </row>
    <row r="156" spans="2:3" ht="15.75" customHeight="1" x14ac:dyDescent="0.2">
      <c r="B156" s="13"/>
      <c r="C156" s="13"/>
    </row>
    <row r="157" spans="2:3" ht="15.75" customHeight="1" x14ac:dyDescent="0.2">
      <c r="B157" s="13"/>
      <c r="C157" s="13"/>
    </row>
    <row r="158" spans="2:3" ht="15.75" customHeight="1" x14ac:dyDescent="0.2">
      <c r="B158" s="13"/>
      <c r="C158" s="13"/>
    </row>
    <row r="159" spans="2:3" ht="15.75" customHeight="1" x14ac:dyDescent="0.2">
      <c r="B159" s="13"/>
      <c r="C159" s="13"/>
    </row>
    <row r="160" spans="2:3" ht="15.75" customHeight="1" x14ac:dyDescent="0.2">
      <c r="B160" s="13"/>
      <c r="C160" s="13"/>
    </row>
    <row r="161" spans="2:3" ht="15.75" customHeight="1" x14ac:dyDescent="0.2">
      <c r="B161" s="13"/>
      <c r="C161" s="13"/>
    </row>
    <row r="162" spans="2:3" ht="15.75" customHeight="1" x14ac:dyDescent="0.2">
      <c r="B162" s="13"/>
      <c r="C162" s="13"/>
    </row>
    <row r="163" spans="2:3" ht="15.75" customHeight="1" x14ac:dyDescent="0.2">
      <c r="B163" s="13"/>
      <c r="C163" s="13"/>
    </row>
    <row r="164" spans="2:3" ht="15.75" customHeight="1" x14ac:dyDescent="0.2">
      <c r="B164" s="13"/>
      <c r="C164" s="13"/>
    </row>
    <row r="165" spans="2:3" ht="15.75" customHeight="1" x14ac:dyDescent="0.2">
      <c r="B165" s="13"/>
      <c r="C165" s="13"/>
    </row>
    <row r="166" spans="2:3" ht="15.75" customHeight="1" x14ac:dyDescent="0.2">
      <c r="B166" s="13"/>
      <c r="C166" s="13"/>
    </row>
    <row r="167" spans="2:3" ht="15.75" customHeight="1" x14ac:dyDescent="0.2">
      <c r="B167" s="13"/>
      <c r="C167" s="13"/>
    </row>
    <row r="168" spans="2:3" ht="15.75" customHeight="1" x14ac:dyDescent="0.2">
      <c r="B168" s="13"/>
      <c r="C168" s="13"/>
    </row>
    <row r="169" spans="2:3" ht="15.75" customHeight="1" x14ac:dyDescent="0.2">
      <c r="B169" s="13"/>
      <c r="C169" s="13"/>
    </row>
    <row r="170" spans="2:3" ht="15.75" customHeight="1" x14ac:dyDescent="0.2">
      <c r="B170" s="13"/>
      <c r="C170" s="13"/>
    </row>
    <row r="171" spans="2:3" ht="15.75" customHeight="1" x14ac:dyDescent="0.2">
      <c r="B171" s="13"/>
      <c r="C171" s="13"/>
    </row>
    <row r="172" spans="2:3" ht="15.75" customHeight="1" x14ac:dyDescent="0.2">
      <c r="B172" s="13"/>
      <c r="C172" s="13"/>
    </row>
    <row r="173" spans="2:3" ht="15.75" customHeight="1" x14ac:dyDescent="0.2">
      <c r="B173" s="13"/>
      <c r="C173" s="13"/>
    </row>
    <row r="174" spans="2:3" ht="15.75" customHeight="1" x14ac:dyDescent="0.2">
      <c r="B174" s="13"/>
      <c r="C174" s="13"/>
    </row>
    <row r="175" spans="2:3" ht="15.75" customHeight="1" x14ac:dyDescent="0.2">
      <c r="B175" s="13"/>
      <c r="C175" s="13"/>
    </row>
    <row r="176" spans="2:3" ht="15.75" customHeight="1" x14ac:dyDescent="0.2">
      <c r="B176" s="13"/>
      <c r="C176" s="13"/>
    </row>
    <row r="177" spans="2:3" ht="15.75" customHeight="1" x14ac:dyDescent="0.2">
      <c r="B177" s="13"/>
      <c r="C177" s="13"/>
    </row>
    <row r="178" spans="2:3" ht="15.75" customHeight="1" x14ac:dyDescent="0.2">
      <c r="B178" s="13"/>
      <c r="C178" s="13"/>
    </row>
    <row r="179" spans="2:3" ht="15.75" customHeight="1" x14ac:dyDescent="0.2">
      <c r="B179" s="13"/>
      <c r="C179" s="13"/>
    </row>
    <row r="180" spans="2:3" ht="15.75" customHeight="1" x14ac:dyDescent="0.2">
      <c r="B180" s="13"/>
      <c r="C180" s="13"/>
    </row>
    <row r="181" spans="2:3" ht="15.75" customHeight="1" x14ac:dyDescent="0.2">
      <c r="B181" s="13"/>
      <c r="C181" s="13"/>
    </row>
    <row r="182" spans="2:3" ht="15.75" customHeight="1" x14ac:dyDescent="0.2">
      <c r="B182" s="13"/>
      <c r="C182" s="13"/>
    </row>
    <row r="183" spans="2:3" ht="15.75" customHeight="1" x14ac:dyDescent="0.2">
      <c r="B183" s="13"/>
      <c r="C183" s="13"/>
    </row>
    <row r="184" spans="2:3" ht="15.75" customHeight="1" x14ac:dyDescent="0.2">
      <c r="B184" s="13"/>
      <c r="C184" s="13"/>
    </row>
    <row r="185" spans="2:3" ht="15.75" customHeight="1" x14ac:dyDescent="0.2">
      <c r="B185" s="13"/>
      <c r="C185" s="13"/>
    </row>
    <row r="186" spans="2:3" ht="15.75" customHeight="1" x14ac:dyDescent="0.2">
      <c r="B186" s="13"/>
      <c r="C186" s="13"/>
    </row>
    <row r="187" spans="2:3" ht="15.75" customHeight="1" x14ac:dyDescent="0.2">
      <c r="B187" s="13"/>
      <c r="C187" s="13"/>
    </row>
    <row r="188" spans="2:3" ht="15.75" customHeight="1" x14ac:dyDescent="0.2">
      <c r="B188" s="13"/>
      <c r="C188" s="13"/>
    </row>
    <row r="189" spans="2:3" ht="15.75" customHeight="1" x14ac:dyDescent="0.2">
      <c r="B189" s="13"/>
      <c r="C189" s="13"/>
    </row>
    <row r="190" spans="2:3" ht="15.75" customHeight="1" x14ac:dyDescent="0.2">
      <c r="B190" s="13"/>
      <c r="C190" s="13"/>
    </row>
    <row r="191" spans="2:3" ht="15.75" customHeight="1" x14ac:dyDescent="0.2">
      <c r="B191" s="13"/>
      <c r="C191" s="13"/>
    </row>
    <row r="192" spans="2:3" ht="15.75" customHeight="1" x14ac:dyDescent="0.2">
      <c r="B192" s="13"/>
      <c r="C192" s="13"/>
    </row>
    <row r="193" spans="2:3" ht="15.75" customHeight="1" x14ac:dyDescent="0.2">
      <c r="B193" s="13"/>
      <c r="C193" s="13"/>
    </row>
    <row r="194" spans="2:3" ht="15.75" customHeight="1" x14ac:dyDescent="0.2">
      <c r="B194" s="13"/>
      <c r="C194" s="13"/>
    </row>
    <row r="195" spans="2:3" ht="15.75" customHeight="1" x14ac:dyDescent="0.2">
      <c r="B195" s="13"/>
      <c r="C195" s="13"/>
    </row>
    <row r="196" spans="2:3" ht="15.75" customHeight="1" x14ac:dyDescent="0.2">
      <c r="B196" s="13"/>
      <c r="C196" s="13"/>
    </row>
    <row r="197" spans="2:3" ht="15.75" customHeight="1" x14ac:dyDescent="0.2">
      <c r="B197" s="13"/>
      <c r="C197" s="13"/>
    </row>
    <row r="198" spans="2:3" ht="15.75" customHeight="1" x14ac:dyDescent="0.2">
      <c r="B198" s="13"/>
      <c r="C198" s="13"/>
    </row>
    <row r="199" spans="2:3" ht="15.75" customHeight="1" x14ac:dyDescent="0.2">
      <c r="B199" s="13"/>
      <c r="C199" s="13"/>
    </row>
    <row r="200" spans="2:3" ht="15.75" customHeight="1" x14ac:dyDescent="0.2">
      <c r="B200" s="13"/>
      <c r="C200" s="13"/>
    </row>
    <row r="201" spans="2:3" ht="15.75" customHeight="1" x14ac:dyDescent="0.2">
      <c r="B201" s="13"/>
      <c r="C201" s="13"/>
    </row>
    <row r="202" spans="2:3" ht="15.75" customHeight="1" x14ac:dyDescent="0.2">
      <c r="B202" s="13"/>
      <c r="C202" s="13"/>
    </row>
    <row r="203" spans="2:3" ht="15.75" customHeight="1" x14ac:dyDescent="0.2">
      <c r="B203" s="13"/>
      <c r="C203" s="13"/>
    </row>
    <row r="204" spans="2:3" ht="15.75" customHeight="1" x14ac:dyDescent="0.2">
      <c r="B204" s="13"/>
      <c r="C204" s="13"/>
    </row>
    <row r="205" spans="2:3" ht="15.75" customHeight="1" x14ac:dyDescent="0.2">
      <c r="B205" s="13"/>
      <c r="C205" s="13"/>
    </row>
    <row r="206" spans="2:3" ht="15.75" customHeight="1" x14ac:dyDescent="0.2">
      <c r="B206" s="13"/>
      <c r="C206" s="13"/>
    </row>
    <row r="207" spans="2:3" ht="15.75" customHeight="1" x14ac:dyDescent="0.2">
      <c r="B207" s="13"/>
      <c r="C207" s="13"/>
    </row>
    <row r="208" spans="2:3" ht="15.75" customHeight="1" x14ac:dyDescent="0.2">
      <c r="B208" s="13"/>
      <c r="C208" s="13"/>
    </row>
    <row r="209" spans="2:3" ht="15.75" customHeight="1" x14ac:dyDescent="0.2">
      <c r="B209" s="13"/>
      <c r="C209" s="13"/>
    </row>
    <row r="210" spans="2:3" ht="15.75" customHeight="1" x14ac:dyDescent="0.2">
      <c r="B210" s="13"/>
      <c r="C210" s="13"/>
    </row>
    <row r="211" spans="2:3" ht="15.75" customHeight="1" x14ac:dyDescent="0.2">
      <c r="B211" s="13"/>
      <c r="C211" s="13"/>
    </row>
    <row r="212" spans="2:3" ht="15.75" customHeight="1" x14ac:dyDescent="0.2">
      <c r="B212" s="13"/>
      <c r="C212" s="13"/>
    </row>
    <row r="213" spans="2:3" ht="15.75" customHeight="1" x14ac:dyDescent="0.2">
      <c r="B213" s="13"/>
      <c r="C213" s="13"/>
    </row>
    <row r="214" spans="2:3" ht="15.75" customHeight="1" x14ac:dyDescent="0.2">
      <c r="B214" s="13"/>
      <c r="C214" s="13"/>
    </row>
    <row r="215" spans="2:3" ht="15.75" customHeight="1" x14ac:dyDescent="0.2">
      <c r="B215" s="13"/>
      <c r="C215" s="13"/>
    </row>
    <row r="216" spans="2:3" ht="15.75" customHeight="1" x14ac:dyDescent="0.2">
      <c r="B216" s="13"/>
      <c r="C216" s="13"/>
    </row>
    <row r="217" spans="2:3" ht="15.75" customHeight="1" x14ac:dyDescent="0.2">
      <c r="B217" s="13"/>
      <c r="C217" s="13"/>
    </row>
    <row r="218" spans="2:3" ht="15.75" customHeight="1" x14ac:dyDescent="0.2">
      <c r="B218" s="13"/>
      <c r="C218" s="13"/>
    </row>
    <row r="219" spans="2:3" ht="15.75" customHeight="1" x14ac:dyDescent="0.2">
      <c r="B219" s="13"/>
      <c r="C219" s="13"/>
    </row>
    <row r="220" spans="2:3" ht="15.75" customHeight="1" x14ac:dyDescent="0.2">
      <c r="B220" s="13"/>
      <c r="C220" s="13"/>
    </row>
    <row r="221" spans="2:3" ht="15.75" customHeight="1" x14ac:dyDescent="0.2">
      <c r="B221" s="13"/>
      <c r="C221" s="13"/>
    </row>
    <row r="222" spans="2:3" ht="15.75" customHeight="1" x14ac:dyDescent="0.2">
      <c r="B222" s="13"/>
      <c r="C222" s="13"/>
    </row>
    <row r="223" spans="2:3" ht="15.75" customHeight="1" x14ac:dyDescent="0.2">
      <c r="B223" s="13"/>
      <c r="C223" s="13"/>
    </row>
    <row r="224" spans="2:3" ht="15.75" customHeight="1" x14ac:dyDescent="0.2">
      <c r="B224" s="13"/>
      <c r="C224" s="13"/>
    </row>
    <row r="225" spans="2:3" ht="15.75" customHeight="1" x14ac:dyDescent="0.2">
      <c r="B225" s="13"/>
      <c r="C225" s="13"/>
    </row>
    <row r="226" spans="2:3" ht="15.75" customHeight="1" x14ac:dyDescent="0.2">
      <c r="B226" s="13"/>
      <c r="C226" s="13"/>
    </row>
    <row r="227" spans="2:3" ht="15.75" customHeight="1" x14ac:dyDescent="0.2">
      <c r="B227" s="13"/>
      <c r="C227" s="13"/>
    </row>
    <row r="228" spans="2:3" ht="15.75" customHeight="1" x14ac:dyDescent="0.2">
      <c r="B228" s="13"/>
      <c r="C228" s="13"/>
    </row>
    <row r="229" spans="2:3" ht="15.75" customHeight="1" x14ac:dyDescent="0.2">
      <c r="B229" s="13"/>
      <c r="C229" s="13"/>
    </row>
    <row r="230" spans="2:3" ht="15.75" customHeight="1" x14ac:dyDescent="0.2">
      <c r="B230" s="13"/>
      <c r="C230" s="13"/>
    </row>
    <row r="231" spans="2:3" ht="15.75" customHeight="1" x14ac:dyDescent="0.2">
      <c r="B231" s="13"/>
      <c r="C231" s="13"/>
    </row>
    <row r="232" spans="2:3" ht="15.75" customHeight="1" x14ac:dyDescent="0.2">
      <c r="B232" s="13"/>
      <c r="C232" s="13"/>
    </row>
    <row r="233" spans="2:3" ht="15.75" customHeight="1" x14ac:dyDescent="0.2">
      <c r="B233" s="13"/>
      <c r="C233" s="13"/>
    </row>
    <row r="234" spans="2:3" ht="15.75" customHeight="1" x14ac:dyDescent="0.2">
      <c r="B234" s="13"/>
      <c r="C234" s="13"/>
    </row>
    <row r="235" spans="2:3" ht="15.75" customHeight="1" x14ac:dyDescent="0.2">
      <c r="B235" s="13"/>
      <c r="C235" s="13"/>
    </row>
    <row r="236" spans="2:3" ht="15.75" customHeight="1" x14ac:dyDescent="0.2">
      <c r="B236" s="13"/>
      <c r="C236" s="13"/>
    </row>
    <row r="237" spans="2:3" ht="15.75" customHeight="1" x14ac:dyDescent="0.2">
      <c r="B237" s="13"/>
      <c r="C237" s="13"/>
    </row>
    <row r="238" spans="2:3" ht="15.75" customHeight="1" x14ac:dyDescent="0.2">
      <c r="B238" s="13"/>
      <c r="C238" s="13"/>
    </row>
    <row r="239" spans="2:3" ht="15.75" customHeight="1" x14ac:dyDescent="0.2">
      <c r="B239" s="13"/>
      <c r="C239" s="13"/>
    </row>
    <row r="240" spans="2:3" ht="15.75" customHeight="1" x14ac:dyDescent="0.2">
      <c r="B240" s="13"/>
      <c r="C240" s="13"/>
    </row>
    <row r="241" spans="2:3" ht="15.75" customHeight="1" x14ac:dyDescent="0.2">
      <c r="B241" s="13"/>
      <c r="C241" s="13"/>
    </row>
    <row r="242" spans="2:3" ht="15.75" customHeight="1" x14ac:dyDescent="0.2">
      <c r="B242" s="13"/>
      <c r="C242" s="13"/>
    </row>
    <row r="243" spans="2:3" ht="15.75" customHeight="1" x14ac:dyDescent="0.2">
      <c r="B243" s="13"/>
      <c r="C243" s="13"/>
    </row>
    <row r="244" spans="2:3" ht="15.75" customHeight="1" x14ac:dyDescent="0.2">
      <c r="B244" s="13"/>
      <c r="C244" s="13"/>
    </row>
    <row r="245" spans="2:3" ht="15.75" customHeight="1" x14ac:dyDescent="0.2">
      <c r="B245" s="13"/>
      <c r="C245" s="13"/>
    </row>
    <row r="246" spans="2:3" ht="15.75" customHeight="1" x14ac:dyDescent="0.2">
      <c r="B246" s="13"/>
      <c r="C246" s="13"/>
    </row>
    <row r="247" spans="2:3" ht="15.75" customHeight="1" x14ac:dyDescent="0.2">
      <c r="B247" s="13"/>
      <c r="C247" s="13"/>
    </row>
    <row r="248" spans="2:3" ht="15.75" customHeight="1" x14ac:dyDescent="0.2">
      <c r="B248" s="13"/>
      <c r="C248" s="13"/>
    </row>
    <row r="249" spans="2:3" ht="15.75" customHeight="1" x14ac:dyDescent="0.2">
      <c r="B249" s="13"/>
      <c r="C249" s="13"/>
    </row>
    <row r="250" spans="2:3" ht="15.75" customHeight="1" x14ac:dyDescent="0.2">
      <c r="B250" s="13"/>
      <c r="C250" s="13"/>
    </row>
    <row r="251" spans="2:3" ht="15.75" customHeight="1" x14ac:dyDescent="0.2">
      <c r="B251" s="13"/>
      <c r="C251" s="13"/>
    </row>
    <row r="252" spans="2:3" ht="15.75" customHeight="1" x14ac:dyDescent="0.2">
      <c r="B252" s="13"/>
      <c r="C252" s="13"/>
    </row>
    <row r="253" spans="2:3" ht="15.75" customHeight="1" x14ac:dyDescent="0.2">
      <c r="B253" s="13"/>
      <c r="C253" s="13"/>
    </row>
    <row r="254" spans="2:3" ht="15.75" customHeight="1" x14ac:dyDescent="0.2">
      <c r="B254" s="13"/>
      <c r="C254" s="13"/>
    </row>
    <row r="255" spans="2:3" ht="15.75" customHeight="1" x14ac:dyDescent="0.2">
      <c r="B255" s="13"/>
      <c r="C255" s="13"/>
    </row>
    <row r="256" spans="2:3" ht="15.75" customHeight="1" x14ac:dyDescent="0.2">
      <c r="B256" s="13"/>
      <c r="C256" s="13"/>
    </row>
    <row r="257" spans="2:3" ht="15.75" customHeight="1" x14ac:dyDescent="0.2">
      <c r="B257" s="13"/>
      <c r="C257" s="13"/>
    </row>
    <row r="258" spans="2:3" ht="15.75" customHeight="1" x14ac:dyDescent="0.2">
      <c r="B258" s="13"/>
      <c r="C258" s="13"/>
    </row>
    <row r="259" spans="2:3" ht="15.75" customHeight="1" x14ac:dyDescent="0.2">
      <c r="B259" s="13"/>
      <c r="C259" s="13"/>
    </row>
    <row r="260" spans="2:3" ht="15.75" customHeight="1" x14ac:dyDescent="0.2">
      <c r="B260" s="13"/>
      <c r="C260" s="13"/>
    </row>
    <row r="261" spans="2:3" ht="15.75" customHeight="1" x14ac:dyDescent="0.2">
      <c r="B261" s="13"/>
      <c r="C261" s="13"/>
    </row>
    <row r="262" spans="2:3" ht="15.75" customHeight="1" x14ac:dyDescent="0.2">
      <c r="B262" s="13"/>
      <c r="C262" s="13"/>
    </row>
    <row r="263" spans="2:3" ht="15.75" customHeight="1" x14ac:dyDescent="0.2">
      <c r="B263" s="13"/>
      <c r="C263" s="13"/>
    </row>
    <row r="264" spans="2:3" ht="15.75" customHeight="1" x14ac:dyDescent="0.2">
      <c r="B264" s="13"/>
      <c r="C264" s="13"/>
    </row>
    <row r="265" spans="2:3" ht="15.75" customHeight="1" x14ac:dyDescent="0.2">
      <c r="B265" s="13"/>
      <c r="C265" s="13"/>
    </row>
    <row r="266" spans="2:3" ht="15.75" customHeight="1" x14ac:dyDescent="0.2">
      <c r="B266" s="13"/>
      <c r="C266" s="13"/>
    </row>
    <row r="267" spans="2:3" ht="15.75" customHeight="1" x14ac:dyDescent="0.2">
      <c r="B267" s="13"/>
      <c r="C267" s="13"/>
    </row>
    <row r="268" spans="2:3" ht="15.75" customHeight="1" x14ac:dyDescent="0.2">
      <c r="B268" s="13"/>
      <c r="C268" s="13"/>
    </row>
    <row r="269" spans="2:3" ht="15.75" customHeight="1" x14ac:dyDescent="0.2">
      <c r="B269" s="13"/>
      <c r="C269" s="13"/>
    </row>
    <row r="270" spans="2:3" ht="15.75" customHeight="1" x14ac:dyDescent="0.2">
      <c r="B270" s="13"/>
      <c r="C270" s="13"/>
    </row>
    <row r="271" spans="2:3" ht="15.75" customHeight="1" x14ac:dyDescent="0.2">
      <c r="B271" s="13"/>
      <c r="C271" s="13"/>
    </row>
    <row r="272" spans="2:3" ht="15.75" customHeight="1" x14ac:dyDescent="0.2">
      <c r="B272" s="13"/>
      <c r="C272" s="13"/>
    </row>
    <row r="273" spans="2:3" ht="15.75" customHeight="1" x14ac:dyDescent="0.2">
      <c r="B273" s="13"/>
      <c r="C273" s="13"/>
    </row>
    <row r="274" spans="2:3" ht="15.75" customHeight="1" x14ac:dyDescent="0.2">
      <c r="B274" s="13"/>
      <c r="C274" s="13"/>
    </row>
    <row r="275" spans="2:3" ht="15.75" customHeight="1" x14ac:dyDescent="0.2">
      <c r="B275" s="13"/>
      <c r="C275" s="13"/>
    </row>
    <row r="276" spans="2:3" ht="15.75" customHeight="1" x14ac:dyDescent="0.2">
      <c r="B276" s="13"/>
      <c r="C276" s="13"/>
    </row>
    <row r="277" spans="2:3" ht="15.75" customHeight="1" x14ac:dyDescent="0.2">
      <c r="B277" s="13"/>
      <c r="C277" s="13"/>
    </row>
    <row r="278" spans="2:3" ht="15.75" customHeight="1" x14ac:dyDescent="0.2">
      <c r="B278" s="13"/>
      <c r="C278" s="13"/>
    </row>
    <row r="279" spans="2:3" ht="15.75" customHeight="1" x14ac:dyDescent="0.2">
      <c r="B279" s="13"/>
      <c r="C279" s="13"/>
    </row>
    <row r="280" spans="2:3" ht="15.75" customHeight="1" x14ac:dyDescent="0.2">
      <c r="B280" s="13"/>
      <c r="C280" s="13"/>
    </row>
    <row r="281" spans="2:3" ht="15.75" customHeight="1" x14ac:dyDescent="0.2">
      <c r="B281" s="13"/>
      <c r="C281" s="13"/>
    </row>
    <row r="282" spans="2:3" ht="15.75" customHeight="1" x14ac:dyDescent="0.2">
      <c r="B282" s="13"/>
      <c r="C282" s="13"/>
    </row>
    <row r="283" spans="2:3" ht="15.75" customHeight="1" x14ac:dyDescent="0.2">
      <c r="B283" s="13"/>
      <c r="C283" s="13"/>
    </row>
    <row r="284" spans="2:3" ht="15.75" customHeight="1" x14ac:dyDescent="0.2">
      <c r="B284" s="13"/>
      <c r="C284" s="13"/>
    </row>
    <row r="285" spans="2:3" ht="15.75" customHeight="1" x14ac:dyDescent="0.2">
      <c r="B285" s="13"/>
      <c r="C285" s="13"/>
    </row>
    <row r="286" spans="2:3" ht="15.75" customHeight="1" x14ac:dyDescent="0.2">
      <c r="B286" s="13"/>
      <c r="C286" s="13"/>
    </row>
    <row r="287" spans="2:3" ht="15.75" customHeight="1" x14ac:dyDescent="0.2">
      <c r="B287" s="13"/>
      <c r="C287" s="13"/>
    </row>
    <row r="288" spans="2:3" ht="15.75" customHeight="1" x14ac:dyDescent="0.2">
      <c r="B288" s="13"/>
      <c r="C288" s="13"/>
    </row>
    <row r="289" spans="2:3" ht="15.75" customHeight="1" x14ac:dyDescent="0.2">
      <c r="B289" s="13"/>
      <c r="C289" s="13"/>
    </row>
    <row r="290" spans="2:3" ht="15.75" customHeight="1" x14ac:dyDescent="0.2">
      <c r="B290" s="13"/>
      <c r="C290" s="13"/>
    </row>
    <row r="291" spans="2:3" ht="15.75" customHeight="1" x14ac:dyDescent="0.2">
      <c r="B291" s="13"/>
      <c r="C291" s="13"/>
    </row>
    <row r="292" spans="2:3" ht="15.75" customHeight="1" x14ac:dyDescent="0.2">
      <c r="B292" s="13"/>
      <c r="C292" s="13"/>
    </row>
    <row r="293" spans="2:3" ht="15.75" customHeight="1" x14ac:dyDescent="0.2">
      <c r="B293" s="13"/>
      <c r="C293" s="13"/>
    </row>
    <row r="294" spans="2:3" ht="15.75" customHeight="1" x14ac:dyDescent="0.2">
      <c r="B294" s="13"/>
      <c r="C294" s="13"/>
    </row>
    <row r="295" spans="2:3" ht="15.75" customHeight="1" x14ac:dyDescent="0.2">
      <c r="B295" s="13"/>
      <c r="C295" s="13"/>
    </row>
    <row r="296" spans="2:3" ht="15.75" customHeight="1" x14ac:dyDescent="0.2">
      <c r="B296" s="13"/>
      <c r="C296" s="13"/>
    </row>
    <row r="297" spans="2:3" ht="15.75" customHeight="1" x14ac:dyDescent="0.2">
      <c r="B297" s="13"/>
      <c r="C297" s="13"/>
    </row>
    <row r="298" spans="2:3" ht="15.75" customHeight="1" x14ac:dyDescent="0.2">
      <c r="B298" s="13"/>
      <c r="C298" s="13"/>
    </row>
    <row r="299" spans="2:3" ht="15.75" customHeight="1" x14ac:dyDescent="0.2">
      <c r="B299" s="13"/>
      <c r="C299" s="13"/>
    </row>
    <row r="300" spans="2:3" ht="15.75" customHeight="1" x14ac:dyDescent="0.2">
      <c r="B300" s="13"/>
      <c r="C300" s="13"/>
    </row>
    <row r="301" spans="2:3" ht="15.75" customHeight="1" x14ac:dyDescent="0.2">
      <c r="B301" s="13"/>
      <c r="C301" s="13"/>
    </row>
    <row r="302" spans="2:3" ht="15.75" customHeight="1" x14ac:dyDescent="0.2">
      <c r="B302" s="13"/>
      <c r="C302" s="13"/>
    </row>
    <row r="303" spans="2:3" ht="15.75" customHeight="1" x14ac:dyDescent="0.2">
      <c r="B303" s="13"/>
      <c r="C303" s="13"/>
    </row>
    <row r="304" spans="2:3" ht="15.75" customHeight="1" x14ac:dyDescent="0.2">
      <c r="B304" s="13"/>
      <c r="C304" s="13"/>
    </row>
    <row r="305" spans="2:3" ht="15.75" customHeight="1" x14ac:dyDescent="0.2">
      <c r="B305" s="13"/>
      <c r="C305" s="13"/>
    </row>
    <row r="306" spans="2:3" ht="15.75" customHeight="1" x14ac:dyDescent="0.2">
      <c r="B306" s="13"/>
      <c r="C306" s="13"/>
    </row>
    <row r="307" spans="2:3" ht="15.75" customHeight="1" x14ac:dyDescent="0.2">
      <c r="B307" s="13"/>
      <c r="C307" s="13"/>
    </row>
    <row r="308" spans="2:3" ht="15.75" customHeight="1" x14ac:dyDescent="0.2">
      <c r="B308" s="13"/>
      <c r="C308" s="13"/>
    </row>
    <row r="309" spans="2:3" ht="15.75" customHeight="1" x14ac:dyDescent="0.2">
      <c r="B309" s="13"/>
      <c r="C309" s="13"/>
    </row>
    <row r="310" spans="2:3" ht="15.75" customHeight="1" x14ac:dyDescent="0.2">
      <c r="B310" s="13"/>
      <c r="C310" s="13"/>
    </row>
    <row r="311" spans="2:3" ht="15.75" customHeight="1" x14ac:dyDescent="0.2">
      <c r="B311" s="13"/>
      <c r="C311" s="13"/>
    </row>
    <row r="312" spans="2:3" ht="15.75" customHeight="1" x14ac:dyDescent="0.2">
      <c r="B312" s="13"/>
      <c r="C312" s="13"/>
    </row>
    <row r="313" spans="2:3" ht="15.75" customHeight="1" x14ac:dyDescent="0.2">
      <c r="B313" s="13"/>
      <c r="C313" s="13"/>
    </row>
    <row r="314" spans="2:3" ht="15.75" customHeight="1" x14ac:dyDescent="0.2">
      <c r="B314" s="13"/>
      <c r="C314" s="13"/>
    </row>
    <row r="315" spans="2:3" ht="15.75" customHeight="1" x14ac:dyDescent="0.2">
      <c r="B315" s="13"/>
      <c r="C315" s="13"/>
    </row>
    <row r="316" spans="2:3" ht="15.75" customHeight="1" x14ac:dyDescent="0.2">
      <c r="B316" s="13"/>
      <c r="C316" s="13"/>
    </row>
    <row r="317" spans="2:3" ht="15.75" customHeight="1" x14ac:dyDescent="0.2">
      <c r="B317" s="13"/>
      <c r="C317" s="13"/>
    </row>
    <row r="318" spans="2:3" ht="15.75" customHeight="1" x14ac:dyDescent="0.2">
      <c r="B318" s="13"/>
      <c r="C318" s="13"/>
    </row>
    <row r="319" spans="2:3" ht="15.75" customHeight="1" x14ac:dyDescent="0.2">
      <c r="B319" s="13"/>
      <c r="C319" s="13"/>
    </row>
    <row r="320" spans="2:3" ht="15.75" customHeight="1" x14ac:dyDescent="0.2">
      <c r="B320" s="13"/>
      <c r="C320" s="13"/>
    </row>
    <row r="321" spans="2:3" ht="15.75" customHeight="1" x14ac:dyDescent="0.2">
      <c r="B321" s="13"/>
      <c r="C321" s="13"/>
    </row>
    <row r="322" spans="2:3" ht="15.75" customHeight="1" x14ac:dyDescent="0.2">
      <c r="B322" s="13"/>
      <c r="C322" s="13"/>
    </row>
    <row r="323" spans="2:3" ht="15.75" customHeight="1" x14ac:dyDescent="0.2">
      <c r="B323" s="13"/>
      <c r="C323" s="13"/>
    </row>
    <row r="324" spans="2:3" ht="15.75" customHeight="1" x14ac:dyDescent="0.2">
      <c r="B324" s="13"/>
      <c r="C324" s="13"/>
    </row>
    <row r="325" spans="2:3" ht="15.75" customHeight="1" x14ac:dyDescent="0.2">
      <c r="B325" s="13"/>
      <c r="C325" s="13"/>
    </row>
    <row r="326" spans="2:3" ht="15.75" customHeight="1" x14ac:dyDescent="0.2">
      <c r="B326" s="13"/>
      <c r="C326" s="13"/>
    </row>
    <row r="327" spans="2:3" ht="15.75" customHeight="1" x14ac:dyDescent="0.2">
      <c r="B327" s="13"/>
      <c r="C327" s="13"/>
    </row>
    <row r="328" spans="2:3" ht="15.75" customHeight="1" x14ac:dyDescent="0.2">
      <c r="B328" s="13"/>
      <c r="C328" s="13"/>
    </row>
    <row r="329" spans="2:3" ht="15.75" customHeight="1" x14ac:dyDescent="0.2">
      <c r="B329" s="13"/>
      <c r="C329" s="13"/>
    </row>
    <row r="330" spans="2:3" ht="15.75" customHeight="1" x14ac:dyDescent="0.2">
      <c r="B330" s="13"/>
      <c r="C330" s="13"/>
    </row>
    <row r="331" spans="2:3" ht="15.75" customHeight="1" x14ac:dyDescent="0.2">
      <c r="B331" s="13"/>
      <c r="C331" s="13"/>
    </row>
    <row r="332" spans="2:3" ht="15.75" customHeight="1" x14ac:dyDescent="0.2">
      <c r="B332" s="13"/>
      <c r="C332" s="13"/>
    </row>
    <row r="333" spans="2:3" ht="15.75" customHeight="1" x14ac:dyDescent="0.2">
      <c r="B333" s="13"/>
      <c r="C333" s="13"/>
    </row>
    <row r="334" spans="2:3" ht="15.75" customHeight="1" x14ac:dyDescent="0.2">
      <c r="B334" s="13"/>
      <c r="C334" s="13"/>
    </row>
    <row r="335" spans="2:3" ht="15.75" customHeight="1" x14ac:dyDescent="0.2">
      <c r="B335" s="13"/>
      <c r="C335" s="13"/>
    </row>
    <row r="336" spans="2:3" ht="15.75" customHeight="1" x14ac:dyDescent="0.2">
      <c r="B336" s="13"/>
      <c r="C336" s="13"/>
    </row>
    <row r="337" spans="2:3" ht="15.75" customHeight="1" x14ac:dyDescent="0.2">
      <c r="B337" s="13"/>
      <c r="C337" s="13"/>
    </row>
    <row r="338" spans="2:3" ht="15.75" customHeight="1" x14ac:dyDescent="0.2">
      <c r="B338" s="13"/>
      <c r="C338" s="13"/>
    </row>
    <row r="339" spans="2:3" ht="15.75" customHeight="1" x14ac:dyDescent="0.2">
      <c r="B339" s="13"/>
      <c r="C339" s="13"/>
    </row>
    <row r="340" spans="2:3" ht="15.75" customHeight="1" x14ac:dyDescent="0.2">
      <c r="B340" s="13"/>
      <c r="C340" s="13"/>
    </row>
    <row r="341" spans="2:3" ht="15.75" customHeight="1" x14ac:dyDescent="0.2">
      <c r="B341" s="13"/>
      <c r="C341" s="13"/>
    </row>
    <row r="342" spans="2:3" ht="15.75" customHeight="1" x14ac:dyDescent="0.2">
      <c r="B342" s="13"/>
      <c r="C342" s="13"/>
    </row>
    <row r="343" spans="2:3" ht="15.75" customHeight="1" x14ac:dyDescent="0.2">
      <c r="B343" s="13"/>
      <c r="C343" s="13"/>
    </row>
    <row r="344" spans="2:3" ht="15.75" customHeight="1" x14ac:dyDescent="0.2">
      <c r="B344" s="13"/>
      <c r="C344" s="13"/>
    </row>
    <row r="345" spans="2:3" ht="15.75" customHeight="1" x14ac:dyDescent="0.2">
      <c r="B345" s="13"/>
      <c r="C345" s="13"/>
    </row>
    <row r="346" spans="2:3" ht="15.75" customHeight="1" x14ac:dyDescent="0.2">
      <c r="B346" s="13"/>
      <c r="C346" s="13"/>
    </row>
    <row r="347" spans="2:3" ht="15.75" customHeight="1" x14ac:dyDescent="0.2">
      <c r="B347" s="13"/>
      <c r="C347" s="13"/>
    </row>
    <row r="348" spans="2:3" ht="15.75" customHeight="1" x14ac:dyDescent="0.2">
      <c r="B348" s="13"/>
      <c r="C348" s="13"/>
    </row>
    <row r="349" spans="2:3" ht="15.75" customHeight="1" x14ac:dyDescent="0.2">
      <c r="B349" s="13"/>
      <c r="C349" s="13"/>
    </row>
    <row r="350" spans="2:3" ht="15.75" customHeight="1" x14ac:dyDescent="0.2">
      <c r="B350" s="13"/>
      <c r="C350" s="13"/>
    </row>
    <row r="351" spans="2:3" ht="15.75" customHeight="1" x14ac:dyDescent="0.2">
      <c r="B351" s="13"/>
      <c r="C351" s="13"/>
    </row>
    <row r="352" spans="2:3" ht="15.75" customHeight="1" x14ac:dyDescent="0.2">
      <c r="B352" s="13"/>
      <c r="C352" s="13"/>
    </row>
    <row r="353" spans="2:3" ht="15.75" customHeight="1" x14ac:dyDescent="0.2">
      <c r="B353" s="13"/>
      <c r="C353" s="13"/>
    </row>
    <row r="354" spans="2:3" ht="15.75" customHeight="1" x14ac:dyDescent="0.2">
      <c r="B354" s="13"/>
      <c r="C354" s="13"/>
    </row>
    <row r="355" spans="2:3" ht="15.75" customHeight="1" x14ac:dyDescent="0.2">
      <c r="B355" s="13"/>
      <c r="C355" s="13"/>
    </row>
    <row r="356" spans="2:3" ht="15.75" customHeight="1" x14ac:dyDescent="0.2">
      <c r="B356" s="13"/>
      <c r="C356" s="13"/>
    </row>
    <row r="357" spans="2:3" ht="15.75" customHeight="1" x14ac:dyDescent="0.2">
      <c r="B357" s="13"/>
      <c r="C357" s="13"/>
    </row>
    <row r="358" spans="2:3" ht="15.75" customHeight="1" x14ac:dyDescent="0.2">
      <c r="B358" s="13"/>
      <c r="C358" s="13"/>
    </row>
    <row r="359" spans="2:3" ht="15.75" customHeight="1" x14ac:dyDescent="0.2">
      <c r="B359" s="13"/>
      <c r="C359" s="13"/>
    </row>
    <row r="360" spans="2:3" ht="15.75" customHeight="1" x14ac:dyDescent="0.2">
      <c r="B360" s="13"/>
      <c r="C360" s="13"/>
    </row>
    <row r="361" spans="2:3" ht="15.75" customHeight="1" x14ac:dyDescent="0.2">
      <c r="B361" s="13"/>
      <c r="C361" s="13"/>
    </row>
    <row r="362" spans="2:3" ht="15.75" customHeight="1" x14ac:dyDescent="0.2">
      <c r="B362" s="13"/>
      <c r="C362" s="13"/>
    </row>
    <row r="363" spans="2:3" ht="15.75" customHeight="1" x14ac:dyDescent="0.2">
      <c r="B363" s="13"/>
      <c r="C363" s="13"/>
    </row>
    <row r="364" spans="2:3" ht="15.75" customHeight="1" x14ac:dyDescent="0.2">
      <c r="B364" s="13"/>
      <c r="C364" s="13"/>
    </row>
    <row r="365" spans="2:3" ht="15.75" customHeight="1" x14ac:dyDescent="0.2">
      <c r="B365" s="13"/>
      <c r="C365" s="13"/>
    </row>
    <row r="366" spans="2:3" ht="15.75" customHeight="1" x14ac:dyDescent="0.2">
      <c r="B366" s="13"/>
      <c r="C366" s="13"/>
    </row>
    <row r="367" spans="2:3" ht="15.75" customHeight="1" x14ac:dyDescent="0.2">
      <c r="B367" s="13"/>
      <c r="C367" s="13"/>
    </row>
    <row r="368" spans="2:3" ht="15.75" customHeight="1" x14ac:dyDescent="0.2">
      <c r="B368" s="13"/>
      <c r="C368" s="13"/>
    </row>
    <row r="369" spans="2:3" ht="15.75" customHeight="1" x14ac:dyDescent="0.2">
      <c r="B369" s="13"/>
      <c r="C369" s="13"/>
    </row>
    <row r="370" spans="2:3" ht="15.75" customHeight="1" x14ac:dyDescent="0.2">
      <c r="B370" s="13"/>
      <c r="C370" s="13"/>
    </row>
    <row r="371" spans="2:3" ht="15.75" customHeight="1" x14ac:dyDescent="0.2">
      <c r="B371" s="13"/>
      <c r="C371" s="13"/>
    </row>
    <row r="372" spans="2:3" ht="15.75" customHeight="1" x14ac:dyDescent="0.2">
      <c r="B372" s="13"/>
      <c r="C372" s="13"/>
    </row>
    <row r="373" spans="2:3" ht="15.75" customHeight="1" x14ac:dyDescent="0.2">
      <c r="B373" s="13"/>
      <c r="C373" s="13"/>
    </row>
    <row r="374" spans="2:3" ht="15.75" customHeight="1" x14ac:dyDescent="0.2">
      <c r="B374" s="13"/>
      <c r="C374" s="13"/>
    </row>
    <row r="375" spans="2:3" ht="15.75" customHeight="1" x14ac:dyDescent="0.2">
      <c r="B375" s="13"/>
      <c r="C375" s="13"/>
    </row>
    <row r="376" spans="2:3" ht="15.75" customHeight="1" x14ac:dyDescent="0.2">
      <c r="B376" s="13"/>
      <c r="C376" s="13"/>
    </row>
    <row r="377" spans="2:3" ht="15.75" customHeight="1" x14ac:dyDescent="0.2">
      <c r="B377" s="13"/>
      <c r="C377" s="13"/>
    </row>
    <row r="378" spans="2:3" ht="15.75" customHeight="1" x14ac:dyDescent="0.2">
      <c r="B378" s="13"/>
      <c r="C378" s="13"/>
    </row>
    <row r="379" spans="2:3" ht="15.75" customHeight="1" x14ac:dyDescent="0.2">
      <c r="B379" s="13"/>
      <c r="C379" s="13"/>
    </row>
    <row r="380" spans="2:3" ht="15.75" customHeight="1" x14ac:dyDescent="0.2">
      <c r="B380" s="13"/>
      <c r="C380" s="13"/>
    </row>
    <row r="381" spans="2:3" ht="15.75" customHeight="1" x14ac:dyDescent="0.2">
      <c r="B381" s="13"/>
      <c r="C381" s="13"/>
    </row>
    <row r="382" spans="2:3" ht="15.75" customHeight="1" x14ac:dyDescent="0.2">
      <c r="B382" s="13"/>
      <c r="C382" s="13"/>
    </row>
    <row r="383" spans="2:3" ht="15.75" customHeight="1" x14ac:dyDescent="0.2">
      <c r="B383" s="13"/>
      <c r="C383" s="13"/>
    </row>
    <row r="384" spans="2:3" ht="15.75" customHeight="1" x14ac:dyDescent="0.2">
      <c r="B384" s="13"/>
      <c r="C384" s="13"/>
    </row>
    <row r="385" spans="2:3" ht="15.75" customHeight="1" x14ac:dyDescent="0.2">
      <c r="B385" s="13"/>
      <c r="C385" s="13"/>
    </row>
    <row r="386" spans="2:3" ht="15.75" customHeight="1" x14ac:dyDescent="0.2">
      <c r="B386" s="13"/>
      <c r="C386" s="13"/>
    </row>
    <row r="387" spans="2:3" ht="15.75" customHeight="1" x14ac:dyDescent="0.2">
      <c r="B387" s="13"/>
      <c r="C387" s="13"/>
    </row>
    <row r="388" spans="2:3" ht="15.75" customHeight="1" x14ac:dyDescent="0.2">
      <c r="B388" s="13"/>
      <c r="C388" s="13"/>
    </row>
    <row r="389" spans="2:3" ht="15.75" customHeight="1" x14ac:dyDescent="0.2">
      <c r="B389" s="13"/>
      <c r="C389" s="13"/>
    </row>
    <row r="390" spans="2:3" ht="15.75" customHeight="1" x14ac:dyDescent="0.2">
      <c r="B390" s="13"/>
      <c r="C390" s="13"/>
    </row>
    <row r="391" spans="2:3" ht="15.75" customHeight="1" x14ac:dyDescent="0.2">
      <c r="B391" s="13"/>
      <c r="C391" s="13"/>
    </row>
    <row r="392" spans="2:3" ht="15.75" customHeight="1" x14ac:dyDescent="0.2">
      <c r="B392" s="13"/>
      <c r="C392" s="13"/>
    </row>
    <row r="393" spans="2:3" ht="15.75" customHeight="1" x14ac:dyDescent="0.2">
      <c r="B393" s="13"/>
      <c r="C393" s="13"/>
    </row>
    <row r="394" spans="2:3" ht="15.75" customHeight="1" x14ac:dyDescent="0.2">
      <c r="B394" s="13"/>
      <c r="C394" s="13"/>
    </row>
    <row r="395" spans="2:3" ht="15.75" customHeight="1" x14ac:dyDescent="0.2">
      <c r="B395" s="13"/>
      <c r="C395" s="13"/>
    </row>
    <row r="396" spans="2:3" ht="15.75" customHeight="1" x14ac:dyDescent="0.2">
      <c r="B396" s="13"/>
      <c r="C396" s="13"/>
    </row>
    <row r="397" spans="2:3" ht="15.75" customHeight="1" x14ac:dyDescent="0.2">
      <c r="B397" s="13"/>
      <c r="C397" s="13"/>
    </row>
    <row r="398" spans="2:3" ht="15.75" customHeight="1" x14ac:dyDescent="0.2">
      <c r="B398" s="13"/>
      <c r="C398" s="13"/>
    </row>
    <row r="399" spans="2:3" ht="15.75" customHeight="1" x14ac:dyDescent="0.2">
      <c r="B399" s="13"/>
      <c r="C399" s="13"/>
    </row>
    <row r="400" spans="2:3" ht="15.75" customHeight="1" x14ac:dyDescent="0.2">
      <c r="B400" s="13"/>
      <c r="C400" s="13"/>
    </row>
    <row r="401" spans="2:3" ht="15.75" customHeight="1" x14ac:dyDescent="0.2">
      <c r="B401" s="13"/>
      <c r="C401" s="13"/>
    </row>
    <row r="402" spans="2:3" ht="15.75" customHeight="1" x14ac:dyDescent="0.2">
      <c r="B402" s="13"/>
      <c r="C402" s="13"/>
    </row>
    <row r="403" spans="2:3" ht="15.75" customHeight="1" x14ac:dyDescent="0.2">
      <c r="B403" s="13"/>
      <c r="C403" s="13"/>
    </row>
    <row r="404" spans="2:3" ht="15.75" customHeight="1" x14ac:dyDescent="0.2">
      <c r="B404" s="13"/>
      <c r="C404" s="13"/>
    </row>
    <row r="405" spans="2:3" ht="15.75" customHeight="1" x14ac:dyDescent="0.2">
      <c r="B405" s="13"/>
      <c r="C405" s="13"/>
    </row>
    <row r="406" spans="2:3" ht="15.75" customHeight="1" x14ac:dyDescent="0.2">
      <c r="B406" s="13"/>
      <c r="C406" s="13"/>
    </row>
    <row r="407" spans="2:3" ht="15.75" customHeight="1" x14ac:dyDescent="0.2">
      <c r="B407" s="13"/>
      <c r="C407" s="13"/>
    </row>
    <row r="408" spans="2:3" ht="15.75" customHeight="1" x14ac:dyDescent="0.2">
      <c r="B408" s="13"/>
      <c r="C408" s="13"/>
    </row>
    <row r="409" spans="2:3" ht="15.75" customHeight="1" x14ac:dyDescent="0.2">
      <c r="B409" s="13"/>
      <c r="C409" s="13"/>
    </row>
    <row r="410" spans="2:3" ht="15.75" customHeight="1" x14ac:dyDescent="0.2">
      <c r="B410" s="13"/>
      <c r="C410" s="13"/>
    </row>
    <row r="411" spans="2:3" ht="15.75" customHeight="1" x14ac:dyDescent="0.2">
      <c r="B411" s="13"/>
      <c r="C411" s="13"/>
    </row>
    <row r="412" spans="2:3" ht="15.75" customHeight="1" x14ac:dyDescent="0.2">
      <c r="B412" s="13"/>
      <c r="C412" s="13"/>
    </row>
    <row r="413" spans="2:3" ht="15.75" customHeight="1" x14ac:dyDescent="0.2">
      <c r="B413" s="13"/>
      <c r="C413" s="13"/>
    </row>
    <row r="414" spans="2:3" ht="15.75" customHeight="1" x14ac:dyDescent="0.2">
      <c r="B414" s="13"/>
      <c r="C414" s="13"/>
    </row>
    <row r="415" spans="2:3" ht="15.75" customHeight="1" x14ac:dyDescent="0.2">
      <c r="B415" s="13"/>
      <c r="C415" s="13"/>
    </row>
    <row r="416" spans="2:3" ht="15.75" customHeight="1" x14ac:dyDescent="0.2">
      <c r="B416" s="13"/>
      <c r="C416" s="13"/>
    </row>
    <row r="417" spans="2:3" ht="15.75" customHeight="1" x14ac:dyDescent="0.2">
      <c r="B417" s="13"/>
      <c r="C417" s="13"/>
    </row>
    <row r="418" spans="2:3" ht="15.75" customHeight="1" x14ac:dyDescent="0.2">
      <c r="B418" s="13"/>
      <c r="C418" s="13"/>
    </row>
    <row r="419" spans="2:3" ht="15.75" customHeight="1" x14ac:dyDescent="0.2">
      <c r="B419" s="13"/>
      <c r="C419" s="13"/>
    </row>
    <row r="420" spans="2:3" ht="15.75" customHeight="1" x14ac:dyDescent="0.2">
      <c r="B420" s="13"/>
      <c r="C420" s="13"/>
    </row>
    <row r="421" spans="2:3" ht="15.75" customHeight="1" x14ac:dyDescent="0.2">
      <c r="B421" s="13"/>
      <c r="C421" s="13"/>
    </row>
    <row r="422" spans="2:3" ht="15.75" customHeight="1" x14ac:dyDescent="0.2">
      <c r="B422" s="13"/>
      <c r="C422" s="13"/>
    </row>
    <row r="423" spans="2:3" ht="15.75" customHeight="1" x14ac:dyDescent="0.2">
      <c r="B423" s="13"/>
      <c r="C423" s="13"/>
    </row>
    <row r="424" spans="2:3" ht="15.75" customHeight="1" x14ac:dyDescent="0.2">
      <c r="B424" s="13"/>
      <c r="C424" s="13"/>
    </row>
    <row r="425" spans="2:3" ht="15.75" customHeight="1" x14ac:dyDescent="0.2">
      <c r="B425" s="13"/>
      <c r="C425" s="13"/>
    </row>
    <row r="426" spans="2:3" ht="15.75" customHeight="1" x14ac:dyDescent="0.2">
      <c r="B426" s="13"/>
      <c r="C426" s="13"/>
    </row>
    <row r="427" spans="2:3" ht="15.75" customHeight="1" x14ac:dyDescent="0.2">
      <c r="B427" s="13"/>
      <c r="C427" s="13"/>
    </row>
    <row r="428" spans="2:3" ht="15.75" customHeight="1" x14ac:dyDescent="0.2">
      <c r="B428" s="13"/>
      <c r="C428" s="13"/>
    </row>
    <row r="429" spans="2:3" ht="15.75" customHeight="1" x14ac:dyDescent="0.2">
      <c r="B429" s="13"/>
      <c r="C429" s="13"/>
    </row>
    <row r="430" spans="2:3" ht="15.75" customHeight="1" x14ac:dyDescent="0.2">
      <c r="B430" s="13"/>
      <c r="C430" s="13"/>
    </row>
    <row r="431" spans="2:3" ht="15.75" customHeight="1" x14ac:dyDescent="0.2">
      <c r="B431" s="13"/>
      <c r="C431" s="13"/>
    </row>
    <row r="432" spans="2:3" ht="15.75" customHeight="1" x14ac:dyDescent="0.2">
      <c r="B432" s="13"/>
      <c r="C432" s="13"/>
    </row>
    <row r="433" spans="2:3" ht="15.75" customHeight="1" x14ac:dyDescent="0.2">
      <c r="B433" s="13"/>
      <c r="C433" s="13"/>
    </row>
    <row r="434" spans="2:3" ht="15.75" customHeight="1" x14ac:dyDescent="0.2">
      <c r="B434" s="13"/>
      <c r="C434" s="13"/>
    </row>
    <row r="435" spans="2:3" ht="15.75" customHeight="1" x14ac:dyDescent="0.2">
      <c r="B435" s="13"/>
      <c r="C435" s="13"/>
    </row>
    <row r="436" spans="2:3" ht="15.75" customHeight="1" x14ac:dyDescent="0.2">
      <c r="B436" s="13"/>
      <c r="C436" s="13"/>
    </row>
    <row r="437" spans="2:3" ht="15.75" customHeight="1" x14ac:dyDescent="0.2">
      <c r="B437" s="13"/>
      <c r="C437" s="13"/>
    </row>
    <row r="438" spans="2:3" ht="15.75" customHeight="1" x14ac:dyDescent="0.2">
      <c r="B438" s="13"/>
      <c r="C438" s="13"/>
    </row>
    <row r="439" spans="2:3" ht="15.75" customHeight="1" x14ac:dyDescent="0.2">
      <c r="B439" s="13"/>
      <c r="C439" s="13"/>
    </row>
    <row r="440" spans="2:3" ht="15.75" customHeight="1" x14ac:dyDescent="0.2">
      <c r="B440" s="13"/>
      <c r="C440" s="13"/>
    </row>
    <row r="441" spans="2:3" ht="15.75" customHeight="1" x14ac:dyDescent="0.2">
      <c r="B441" s="13"/>
      <c r="C441" s="13"/>
    </row>
    <row r="442" spans="2:3" ht="15.75" customHeight="1" x14ac:dyDescent="0.2">
      <c r="B442" s="13"/>
      <c r="C442" s="13"/>
    </row>
    <row r="443" spans="2:3" ht="15.75" customHeight="1" x14ac:dyDescent="0.2">
      <c r="B443" s="13"/>
      <c r="C443" s="13"/>
    </row>
    <row r="444" spans="2:3" ht="15.75" customHeight="1" x14ac:dyDescent="0.2">
      <c r="B444" s="13"/>
      <c r="C444" s="13"/>
    </row>
    <row r="445" spans="2:3" ht="15.75" customHeight="1" x14ac:dyDescent="0.2">
      <c r="B445" s="13"/>
      <c r="C445" s="13"/>
    </row>
    <row r="446" spans="2:3" ht="15.75" customHeight="1" x14ac:dyDescent="0.2">
      <c r="B446" s="13"/>
      <c r="C446" s="13"/>
    </row>
    <row r="447" spans="2:3" ht="15.75" customHeight="1" x14ac:dyDescent="0.2">
      <c r="B447" s="13"/>
      <c r="C447" s="13"/>
    </row>
    <row r="448" spans="2:3" ht="15.75" customHeight="1" x14ac:dyDescent="0.2">
      <c r="B448" s="13"/>
      <c r="C448" s="13"/>
    </row>
    <row r="449" spans="2:3" ht="15.75" customHeight="1" x14ac:dyDescent="0.2">
      <c r="B449" s="13"/>
      <c r="C449" s="13"/>
    </row>
    <row r="450" spans="2:3" ht="15.75" customHeight="1" x14ac:dyDescent="0.2">
      <c r="B450" s="13"/>
      <c r="C450" s="13"/>
    </row>
    <row r="451" spans="2:3" ht="15.75" customHeight="1" x14ac:dyDescent="0.2">
      <c r="B451" s="13"/>
      <c r="C451" s="13"/>
    </row>
    <row r="452" spans="2:3" ht="15.75" customHeight="1" x14ac:dyDescent="0.2">
      <c r="B452" s="13"/>
      <c r="C452" s="13"/>
    </row>
    <row r="453" spans="2:3" ht="15.75" customHeight="1" x14ac:dyDescent="0.2">
      <c r="B453" s="13"/>
      <c r="C453" s="13"/>
    </row>
    <row r="454" spans="2:3" ht="15.75" customHeight="1" x14ac:dyDescent="0.2">
      <c r="B454" s="13"/>
      <c r="C454" s="13"/>
    </row>
    <row r="455" spans="2:3" ht="15.75" customHeight="1" x14ac:dyDescent="0.2">
      <c r="B455" s="13"/>
      <c r="C455" s="13"/>
    </row>
    <row r="456" spans="2:3" ht="15.75" customHeight="1" x14ac:dyDescent="0.2">
      <c r="B456" s="13"/>
      <c r="C456" s="13"/>
    </row>
    <row r="457" spans="2:3" ht="15.75" customHeight="1" x14ac:dyDescent="0.2">
      <c r="B457" s="13"/>
      <c r="C457" s="13"/>
    </row>
    <row r="458" spans="2:3" ht="15.75" customHeight="1" x14ac:dyDescent="0.2">
      <c r="B458" s="13"/>
      <c r="C458" s="13"/>
    </row>
    <row r="459" spans="2:3" ht="15.75" customHeight="1" x14ac:dyDescent="0.2">
      <c r="B459" s="13"/>
      <c r="C459" s="13"/>
    </row>
    <row r="460" spans="2:3" ht="15.75" customHeight="1" x14ac:dyDescent="0.2">
      <c r="B460" s="13"/>
      <c r="C460" s="13"/>
    </row>
    <row r="461" spans="2:3" ht="15.75" customHeight="1" x14ac:dyDescent="0.2">
      <c r="B461" s="13"/>
      <c r="C461" s="13"/>
    </row>
    <row r="462" spans="2:3" ht="15.75" customHeight="1" x14ac:dyDescent="0.2">
      <c r="B462" s="13"/>
      <c r="C462" s="13"/>
    </row>
    <row r="463" spans="2:3" ht="15.75" customHeight="1" x14ac:dyDescent="0.2">
      <c r="B463" s="13"/>
      <c r="C463" s="13"/>
    </row>
    <row r="464" spans="2:3" ht="15.75" customHeight="1" x14ac:dyDescent="0.2">
      <c r="B464" s="13"/>
      <c r="C464" s="13"/>
    </row>
    <row r="465" spans="2:3" ht="15.75" customHeight="1" x14ac:dyDescent="0.2">
      <c r="B465" s="13"/>
      <c r="C465" s="13"/>
    </row>
    <row r="466" spans="2:3" ht="15.75" customHeight="1" x14ac:dyDescent="0.2">
      <c r="B466" s="13"/>
      <c r="C466" s="13"/>
    </row>
    <row r="467" spans="2:3" ht="15.75" customHeight="1" x14ac:dyDescent="0.2">
      <c r="B467" s="13"/>
      <c r="C467" s="13"/>
    </row>
    <row r="468" spans="2:3" ht="15.75" customHeight="1" x14ac:dyDescent="0.2">
      <c r="B468" s="13"/>
      <c r="C468" s="13"/>
    </row>
    <row r="469" spans="2:3" ht="15.75" customHeight="1" x14ac:dyDescent="0.2">
      <c r="B469" s="13"/>
      <c r="C469" s="13"/>
    </row>
    <row r="470" spans="2:3" ht="15.75" customHeight="1" x14ac:dyDescent="0.2">
      <c r="B470" s="13"/>
      <c r="C470" s="13"/>
    </row>
    <row r="471" spans="2:3" ht="15.75" customHeight="1" x14ac:dyDescent="0.2">
      <c r="B471" s="13"/>
      <c r="C471" s="13"/>
    </row>
    <row r="472" spans="2:3" ht="15.75" customHeight="1" x14ac:dyDescent="0.2">
      <c r="B472" s="13"/>
      <c r="C472" s="13"/>
    </row>
    <row r="473" spans="2:3" ht="15.75" customHeight="1" x14ac:dyDescent="0.2">
      <c r="B473" s="13"/>
      <c r="C473" s="13"/>
    </row>
    <row r="474" spans="2:3" ht="15.75" customHeight="1" x14ac:dyDescent="0.2">
      <c r="B474" s="13"/>
      <c r="C474" s="13"/>
    </row>
    <row r="475" spans="2:3" ht="15.75" customHeight="1" x14ac:dyDescent="0.2">
      <c r="B475" s="13"/>
      <c r="C475" s="13"/>
    </row>
    <row r="476" spans="2:3" ht="15.75" customHeight="1" x14ac:dyDescent="0.2">
      <c r="B476" s="13"/>
      <c r="C476" s="13"/>
    </row>
    <row r="477" spans="2:3" ht="15.75" customHeight="1" x14ac:dyDescent="0.2">
      <c r="B477" s="13"/>
      <c r="C477" s="13"/>
    </row>
    <row r="478" spans="2:3" ht="15.75" customHeight="1" x14ac:dyDescent="0.2">
      <c r="B478" s="13"/>
      <c r="C478" s="13"/>
    </row>
    <row r="479" spans="2:3" ht="15.75" customHeight="1" x14ac:dyDescent="0.2">
      <c r="B479" s="13"/>
      <c r="C479" s="13"/>
    </row>
    <row r="480" spans="2:3" ht="15.75" customHeight="1" x14ac:dyDescent="0.2">
      <c r="B480" s="13"/>
      <c r="C480" s="13"/>
    </row>
    <row r="481" spans="2:3" ht="15.75" customHeight="1" x14ac:dyDescent="0.2">
      <c r="B481" s="13"/>
      <c r="C481" s="13"/>
    </row>
    <row r="482" spans="2:3" ht="15.75" customHeight="1" x14ac:dyDescent="0.2">
      <c r="B482" s="13"/>
      <c r="C482" s="13"/>
    </row>
    <row r="483" spans="2:3" ht="15.75" customHeight="1" x14ac:dyDescent="0.2">
      <c r="B483" s="13"/>
      <c r="C483" s="13"/>
    </row>
    <row r="484" spans="2:3" ht="15.75" customHeight="1" x14ac:dyDescent="0.2">
      <c r="B484" s="13"/>
      <c r="C484" s="13"/>
    </row>
    <row r="485" spans="2:3" ht="15.75" customHeight="1" x14ac:dyDescent="0.2">
      <c r="B485" s="13"/>
      <c r="C485" s="13"/>
    </row>
    <row r="486" spans="2:3" ht="15.75" customHeight="1" x14ac:dyDescent="0.2">
      <c r="B486" s="13"/>
      <c r="C486" s="13"/>
    </row>
    <row r="487" spans="2:3" ht="15.75" customHeight="1" x14ac:dyDescent="0.2">
      <c r="B487" s="13"/>
      <c r="C487" s="13"/>
    </row>
    <row r="488" spans="2:3" ht="15.75" customHeight="1" x14ac:dyDescent="0.2">
      <c r="B488" s="13"/>
      <c r="C488" s="13"/>
    </row>
    <row r="489" spans="2:3" ht="15.75" customHeight="1" x14ac:dyDescent="0.2">
      <c r="B489" s="13"/>
      <c r="C489" s="13"/>
    </row>
    <row r="490" spans="2:3" ht="15.75" customHeight="1" x14ac:dyDescent="0.2">
      <c r="B490" s="13"/>
      <c r="C490" s="13"/>
    </row>
    <row r="491" spans="2:3" ht="15.75" customHeight="1" x14ac:dyDescent="0.2">
      <c r="B491" s="13"/>
      <c r="C491" s="13"/>
    </row>
    <row r="492" spans="2:3" ht="15.75" customHeight="1" x14ac:dyDescent="0.2">
      <c r="B492" s="13"/>
      <c r="C492" s="13"/>
    </row>
    <row r="493" spans="2:3" ht="15.75" customHeight="1" x14ac:dyDescent="0.2">
      <c r="B493" s="13"/>
      <c r="C493" s="13"/>
    </row>
    <row r="494" spans="2:3" ht="15.75" customHeight="1" x14ac:dyDescent="0.2">
      <c r="B494" s="13"/>
      <c r="C494" s="13"/>
    </row>
    <row r="495" spans="2:3" ht="15.75" customHeight="1" x14ac:dyDescent="0.2">
      <c r="B495" s="13"/>
      <c r="C495" s="13"/>
    </row>
    <row r="496" spans="2:3" ht="15.75" customHeight="1" x14ac:dyDescent="0.2">
      <c r="B496" s="13"/>
      <c r="C496" s="13"/>
    </row>
    <row r="497" spans="2:3" ht="15.75" customHeight="1" x14ac:dyDescent="0.2">
      <c r="B497" s="13"/>
      <c r="C497" s="13"/>
    </row>
    <row r="498" spans="2:3" ht="15.75" customHeight="1" x14ac:dyDescent="0.2">
      <c r="B498" s="13"/>
      <c r="C498" s="13"/>
    </row>
    <row r="499" spans="2:3" ht="15.75" customHeight="1" x14ac:dyDescent="0.2">
      <c r="B499" s="13"/>
      <c r="C499" s="13"/>
    </row>
    <row r="500" spans="2:3" ht="15.75" customHeight="1" x14ac:dyDescent="0.2">
      <c r="B500" s="13"/>
      <c r="C500" s="13"/>
    </row>
    <row r="501" spans="2:3" ht="15.75" customHeight="1" x14ac:dyDescent="0.2">
      <c r="B501" s="13"/>
      <c r="C501" s="13"/>
    </row>
    <row r="502" spans="2:3" ht="15.75" customHeight="1" x14ac:dyDescent="0.2">
      <c r="B502" s="13"/>
      <c r="C502" s="13"/>
    </row>
    <row r="503" spans="2:3" ht="15.75" customHeight="1" x14ac:dyDescent="0.2">
      <c r="B503" s="13"/>
      <c r="C503" s="13"/>
    </row>
    <row r="504" spans="2:3" ht="15.75" customHeight="1" x14ac:dyDescent="0.2">
      <c r="B504" s="13"/>
      <c r="C504" s="13"/>
    </row>
    <row r="505" spans="2:3" ht="15.75" customHeight="1" x14ac:dyDescent="0.2">
      <c r="B505" s="13"/>
      <c r="C505" s="13"/>
    </row>
    <row r="506" spans="2:3" ht="15.75" customHeight="1" x14ac:dyDescent="0.2">
      <c r="B506" s="13"/>
      <c r="C506" s="13"/>
    </row>
    <row r="507" spans="2:3" ht="15.75" customHeight="1" x14ac:dyDescent="0.2">
      <c r="B507" s="13"/>
      <c r="C507" s="13"/>
    </row>
    <row r="508" spans="2:3" ht="15.75" customHeight="1" x14ac:dyDescent="0.2">
      <c r="B508" s="13"/>
      <c r="C508" s="13"/>
    </row>
    <row r="509" spans="2:3" ht="15.75" customHeight="1" x14ac:dyDescent="0.2">
      <c r="B509" s="13"/>
      <c r="C509" s="13"/>
    </row>
    <row r="510" spans="2:3" ht="15.75" customHeight="1" x14ac:dyDescent="0.2">
      <c r="B510" s="13"/>
      <c r="C510" s="13"/>
    </row>
    <row r="511" spans="2:3" ht="15.75" customHeight="1" x14ac:dyDescent="0.2">
      <c r="B511" s="13"/>
      <c r="C511" s="13"/>
    </row>
    <row r="512" spans="2:3" ht="15.75" customHeight="1" x14ac:dyDescent="0.2">
      <c r="B512" s="13"/>
      <c r="C512" s="13"/>
    </row>
    <row r="513" spans="2:3" ht="15.75" customHeight="1" x14ac:dyDescent="0.2">
      <c r="B513" s="13"/>
      <c r="C513" s="13"/>
    </row>
    <row r="514" spans="2:3" ht="15.75" customHeight="1" x14ac:dyDescent="0.2">
      <c r="B514" s="13"/>
      <c r="C514" s="13"/>
    </row>
    <row r="515" spans="2:3" ht="15.75" customHeight="1" x14ac:dyDescent="0.2">
      <c r="B515" s="13"/>
      <c r="C515" s="13"/>
    </row>
    <row r="516" spans="2:3" ht="15.75" customHeight="1" x14ac:dyDescent="0.2">
      <c r="B516" s="13"/>
      <c r="C516" s="13"/>
    </row>
    <row r="517" spans="2:3" ht="15.75" customHeight="1" x14ac:dyDescent="0.2">
      <c r="B517" s="13"/>
      <c r="C517" s="13"/>
    </row>
    <row r="518" spans="2:3" ht="15.75" customHeight="1" x14ac:dyDescent="0.2">
      <c r="B518" s="13"/>
      <c r="C518" s="13"/>
    </row>
    <row r="519" spans="2:3" ht="15.75" customHeight="1" x14ac:dyDescent="0.2">
      <c r="B519" s="13"/>
      <c r="C519" s="13"/>
    </row>
    <row r="520" spans="2:3" ht="15.75" customHeight="1" x14ac:dyDescent="0.2">
      <c r="B520" s="13"/>
      <c r="C520" s="13"/>
    </row>
    <row r="521" spans="2:3" ht="15.75" customHeight="1" x14ac:dyDescent="0.2">
      <c r="B521" s="13"/>
      <c r="C521" s="13"/>
    </row>
    <row r="522" spans="2:3" ht="15.75" customHeight="1" x14ac:dyDescent="0.2">
      <c r="B522" s="13"/>
      <c r="C522" s="13"/>
    </row>
    <row r="523" spans="2:3" ht="15.75" customHeight="1" x14ac:dyDescent="0.2">
      <c r="B523" s="13"/>
      <c r="C523" s="13"/>
    </row>
    <row r="524" spans="2:3" ht="15.75" customHeight="1" x14ac:dyDescent="0.2">
      <c r="B524" s="13"/>
      <c r="C524" s="13"/>
    </row>
    <row r="525" spans="2:3" ht="15.75" customHeight="1" x14ac:dyDescent="0.2">
      <c r="B525" s="13"/>
      <c r="C525" s="13"/>
    </row>
    <row r="526" spans="2:3" ht="15.75" customHeight="1" x14ac:dyDescent="0.2">
      <c r="B526" s="13"/>
      <c r="C526" s="13"/>
    </row>
    <row r="527" spans="2:3" ht="15.75" customHeight="1" x14ac:dyDescent="0.2">
      <c r="B527" s="13"/>
      <c r="C527" s="13"/>
    </row>
    <row r="528" spans="2:3" ht="15.75" customHeight="1" x14ac:dyDescent="0.2">
      <c r="B528" s="13"/>
      <c r="C528" s="13"/>
    </row>
    <row r="529" spans="2:3" ht="15.75" customHeight="1" x14ac:dyDescent="0.2">
      <c r="B529" s="13"/>
      <c r="C529" s="13"/>
    </row>
    <row r="530" spans="2:3" ht="15.75" customHeight="1" x14ac:dyDescent="0.2">
      <c r="B530" s="13"/>
      <c r="C530" s="13"/>
    </row>
    <row r="531" spans="2:3" ht="15.75" customHeight="1" x14ac:dyDescent="0.2">
      <c r="B531" s="13"/>
      <c r="C531" s="13"/>
    </row>
    <row r="532" spans="2:3" ht="15.75" customHeight="1" x14ac:dyDescent="0.2">
      <c r="B532" s="13"/>
      <c r="C532" s="13"/>
    </row>
    <row r="533" spans="2:3" ht="15.75" customHeight="1" x14ac:dyDescent="0.2">
      <c r="B533" s="13"/>
      <c r="C533" s="13"/>
    </row>
    <row r="534" spans="2:3" ht="15.75" customHeight="1" x14ac:dyDescent="0.2">
      <c r="B534" s="13"/>
      <c r="C534" s="13"/>
    </row>
    <row r="535" spans="2:3" ht="15.75" customHeight="1" x14ac:dyDescent="0.2">
      <c r="B535" s="13"/>
      <c r="C535" s="13"/>
    </row>
    <row r="536" spans="2:3" ht="15.75" customHeight="1" x14ac:dyDescent="0.2">
      <c r="B536" s="13"/>
      <c r="C536" s="13"/>
    </row>
    <row r="537" spans="2:3" ht="15.75" customHeight="1" x14ac:dyDescent="0.2">
      <c r="B537" s="13"/>
      <c r="C537" s="13"/>
    </row>
    <row r="538" spans="2:3" ht="15.75" customHeight="1" x14ac:dyDescent="0.2">
      <c r="B538" s="13"/>
      <c r="C538" s="13"/>
    </row>
    <row r="539" spans="2:3" ht="15.75" customHeight="1" x14ac:dyDescent="0.2">
      <c r="B539" s="13"/>
      <c r="C539" s="13"/>
    </row>
    <row r="540" spans="2:3" ht="15.75" customHeight="1" x14ac:dyDescent="0.2">
      <c r="B540" s="13"/>
      <c r="C540" s="13"/>
    </row>
    <row r="541" spans="2:3" ht="15.75" customHeight="1" x14ac:dyDescent="0.2">
      <c r="B541" s="13"/>
      <c r="C541" s="13"/>
    </row>
    <row r="542" spans="2:3" ht="15.75" customHeight="1" x14ac:dyDescent="0.2">
      <c r="B542" s="13"/>
      <c r="C542" s="13"/>
    </row>
    <row r="543" spans="2:3" ht="15.75" customHeight="1" x14ac:dyDescent="0.2">
      <c r="B543" s="13"/>
      <c r="C543" s="13"/>
    </row>
    <row r="544" spans="2:3" ht="15.75" customHeight="1" x14ac:dyDescent="0.2">
      <c r="B544" s="13"/>
      <c r="C544" s="13"/>
    </row>
    <row r="545" spans="2:3" ht="15.75" customHeight="1" x14ac:dyDescent="0.2">
      <c r="B545" s="13"/>
      <c r="C545" s="13"/>
    </row>
    <row r="546" spans="2:3" ht="15.75" customHeight="1" x14ac:dyDescent="0.2">
      <c r="B546" s="13"/>
      <c r="C546" s="13"/>
    </row>
    <row r="547" spans="2:3" ht="15.75" customHeight="1" x14ac:dyDescent="0.2">
      <c r="B547" s="13"/>
      <c r="C547" s="13"/>
    </row>
    <row r="548" spans="2:3" ht="15.75" customHeight="1" x14ac:dyDescent="0.2">
      <c r="B548" s="13"/>
      <c r="C548" s="13"/>
    </row>
    <row r="549" spans="2:3" ht="15.75" customHeight="1" x14ac:dyDescent="0.2">
      <c r="B549" s="13"/>
      <c r="C549" s="13"/>
    </row>
    <row r="550" spans="2:3" ht="15.75" customHeight="1" x14ac:dyDescent="0.2">
      <c r="B550" s="13"/>
      <c r="C550" s="13"/>
    </row>
    <row r="551" spans="2:3" ht="15.75" customHeight="1" x14ac:dyDescent="0.2">
      <c r="B551" s="13"/>
      <c r="C551" s="13"/>
    </row>
    <row r="552" spans="2:3" ht="15.75" customHeight="1" x14ac:dyDescent="0.2">
      <c r="B552" s="13"/>
      <c r="C552" s="13"/>
    </row>
    <row r="553" spans="2:3" ht="15.75" customHeight="1" x14ac:dyDescent="0.2">
      <c r="B553" s="13"/>
      <c r="C553" s="13"/>
    </row>
    <row r="554" spans="2:3" ht="15.75" customHeight="1" x14ac:dyDescent="0.2">
      <c r="B554" s="13"/>
      <c r="C554" s="13"/>
    </row>
    <row r="555" spans="2:3" ht="15.75" customHeight="1" x14ac:dyDescent="0.2">
      <c r="B555" s="13"/>
      <c r="C555" s="13"/>
    </row>
    <row r="556" spans="2:3" ht="15.75" customHeight="1" x14ac:dyDescent="0.2">
      <c r="B556" s="13"/>
      <c r="C556" s="13"/>
    </row>
    <row r="557" spans="2:3" ht="15.75" customHeight="1" x14ac:dyDescent="0.2">
      <c r="B557" s="13"/>
      <c r="C557" s="13"/>
    </row>
    <row r="558" spans="2:3" ht="15.75" customHeight="1" x14ac:dyDescent="0.2">
      <c r="B558" s="13"/>
      <c r="C558" s="13"/>
    </row>
    <row r="559" spans="2:3" ht="15.75" customHeight="1" x14ac:dyDescent="0.2">
      <c r="B559" s="13"/>
      <c r="C559" s="13"/>
    </row>
    <row r="560" spans="2:3" ht="15.75" customHeight="1" x14ac:dyDescent="0.2">
      <c r="B560" s="13"/>
      <c r="C560" s="13"/>
    </row>
    <row r="561" spans="2:3" ht="15.75" customHeight="1" x14ac:dyDescent="0.2">
      <c r="B561" s="13"/>
      <c r="C561" s="13"/>
    </row>
    <row r="562" spans="2:3" ht="15.75" customHeight="1" x14ac:dyDescent="0.2">
      <c r="B562" s="13"/>
      <c r="C562" s="13"/>
    </row>
    <row r="563" spans="2:3" ht="15.75" customHeight="1" x14ac:dyDescent="0.2">
      <c r="B563" s="13"/>
      <c r="C563" s="13"/>
    </row>
    <row r="564" spans="2:3" ht="15.75" customHeight="1" x14ac:dyDescent="0.2">
      <c r="B564" s="13"/>
      <c r="C564" s="13"/>
    </row>
    <row r="565" spans="2:3" ht="15.75" customHeight="1" x14ac:dyDescent="0.2">
      <c r="B565" s="13"/>
      <c r="C565" s="13"/>
    </row>
    <row r="566" spans="2:3" ht="15.75" customHeight="1" x14ac:dyDescent="0.2">
      <c r="B566" s="13"/>
      <c r="C566" s="13"/>
    </row>
    <row r="567" spans="2:3" ht="15.75" customHeight="1" x14ac:dyDescent="0.2">
      <c r="B567" s="13"/>
      <c r="C567" s="13"/>
    </row>
    <row r="568" spans="2:3" ht="15.75" customHeight="1" x14ac:dyDescent="0.2">
      <c r="B568" s="13"/>
      <c r="C568" s="13"/>
    </row>
    <row r="569" spans="2:3" ht="15.75" customHeight="1" x14ac:dyDescent="0.2">
      <c r="B569" s="13"/>
      <c r="C569" s="13"/>
    </row>
    <row r="570" spans="2:3" ht="15.75" customHeight="1" x14ac:dyDescent="0.2">
      <c r="B570" s="13"/>
      <c r="C570" s="13"/>
    </row>
    <row r="571" spans="2:3" ht="15.75" customHeight="1" x14ac:dyDescent="0.2">
      <c r="B571" s="13"/>
      <c r="C571" s="13"/>
    </row>
    <row r="572" spans="2:3" ht="15.75" customHeight="1" x14ac:dyDescent="0.2">
      <c r="B572" s="13"/>
      <c r="C572" s="13"/>
    </row>
    <row r="573" spans="2:3" ht="15.75" customHeight="1" x14ac:dyDescent="0.2">
      <c r="B573" s="13"/>
      <c r="C573" s="13"/>
    </row>
    <row r="574" spans="2:3" ht="15.75" customHeight="1" x14ac:dyDescent="0.2">
      <c r="B574" s="13"/>
      <c r="C574" s="13"/>
    </row>
    <row r="575" spans="2:3" ht="15.75" customHeight="1" x14ac:dyDescent="0.2">
      <c r="B575" s="13"/>
      <c r="C575" s="13"/>
    </row>
    <row r="576" spans="2:3" ht="15.75" customHeight="1" x14ac:dyDescent="0.2">
      <c r="B576" s="13"/>
      <c r="C576" s="13"/>
    </row>
    <row r="577" spans="2:3" ht="15.75" customHeight="1" x14ac:dyDescent="0.2">
      <c r="B577" s="13"/>
      <c r="C577" s="13"/>
    </row>
    <row r="578" spans="2:3" ht="15.75" customHeight="1" x14ac:dyDescent="0.2">
      <c r="B578" s="13"/>
      <c r="C578" s="13"/>
    </row>
    <row r="579" spans="2:3" ht="15.75" customHeight="1" x14ac:dyDescent="0.2">
      <c r="B579" s="13"/>
      <c r="C579" s="13"/>
    </row>
    <row r="580" spans="2:3" ht="15.75" customHeight="1" x14ac:dyDescent="0.2">
      <c r="B580" s="13"/>
      <c r="C580" s="13"/>
    </row>
    <row r="581" spans="2:3" ht="15.75" customHeight="1" x14ac:dyDescent="0.2">
      <c r="B581" s="13"/>
      <c r="C581" s="13"/>
    </row>
    <row r="582" spans="2:3" ht="15.75" customHeight="1" x14ac:dyDescent="0.2">
      <c r="B582" s="13"/>
      <c r="C582" s="13"/>
    </row>
    <row r="583" spans="2:3" ht="15.75" customHeight="1" x14ac:dyDescent="0.2">
      <c r="B583" s="13"/>
      <c r="C583" s="13"/>
    </row>
    <row r="584" spans="2:3" ht="15.75" customHeight="1" x14ac:dyDescent="0.2">
      <c r="B584" s="13"/>
      <c r="C584" s="13"/>
    </row>
    <row r="585" spans="2:3" ht="15.75" customHeight="1" x14ac:dyDescent="0.2">
      <c r="B585" s="13"/>
      <c r="C585" s="13"/>
    </row>
    <row r="586" spans="2:3" ht="15.75" customHeight="1" x14ac:dyDescent="0.2">
      <c r="B586" s="13"/>
      <c r="C586" s="13"/>
    </row>
    <row r="587" spans="2:3" ht="15.75" customHeight="1" x14ac:dyDescent="0.2">
      <c r="B587" s="13"/>
      <c r="C587" s="13"/>
    </row>
    <row r="588" spans="2:3" ht="15.75" customHeight="1" x14ac:dyDescent="0.2">
      <c r="B588" s="13"/>
      <c r="C588" s="13"/>
    </row>
    <row r="589" spans="2:3" ht="15.75" customHeight="1" x14ac:dyDescent="0.2">
      <c r="B589" s="13"/>
      <c r="C589" s="13"/>
    </row>
    <row r="590" spans="2:3" ht="15.75" customHeight="1" x14ac:dyDescent="0.2">
      <c r="B590" s="13"/>
      <c r="C590" s="13"/>
    </row>
    <row r="591" spans="2:3" ht="15.75" customHeight="1" x14ac:dyDescent="0.2">
      <c r="B591" s="13"/>
      <c r="C591" s="13"/>
    </row>
    <row r="592" spans="2:3" ht="15.75" customHeight="1" x14ac:dyDescent="0.2">
      <c r="B592" s="13"/>
      <c r="C592" s="13"/>
    </row>
    <row r="593" spans="2:3" ht="15.75" customHeight="1" x14ac:dyDescent="0.2">
      <c r="B593" s="13"/>
      <c r="C593" s="13"/>
    </row>
    <row r="594" spans="2:3" ht="15.75" customHeight="1" x14ac:dyDescent="0.2">
      <c r="B594" s="13"/>
      <c r="C594" s="13"/>
    </row>
    <row r="595" spans="2:3" ht="15.75" customHeight="1" x14ac:dyDescent="0.2">
      <c r="B595" s="13"/>
      <c r="C595" s="13"/>
    </row>
    <row r="596" spans="2:3" ht="15.75" customHeight="1" x14ac:dyDescent="0.2">
      <c r="B596" s="13"/>
      <c r="C596" s="13"/>
    </row>
    <row r="597" spans="2:3" ht="15.75" customHeight="1" x14ac:dyDescent="0.2">
      <c r="B597" s="13"/>
      <c r="C597" s="13"/>
    </row>
    <row r="598" spans="2:3" ht="15.75" customHeight="1" x14ac:dyDescent="0.2">
      <c r="B598" s="13"/>
      <c r="C598" s="13"/>
    </row>
    <row r="599" spans="2:3" ht="15.75" customHeight="1" x14ac:dyDescent="0.2">
      <c r="B599" s="13"/>
      <c r="C599" s="13"/>
    </row>
    <row r="600" spans="2:3" ht="15.75" customHeight="1" x14ac:dyDescent="0.2">
      <c r="B600" s="13"/>
      <c r="C600" s="13"/>
    </row>
    <row r="601" spans="2:3" ht="15.75" customHeight="1" x14ac:dyDescent="0.2">
      <c r="B601" s="13"/>
      <c r="C601" s="13"/>
    </row>
    <row r="602" spans="2:3" ht="15.75" customHeight="1" x14ac:dyDescent="0.2">
      <c r="B602" s="13"/>
      <c r="C602" s="13"/>
    </row>
    <row r="603" spans="2:3" ht="15.75" customHeight="1" x14ac:dyDescent="0.2">
      <c r="B603" s="13"/>
      <c r="C603" s="13"/>
    </row>
    <row r="604" spans="2:3" ht="15.75" customHeight="1" x14ac:dyDescent="0.2">
      <c r="B604" s="13"/>
      <c r="C604" s="13"/>
    </row>
    <row r="605" spans="2:3" ht="15.75" customHeight="1" x14ac:dyDescent="0.2">
      <c r="B605" s="13"/>
      <c r="C605" s="13"/>
    </row>
    <row r="606" spans="2:3" ht="15.75" customHeight="1" x14ac:dyDescent="0.2">
      <c r="B606" s="13"/>
      <c r="C606" s="13"/>
    </row>
    <row r="607" spans="2:3" ht="15.75" customHeight="1" x14ac:dyDescent="0.2">
      <c r="B607" s="13"/>
      <c r="C607" s="13"/>
    </row>
    <row r="608" spans="2:3" ht="15.75" customHeight="1" x14ac:dyDescent="0.2">
      <c r="B608" s="13"/>
      <c r="C608" s="13"/>
    </row>
    <row r="609" spans="2:3" ht="15.75" customHeight="1" x14ac:dyDescent="0.2">
      <c r="B609" s="13"/>
      <c r="C609" s="13"/>
    </row>
    <row r="610" spans="2:3" ht="15.75" customHeight="1" x14ac:dyDescent="0.2">
      <c r="B610" s="13"/>
      <c r="C610" s="13"/>
    </row>
    <row r="611" spans="2:3" ht="15.75" customHeight="1" x14ac:dyDescent="0.2">
      <c r="B611" s="13"/>
      <c r="C611" s="13"/>
    </row>
    <row r="612" spans="2:3" ht="15.75" customHeight="1" x14ac:dyDescent="0.2">
      <c r="B612" s="13"/>
      <c r="C612" s="13"/>
    </row>
    <row r="613" spans="2:3" ht="15.75" customHeight="1" x14ac:dyDescent="0.2">
      <c r="B613" s="13"/>
      <c r="C613" s="13"/>
    </row>
    <row r="614" spans="2:3" ht="15.75" customHeight="1" x14ac:dyDescent="0.2">
      <c r="B614" s="13"/>
      <c r="C614" s="13"/>
    </row>
    <row r="615" spans="2:3" ht="15.75" customHeight="1" x14ac:dyDescent="0.2">
      <c r="B615" s="13"/>
      <c r="C615" s="13"/>
    </row>
    <row r="616" spans="2:3" ht="15.75" customHeight="1" x14ac:dyDescent="0.2">
      <c r="B616" s="13"/>
      <c r="C616" s="13"/>
    </row>
    <row r="617" spans="2:3" ht="15.75" customHeight="1" x14ac:dyDescent="0.2">
      <c r="B617" s="13"/>
      <c r="C617" s="13"/>
    </row>
    <row r="618" spans="2:3" ht="15.75" customHeight="1" x14ac:dyDescent="0.2">
      <c r="B618" s="13"/>
      <c r="C618" s="13"/>
    </row>
    <row r="619" spans="2:3" ht="15.75" customHeight="1" x14ac:dyDescent="0.2">
      <c r="B619" s="13"/>
      <c r="C619" s="13"/>
    </row>
    <row r="620" spans="2:3" ht="15.75" customHeight="1" x14ac:dyDescent="0.2">
      <c r="B620" s="13"/>
      <c r="C620" s="13"/>
    </row>
    <row r="621" spans="2:3" ht="15.75" customHeight="1" x14ac:dyDescent="0.2">
      <c r="B621" s="13"/>
      <c r="C621" s="13"/>
    </row>
    <row r="622" spans="2:3" ht="15.75" customHeight="1" x14ac:dyDescent="0.2">
      <c r="B622" s="13"/>
      <c r="C622" s="13"/>
    </row>
    <row r="623" spans="2:3" ht="15.75" customHeight="1" x14ac:dyDescent="0.2">
      <c r="B623" s="13"/>
      <c r="C623" s="13"/>
    </row>
    <row r="624" spans="2:3" ht="15.75" customHeight="1" x14ac:dyDescent="0.2">
      <c r="B624" s="13"/>
      <c r="C624" s="13"/>
    </row>
    <row r="625" spans="2:3" ht="15.75" customHeight="1" x14ac:dyDescent="0.2">
      <c r="B625" s="13"/>
      <c r="C625" s="13"/>
    </row>
    <row r="626" spans="2:3" ht="15.75" customHeight="1" x14ac:dyDescent="0.2">
      <c r="B626" s="13"/>
      <c r="C626" s="13"/>
    </row>
    <row r="627" spans="2:3" ht="15.75" customHeight="1" x14ac:dyDescent="0.2">
      <c r="B627" s="13"/>
      <c r="C627" s="13"/>
    </row>
    <row r="628" spans="2:3" ht="15.75" customHeight="1" x14ac:dyDescent="0.2">
      <c r="B628" s="13"/>
      <c r="C628" s="13"/>
    </row>
    <row r="629" spans="2:3" ht="15.75" customHeight="1" x14ac:dyDescent="0.2">
      <c r="B629" s="13"/>
      <c r="C629" s="13"/>
    </row>
    <row r="630" spans="2:3" ht="15.75" customHeight="1" x14ac:dyDescent="0.2">
      <c r="B630" s="13"/>
      <c r="C630" s="13"/>
    </row>
    <row r="631" spans="2:3" ht="15.75" customHeight="1" x14ac:dyDescent="0.2">
      <c r="B631" s="13"/>
      <c r="C631" s="13"/>
    </row>
    <row r="632" spans="2:3" ht="15.75" customHeight="1" x14ac:dyDescent="0.2">
      <c r="B632" s="13"/>
      <c r="C632" s="13"/>
    </row>
    <row r="633" spans="2:3" ht="15.75" customHeight="1" x14ac:dyDescent="0.2">
      <c r="B633" s="13"/>
      <c r="C633" s="13"/>
    </row>
    <row r="634" spans="2:3" ht="15.75" customHeight="1" x14ac:dyDescent="0.2">
      <c r="B634" s="13"/>
      <c r="C634" s="13"/>
    </row>
    <row r="635" spans="2:3" ht="15.75" customHeight="1" x14ac:dyDescent="0.2">
      <c r="B635" s="13"/>
      <c r="C635" s="13"/>
    </row>
    <row r="636" spans="2:3" ht="15.75" customHeight="1" x14ac:dyDescent="0.2">
      <c r="B636" s="13"/>
      <c r="C636" s="13"/>
    </row>
    <row r="637" spans="2:3" ht="15.75" customHeight="1" x14ac:dyDescent="0.2">
      <c r="B637" s="13"/>
      <c r="C637" s="13"/>
    </row>
    <row r="638" spans="2:3" ht="15.75" customHeight="1" x14ac:dyDescent="0.2">
      <c r="B638" s="13"/>
      <c r="C638" s="13"/>
    </row>
    <row r="639" spans="2:3" ht="15.75" customHeight="1" x14ac:dyDescent="0.2">
      <c r="B639" s="13"/>
      <c r="C639" s="13"/>
    </row>
    <row r="640" spans="2:3" ht="15.75" customHeight="1" x14ac:dyDescent="0.2">
      <c r="B640" s="13"/>
      <c r="C640" s="13"/>
    </row>
    <row r="641" spans="2:3" ht="15.75" customHeight="1" x14ac:dyDescent="0.2">
      <c r="B641" s="13"/>
      <c r="C641" s="13"/>
    </row>
    <row r="642" spans="2:3" ht="15.75" customHeight="1" x14ac:dyDescent="0.2">
      <c r="B642" s="13"/>
      <c r="C642" s="13"/>
    </row>
    <row r="643" spans="2:3" ht="15.75" customHeight="1" x14ac:dyDescent="0.2">
      <c r="B643" s="13"/>
      <c r="C643" s="13"/>
    </row>
    <row r="644" spans="2:3" ht="15.75" customHeight="1" x14ac:dyDescent="0.2">
      <c r="B644" s="13"/>
      <c r="C644" s="13"/>
    </row>
    <row r="645" spans="2:3" ht="15.75" customHeight="1" x14ac:dyDescent="0.2">
      <c r="B645" s="13"/>
      <c r="C645" s="13"/>
    </row>
    <row r="646" spans="2:3" ht="15.75" customHeight="1" x14ac:dyDescent="0.2">
      <c r="B646" s="13"/>
      <c r="C646" s="13"/>
    </row>
    <row r="647" spans="2:3" ht="15.75" customHeight="1" x14ac:dyDescent="0.2">
      <c r="B647" s="13"/>
      <c r="C647" s="13"/>
    </row>
    <row r="648" spans="2:3" ht="15.75" customHeight="1" x14ac:dyDescent="0.2">
      <c r="B648" s="13"/>
      <c r="C648" s="13"/>
    </row>
    <row r="649" spans="2:3" ht="15.75" customHeight="1" x14ac:dyDescent="0.2">
      <c r="B649" s="13"/>
      <c r="C649" s="13"/>
    </row>
    <row r="650" spans="2:3" ht="15.75" customHeight="1" x14ac:dyDescent="0.2">
      <c r="B650" s="13"/>
      <c r="C650" s="13"/>
    </row>
    <row r="651" spans="2:3" ht="15.75" customHeight="1" x14ac:dyDescent="0.2">
      <c r="B651" s="13"/>
      <c r="C651" s="13"/>
    </row>
    <row r="652" spans="2:3" ht="15.75" customHeight="1" x14ac:dyDescent="0.2">
      <c r="B652" s="13"/>
      <c r="C652" s="13"/>
    </row>
    <row r="653" spans="2:3" ht="15.75" customHeight="1" x14ac:dyDescent="0.2">
      <c r="B653" s="13"/>
      <c r="C653" s="13"/>
    </row>
    <row r="654" spans="2:3" ht="15.75" customHeight="1" x14ac:dyDescent="0.2">
      <c r="B654" s="13"/>
      <c r="C654" s="13"/>
    </row>
    <row r="655" spans="2:3" ht="15.75" customHeight="1" x14ac:dyDescent="0.2">
      <c r="B655" s="13"/>
      <c r="C655" s="13"/>
    </row>
    <row r="656" spans="2:3" ht="15.75" customHeight="1" x14ac:dyDescent="0.2">
      <c r="B656" s="13"/>
      <c r="C656" s="13"/>
    </row>
    <row r="657" spans="2:3" ht="15.75" customHeight="1" x14ac:dyDescent="0.2">
      <c r="B657" s="13"/>
      <c r="C657" s="13"/>
    </row>
    <row r="658" spans="2:3" ht="15.75" customHeight="1" x14ac:dyDescent="0.2">
      <c r="B658" s="13"/>
      <c r="C658" s="13"/>
    </row>
    <row r="659" spans="2:3" ht="15.75" customHeight="1" x14ac:dyDescent="0.2">
      <c r="B659" s="13"/>
      <c r="C659" s="13"/>
    </row>
    <row r="660" spans="2:3" ht="15.75" customHeight="1" x14ac:dyDescent="0.2">
      <c r="B660" s="13"/>
      <c r="C660" s="13"/>
    </row>
    <row r="661" spans="2:3" ht="15.75" customHeight="1" x14ac:dyDescent="0.2">
      <c r="B661" s="13"/>
      <c r="C661" s="13"/>
    </row>
    <row r="662" spans="2:3" ht="15.75" customHeight="1" x14ac:dyDescent="0.2">
      <c r="B662" s="13"/>
      <c r="C662" s="13"/>
    </row>
    <row r="663" spans="2:3" ht="15.75" customHeight="1" x14ac:dyDescent="0.2">
      <c r="B663" s="13"/>
      <c r="C663" s="13"/>
    </row>
    <row r="664" spans="2:3" ht="15.75" customHeight="1" x14ac:dyDescent="0.2">
      <c r="B664" s="13"/>
      <c r="C664" s="13"/>
    </row>
    <row r="665" spans="2:3" ht="15.75" customHeight="1" x14ac:dyDescent="0.2">
      <c r="B665" s="13"/>
      <c r="C665" s="13"/>
    </row>
    <row r="666" spans="2:3" ht="15.75" customHeight="1" x14ac:dyDescent="0.2">
      <c r="B666" s="13"/>
      <c r="C666" s="13"/>
    </row>
    <row r="667" spans="2:3" ht="15.75" customHeight="1" x14ac:dyDescent="0.2">
      <c r="B667" s="13"/>
      <c r="C667" s="13"/>
    </row>
    <row r="668" spans="2:3" ht="15.75" customHeight="1" x14ac:dyDescent="0.2">
      <c r="B668" s="13"/>
      <c r="C668" s="13"/>
    </row>
    <row r="669" spans="2:3" ht="15.75" customHeight="1" x14ac:dyDescent="0.2">
      <c r="B669" s="13"/>
      <c r="C669" s="13"/>
    </row>
    <row r="670" spans="2:3" ht="15.75" customHeight="1" x14ac:dyDescent="0.2">
      <c r="B670" s="13"/>
      <c r="C670" s="13"/>
    </row>
    <row r="671" spans="2:3" ht="15.75" customHeight="1" x14ac:dyDescent="0.2">
      <c r="B671" s="13"/>
      <c r="C671" s="13"/>
    </row>
    <row r="672" spans="2:3" ht="15.75" customHeight="1" x14ac:dyDescent="0.2">
      <c r="B672" s="13"/>
      <c r="C672" s="13"/>
    </row>
    <row r="673" spans="2:3" ht="15.75" customHeight="1" x14ac:dyDescent="0.2">
      <c r="B673" s="13"/>
      <c r="C673" s="13"/>
    </row>
    <row r="674" spans="2:3" ht="15.75" customHeight="1" x14ac:dyDescent="0.2">
      <c r="B674" s="13"/>
      <c r="C674" s="13"/>
    </row>
    <row r="675" spans="2:3" ht="15.75" customHeight="1" x14ac:dyDescent="0.2">
      <c r="B675" s="13"/>
      <c r="C675" s="13"/>
    </row>
    <row r="676" spans="2:3" ht="15.75" customHeight="1" x14ac:dyDescent="0.2">
      <c r="B676" s="13"/>
      <c r="C676" s="13"/>
    </row>
    <row r="677" spans="2:3" ht="15.75" customHeight="1" x14ac:dyDescent="0.2">
      <c r="B677" s="13"/>
      <c r="C677" s="13"/>
    </row>
    <row r="678" spans="2:3" ht="15.75" customHeight="1" x14ac:dyDescent="0.2">
      <c r="B678" s="13"/>
      <c r="C678" s="13"/>
    </row>
    <row r="679" spans="2:3" ht="15.75" customHeight="1" x14ac:dyDescent="0.2">
      <c r="B679" s="13"/>
      <c r="C679" s="13"/>
    </row>
    <row r="680" spans="2:3" ht="15.75" customHeight="1" x14ac:dyDescent="0.2">
      <c r="B680" s="13"/>
      <c r="C680" s="13"/>
    </row>
    <row r="681" spans="2:3" ht="15.75" customHeight="1" x14ac:dyDescent="0.2">
      <c r="B681" s="13"/>
      <c r="C681" s="13"/>
    </row>
    <row r="682" spans="2:3" ht="15.75" customHeight="1" x14ac:dyDescent="0.2">
      <c r="B682" s="13"/>
      <c r="C682" s="13"/>
    </row>
    <row r="683" spans="2:3" ht="15.75" customHeight="1" x14ac:dyDescent="0.2">
      <c r="B683" s="13"/>
      <c r="C683" s="13"/>
    </row>
    <row r="684" spans="2:3" ht="15.75" customHeight="1" x14ac:dyDescent="0.2">
      <c r="B684" s="13"/>
      <c r="C684" s="13"/>
    </row>
    <row r="685" spans="2:3" ht="15.75" customHeight="1" x14ac:dyDescent="0.2">
      <c r="B685" s="13"/>
      <c r="C685" s="13"/>
    </row>
    <row r="686" spans="2:3" ht="15.75" customHeight="1" x14ac:dyDescent="0.2">
      <c r="B686" s="13"/>
      <c r="C686" s="13"/>
    </row>
    <row r="687" spans="2:3" ht="15.75" customHeight="1" x14ac:dyDescent="0.2">
      <c r="B687" s="13"/>
      <c r="C687" s="13"/>
    </row>
    <row r="688" spans="2:3" ht="15.75" customHeight="1" x14ac:dyDescent="0.2">
      <c r="B688" s="13"/>
      <c r="C688" s="13"/>
    </row>
    <row r="689" spans="2:3" ht="15.75" customHeight="1" x14ac:dyDescent="0.2">
      <c r="B689" s="13"/>
      <c r="C689" s="13"/>
    </row>
    <row r="690" spans="2:3" ht="15.75" customHeight="1" x14ac:dyDescent="0.2">
      <c r="B690" s="13"/>
      <c r="C690" s="13"/>
    </row>
    <row r="691" spans="2:3" ht="15.75" customHeight="1" x14ac:dyDescent="0.2">
      <c r="B691" s="13"/>
      <c r="C691" s="13"/>
    </row>
    <row r="692" spans="2:3" ht="15.75" customHeight="1" x14ac:dyDescent="0.2">
      <c r="B692" s="13"/>
      <c r="C692" s="13"/>
    </row>
    <row r="693" spans="2:3" ht="15.75" customHeight="1" x14ac:dyDescent="0.2">
      <c r="B693" s="13"/>
      <c r="C693" s="13"/>
    </row>
    <row r="694" spans="2:3" ht="15.75" customHeight="1" x14ac:dyDescent="0.2">
      <c r="B694" s="13"/>
      <c r="C694" s="13"/>
    </row>
    <row r="695" spans="2:3" ht="15.75" customHeight="1" x14ac:dyDescent="0.2">
      <c r="B695" s="13"/>
      <c r="C695" s="13"/>
    </row>
    <row r="696" spans="2:3" ht="15.75" customHeight="1" x14ac:dyDescent="0.2">
      <c r="B696" s="13"/>
      <c r="C696" s="13"/>
    </row>
    <row r="697" spans="2:3" ht="15.75" customHeight="1" x14ac:dyDescent="0.2">
      <c r="B697" s="13"/>
      <c r="C697" s="13"/>
    </row>
    <row r="698" spans="2:3" ht="15.75" customHeight="1" x14ac:dyDescent="0.2">
      <c r="B698" s="13"/>
      <c r="C698" s="13"/>
    </row>
    <row r="699" spans="2:3" ht="15.75" customHeight="1" x14ac:dyDescent="0.2">
      <c r="B699" s="13"/>
      <c r="C699" s="13"/>
    </row>
    <row r="700" spans="2:3" ht="15.75" customHeight="1" x14ac:dyDescent="0.2">
      <c r="B700" s="13"/>
      <c r="C700" s="13"/>
    </row>
    <row r="701" spans="2:3" ht="15.75" customHeight="1" x14ac:dyDescent="0.2">
      <c r="B701" s="13"/>
      <c r="C701" s="13"/>
    </row>
    <row r="702" spans="2:3" ht="15.75" customHeight="1" x14ac:dyDescent="0.2">
      <c r="B702" s="13"/>
      <c r="C702" s="13"/>
    </row>
    <row r="703" spans="2:3" ht="15.75" customHeight="1" x14ac:dyDescent="0.2">
      <c r="B703" s="13"/>
      <c r="C703" s="13"/>
    </row>
    <row r="704" spans="2:3" ht="15.75" customHeight="1" x14ac:dyDescent="0.2">
      <c r="B704" s="13"/>
      <c r="C704" s="13"/>
    </row>
    <row r="705" spans="2:3" ht="15.75" customHeight="1" x14ac:dyDescent="0.2">
      <c r="B705" s="13"/>
      <c r="C705" s="13"/>
    </row>
    <row r="706" spans="2:3" ht="15.75" customHeight="1" x14ac:dyDescent="0.2">
      <c r="B706" s="13"/>
      <c r="C706" s="13"/>
    </row>
    <row r="707" spans="2:3" ht="15.75" customHeight="1" x14ac:dyDescent="0.2">
      <c r="B707" s="13"/>
      <c r="C707" s="13"/>
    </row>
    <row r="708" spans="2:3" ht="15.75" customHeight="1" x14ac:dyDescent="0.2">
      <c r="B708" s="13"/>
      <c r="C708" s="13"/>
    </row>
    <row r="709" spans="2:3" ht="15.75" customHeight="1" x14ac:dyDescent="0.2">
      <c r="B709" s="13"/>
      <c r="C709" s="13"/>
    </row>
    <row r="710" spans="2:3" ht="15.75" customHeight="1" x14ac:dyDescent="0.2">
      <c r="B710" s="13"/>
      <c r="C710" s="13"/>
    </row>
    <row r="711" spans="2:3" ht="15.75" customHeight="1" x14ac:dyDescent="0.2">
      <c r="B711" s="13"/>
      <c r="C711" s="13"/>
    </row>
    <row r="712" spans="2:3" ht="15.75" customHeight="1" x14ac:dyDescent="0.2">
      <c r="B712" s="13"/>
      <c r="C712" s="13"/>
    </row>
    <row r="713" spans="2:3" ht="15.75" customHeight="1" x14ac:dyDescent="0.2">
      <c r="B713" s="13"/>
      <c r="C713" s="13"/>
    </row>
    <row r="714" spans="2:3" ht="15.75" customHeight="1" x14ac:dyDescent="0.2">
      <c r="B714" s="13"/>
      <c r="C714" s="13"/>
    </row>
    <row r="715" spans="2:3" ht="15.75" customHeight="1" x14ac:dyDescent="0.2">
      <c r="B715" s="13"/>
      <c r="C715" s="13"/>
    </row>
    <row r="716" spans="2:3" ht="15.75" customHeight="1" x14ac:dyDescent="0.2">
      <c r="B716" s="13"/>
      <c r="C716" s="13"/>
    </row>
    <row r="717" spans="2:3" ht="15.75" customHeight="1" x14ac:dyDescent="0.2">
      <c r="B717" s="13"/>
      <c r="C717" s="13"/>
    </row>
    <row r="718" spans="2:3" ht="15.75" customHeight="1" x14ac:dyDescent="0.2">
      <c r="B718" s="13"/>
      <c r="C718" s="13"/>
    </row>
    <row r="719" spans="2:3" ht="15.75" customHeight="1" x14ac:dyDescent="0.2">
      <c r="B719" s="13"/>
      <c r="C719" s="13"/>
    </row>
    <row r="720" spans="2:3" ht="15.75" customHeight="1" x14ac:dyDescent="0.2">
      <c r="B720" s="13"/>
      <c r="C720" s="13"/>
    </row>
    <row r="721" spans="2:3" ht="15.75" customHeight="1" x14ac:dyDescent="0.2">
      <c r="B721" s="13"/>
      <c r="C721" s="13"/>
    </row>
    <row r="722" spans="2:3" ht="15.75" customHeight="1" x14ac:dyDescent="0.2">
      <c r="B722" s="13"/>
      <c r="C722" s="13"/>
    </row>
    <row r="723" spans="2:3" ht="15.75" customHeight="1" x14ac:dyDescent="0.2">
      <c r="B723" s="13"/>
      <c r="C723" s="13"/>
    </row>
    <row r="724" spans="2:3" ht="15.75" customHeight="1" x14ac:dyDescent="0.2">
      <c r="B724" s="13"/>
      <c r="C724" s="13"/>
    </row>
    <row r="725" spans="2:3" ht="15.75" customHeight="1" x14ac:dyDescent="0.2">
      <c r="B725" s="13"/>
      <c r="C725" s="13"/>
    </row>
    <row r="726" spans="2:3" ht="15.75" customHeight="1" x14ac:dyDescent="0.2">
      <c r="B726" s="13"/>
      <c r="C726" s="13"/>
    </row>
    <row r="727" spans="2:3" ht="15.75" customHeight="1" x14ac:dyDescent="0.2">
      <c r="B727" s="13"/>
      <c r="C727" s="13"/>
    </row>
    <row r="728" spans="2:3" ht="15.75" customHeight="1" x14ac:dyDescent="0.2">
      <c r="B728" s="13"/>
      <c r="C728" s="13"/>
    </row>
    <row r="729" spans="2:3" ht="15.75" customHeight="1" x14ac:dyDescent="0.2">
      <c r="B729" s="13"/>
      <c r="C729" s="13"/>
    </row>
    <row r="730" spans="2:3" ht="15.75" customHeight="1" x14ac:dyDescent="0.2">
      <c r="B730" s="13"/>
      <c r="C730" s="13"/>
    </row>
    <row r="731" spans="2:3" ht="15.75" customHeight="1" x14ac:dyDescent="0.2">
      <c r="B731" s="13"/>
      <c r="C731" s="13"/>
    </row>
    <row r="732" spans="2:3" ht="15.75" customHeight="1" x14ac:dyDescent="0.2">
      <c r="B732" s="13"/>
      <c r="C732" s="13"/>
    </row>
    <row r="733" spans="2:3" ht="15.75" customHeight="1" x14ac:dyDescent="0.2">
      <c r="B733" s="13"/>
      <c r="C733" s="13"/>
    </row>
    <row r="734" spans="2:3" ht="15.75" customHeight="1" x14ac:dyDescent="0.2">
      <c r="B734" s="13"/>
      <c r="C734" s="13"/>
    </row>
    <row r="735" spans="2:3" ht="15.75" customHeight="1" x14ac:dyDescent="0.2">
      <c r="B735" s="13"/>
      <c r="C735" s="13"/>
    </row>
    <row r="736" spans="2:3" ht="15.75" customHeight="1" x14ac:dyDescent="0.2">
      <c r="B736" s="13"/>
      <c r="C736" s="13"/>
    </row>
    <row r="737" spans="2:3" ht="15.75" customHeight="1" x14ac:dyDescent="0.2">
      <c r="B737" s="13"/>
      <c r="C737" s="13"/>
    </row>
    <row r="738" spans="2:3" ht="15.75" customHeight="1" x14ac:dyDescent="0.2">
      <c r="B738" s="13"/>
      <c r="C738" s="13"/>
    </row>
    <row r="739" spans="2:3" ht="15.75" customHeight="1" x14ac:dyDescent="0.2">
      <c r="B739" s="13"/>
      <c r="C739" s="13"/>
    </row>
    <row r="740" spans="2:3" ht="15.75" customHeight="1" x14ac:dyDescent="0.2">
      <c r="B740" s="13"/>
      <c r="C740" s="13"/>
    </row>
    <row r="741" spans="2:3" ht="15.75" customHeight="1" x14ac:dyDescent="0.2">
      <c r="B741" s="13"/>
      <c r="C741" s="13"/>
    </row>
    <row r="742" spans="2:3" ht="15.75" customHeight="1" x14ac:dyDescent="0.2">
      <c r="B742" s="13"/>
      <c r="C742" s="13"/>
    </row>
    <row r="743" spans="2:3" ht="15.75" customHeight="1" x14ac:dyDescent="0.2">
      <c r="B743" s="13"/>
      <c r="C743" s="13"/>
    </row>
    <row r="744" spans="2:3" ht="15.75" customHeight="1" x14ac:dyDescent="0.2">
      <c r="B744" s="13"/>
      <c r="C744" s="13"/>
    </row>
    <row r="745" spans="2:3" ht="15.75" customHeight="1" x14ac:dyDescent="0.2">
      <c r="B745" s="13"/>
      <c r="C745" s="13"/>
    </row>
    <row r="746" spans="2:3" ht="15.75" customHeight="1" x14ac:dyDescent="0.2">
      <c r="B746" s="13"/>
      <c r="C746" s="13"/>
    </row>
    <row r="747" spans="2:3" ht="15.75" customHeight="1" x14ac:dyDescent="0.2">
      <c r="B747" s="13"/>
      <c r="C747" s="13"/>
    </row>
    <row r="748" spans="2:3" ht="15.75" customHeight="1" x14ac:dyDescent="0.2">
      <c r="B748" s="13"/>
      <c r="C748" s="13"/>
    </row>
    <row r="749" spans="2:3" ht="15.75" customHeight="1" x14ac:dyDescent="0.2">
      <c r="B749" s="13"/>
      <c r="C749" s="13"/>
    </row>
    <row r="750" spans="2:3" ht="15.75" customHeight="1" x14ac:dyDescent="0.2">
      <c r="B750" s="13"/>
      <c r="C750" s="13"/>
    </row>
    <row r="751" spans="2:3" ht="15.75" customHeight="1" x14ac:dyDescent="0.2">
      <c r="B751" s="13"/>
      <c r="C751" s="13"/>
    </row>
    <row r="752" spans="2:3" ht="15.75" customHeight="1" x14ac:dyDescent="0.2">
      <c r="B752" s="13"/>
      <c r="C752" s="13"/>
    </row>
    <row r="753" spans="2:3" ht="15.75" customHeight="1" x14ac:dyDescent="0.2">
      <c r="B753" s="13"/>
      <c r="C753" s="13"/>
    </row>
    <row r="754" spans="2:3" ht="15.75" customHeight="1" x14ac:dyDescent="0.2">
      <c r="B754" s="13"/>
      <c r="C754" s="13"/>
    </row>
    <row r="755" spans="2:3" ht="15.75" customHeight="1" x14ac:dyDescent="0.2">
      <c r="B755" s="13"/>
      <c r="C755" s="13"/>
    </row>
    <row r="756" spans="2:3" ht="15.75" customHeight="1" x14ac:dyDescent="0.2">
      <c r="B756" s="13"/>
      <c r="C756" s="13"/>
    </row>
    <row r="757" spans="2:3" ht="15.75" customHeight="1" x14ac:dyDescent="0.2">
      <c r="B757" s="13"/>
      <c r="C757" s="13"/>
    </row>
    <row r="758" spans="2:3" ht="15.75" customHeight="1" x14ac:dyDescent="0.2">
      <c r="B758" s="13"/>
      <c r="C758" s="13"/>
    </row>
    <row r="759" spans="2:3" ht="15.75" customHeight="1" x14ac:dyDescent="0.2">
      <c r="B759" s="13"/>
      <c r="C759" s="13"/>
    </row>
    <row r="760" spans="2:3" ht="15.75" customHeight="1" x14ac:dyDescent="0.2">
      <c r="B760" s="13"/>
      <c r="C760" s="13"/>
    </row>
    <row r="761" spans="2:3" ht="15.75" customHeight="1" x14ac:dyDescent="0.2">
      <c r="B761" s="13"/>
      <c r="C761" s="13"/>
    </row>
    <row r="762" spans="2:3" ht="15.75" customHeight="1" x14ac:dyDescent="0.2">
      <c r="B762" s="13"/>
      <c r="C762" s="13"/>
    </row>
    <row r="763" spans="2:3" ht="15.75" customHeight="1" x14ac:dyDescent="0.2">
      <c r="B763" s="13"/>
      <c r="C763" s="13"/>
    </row>
    <row r="764" spans="2:3" ht="15.75" customHeight="1" x14ac:dyDescent="0.2">
      <c r="B764" s="13"/>
      <c r="C764" s="13"/>
    </row>
    <row r="765" spans="2:3" ht="15.75" customHeight="1" x14ac:dyDescent="0.2">
      <c r="B765" s="13"/>
      <c r="C765" s="13"/>
    </row>
    <row r="766" spans="2:3" ht="15.75" customHeight="1" x14ac:dyDescent="0.2">
      <c r="B766" s="13"/>
      <c r="C766" s="13"/>
    </row>
    <row r="767" spans="2:3" ht="15.75" customHeight="1" x14ac:dyDescent="0.2">
      <c r="B767" s="13"/>
      <c r="C767" s="13"/>
    </row>
    <row r="768" spans="2:3" ht="15.75" customHeight="1" x14ac:dyDescent="0.2">
      <c r="B768" s="13"/>
      <c r="C768" s="13"/>
    </row>
    <row r="769" spans="2:3" ht="15.75" customHeight="1" x14ac:dyDescent="0.2">
      <c r="B769" s="13"/>
      <c r="C769" s="13"/>
    </row>
    <row r="770" spans="2:3" ht="15.75" customHeight="1" x14ac:dyDescent="0.2">
      <c r="B770" s="13"/>
      <c r="C770" s="13"/>
    </row>
    <row r="771" spans="2:3" ht="15.75" customHeight="1" x14ac:dyDescent="0.2">
      <c r="B771" s="13"/>
      <c r="C771" s="13"/>
    </row>
    <row r="772" spans="2:3" ht="15.75" customHeight="1" x14ac:dyDescent="0.2">
      <c r="B772" s="13"/>
      <c r="C772" s="13"/>
    </row>
    <row r="773" spans="2:3" ht="15.75" customHeight="1" x14ac:dyDescent="0.2">
      <c r="B773" s="13"/>
      <c r="C773" s="13"/>
    </row>
    <row r="774" spans="2:3" ht="15.75" customHeight="1" x14ac:dyDescent="0.2">
      <c r="B774" s="13"/>
      <c r="C774" s="13"/>
    </row>
    <row r="775" spans="2:3" ht="15.75" customHeight="1" x14ac:dyDescent="0.2">
      <c r="B775" s="13"/>
      <c r="C775" s="13"/>
    </row>
    <row r="776" spans="2:3" ht="15.75" customHeight="1" x14ac:dyDescent="0.2">
      <c r="B776" s="13"/>
      <c r="C776" s="13"/>
    </row>
    <row r="777" spans="2:3" ht="15.75" customHeight="1" x14ac:dyDescent="0.2">
      <c r="B777" s="13"/>
      <c r="C777" s="13"/>
    </row>
    <row r="778" spans="2:3" ht="15.75" customHeight="1" x14ac:dyDescent="0.2">
      <c r="B778" s="13"/>
      <c r="C778" s="13"/>
    </row>
    <row r="779" spans="2:3" ht="15.75" customHeight="1" x14ac:dyDescent="0.2">
      <c r="B779" s="13"/>
      <c r="C779" s="13"/>
    </row>
    <row r="780" spans="2:3" ht="15.75" customHeight="1" x14ac:dyDescent="0.2">
      <c r="B780" s="13"/>
      <c r="C780" s="13"/>
    </row>
    <row r="781" spans="2:3" ht="15.75" customHeight="1" x14ac:dyDescent="0.2">
      <c r="B781" s="13"/>
      <c r="C781" s="13"/>
    </row>
    <row r="782" spans="2:3" ht="15.75" customHeight="1" x14ac:dyDescent="0.2">
      <c r="B782" s="13"/>
      <c r="C782" s="13"/>
    </row>
    <row r="783" spans="2:3" ht="15.75" customHeight="1" x14ac:dyDescent="0.2">
      <c r="B783" s="13"/>
      <c r="C783" s="13"/>
    </row>
    <row r="784" spans="2:3" ht="15.75" customHeight="1" x14ac:dyDescent="0.2">
      <c r="B784" s="13"/>
      <c r="C784" s="13"/>
    </row>
    <row r="785" spans="2:3" ht="15.75" customHeight="1" x14ac:dyDescent="0.2">
      <c r="B785" s="13"/>
      <c r="C785" s="13"/>
    </row>
    <row r="786" spans="2:3" ht="15.75" customHeight="1" x14ac:dyDescent="0.2">
      <c r="B786" s="13"/>
      <c r="C786" s="13"/>
    </row>
    <row r="787" spans="2:3" ht="15.75" customHeight="1" x14ac:dyDescent="0.2">
      <c r="B787" s="13"/>
      <c r="C787" s="13"/>
    </row>
    <row r="788" spans="2:3" ht="15.75" customHeight="1" x14ac:dyDescent="0.2">
      <c r="B788" s="13"/>
      <c r="C788" s="13"/>
    </row>
    <row r="789" spans="2:3" ht="15.75" customHeight="1" x14ac:dyDescent="0.2">
      <c r="B789" s="13"/>
      <c r="C789" s="13"/>
    </row>
    <row r="790" spans="2:3" ht="15.75" customHeight="1" x14ac:dyDescent="0.2">
      <c r="B790" s="13"/>
      <c r="C790" s="13"/>
    </row>
    <row r="791" spans="2:3" ht="15.75" customHeight="1" x14ac:dyDescent="0.2">
      <c r="B791" s="13"/>
      <c r="C791" s="13"/>
    </row>
    <row r="792" spans="2:3" ht="15.75" customHeight="1" x14ac:dyDescent="0.2">
      <c r="B792" s="13"/>
      <c r="C792" s="13"/>
    </row>
    <row r="793" spans="2:3" ht="15.75" customHeight="1" x14ac:dyDescent="0.2">
      <c r="B793" s="13"/>
      <c r="C793" s="13"/>
    </row>
    <row r="794" spans="2:3" ht="15.75" customHeight="1" x14ac:dyDescent="0.2">
      <c r="B794" s="13"/>
      <c r="C794" s="13"/>
    </row>
    <row r="795" spans="2:3" ht="15.75" customHeight="1" x14ac:dyDescent="0.2">
      <c r="B795" s="13"/>
      <c r="C795" s="13"/>
    </row>
    <row r="796" spans="2:3" ht="15.75" customHeight="1" x14ac:dyDescent="0.2">
      <c r="B796" s="13"/>
      <c r="C796" s="13"/>
    </row>
    <row r="797" spans="2:3" ht="15.75" customHeight="1" x14ac:dyDescent="0.2">
      <c r="B797" s="13"/>
      <c r="C797" s="13"/>
    </row>
    <row r="798" spans="2:3" ht="15.75" customHeight="1" x14ac:dyDescent="0.2">
      <c r="B798" s="13"/>
      <c r="C798" s="13"/>
    </row>
    <row r="799" spans="2:3" ht="15.75" customHeight="1" x14ac:dyDescent="0.2">
      <c r="B799" s="13"/>
      <c r="C799" s="13"/>
    </row>
    <row r="800" spans="2:3" ht="15.75" customHeight="1" x14ac:dyDescent="0.2">
      <c r="B800" s="13"/>
      <c r="C800" s="13"/>
    </row>
    <row r="801" spans="2:3" ht="15.75" customHeight="1" x14ac:dyDescent="0.2">
      <c r="B801" s="13"/>
      <c r="C801" s="13"/>
    </row>
    <row r="802" spans="2:3" ht="15.75" customHeight="1" x14ac:dyDescent="0.2">
      <c r="B802" s="13"/>
      <c r="C802" s="13"/>
    </row>
    <row r="803" spans="2:3" ht="15.75" customHeight="1" x14ac:dyDescent="0.2">
      <c r="B803" s="13"/>
      <c r="C803" s="13"/>
    </row>
    <row r="804" spans="2:3" ht="15.75" customHeight="1" x14ac:dyDescent="0.2">
      <c r="B804" s="13"/>
      <c r="C804" s="13"/>
    </row>
    <row r="805" spans="2:3" ht="15.75" customHeight="1" x14ac:dyDescent="0.2">
      <c r="B805" s="13"/>
      <c r="C805" s="13"/>
    </row>
    <row r="806" spans="2:3" ht="15.75" customHeight="1" x14ac:dyDescent="0.2">
      <c r="B806" s="13"/>
      <c r="C806" s="13"/>
    </row>
    <row r="807" spans="2:3" ht="15.75" customHeight="1" x14ac:dyDescent="0.2">
      <c r="B807" s="13"/>
      <c r="C807" s="13"/>
    </row>
    <row r="808" spans="2:3" ht="15.75" customHeight="1" x14ac:dyDescent="0.2">
      <c r="B808" s="13"/>
      <c r="C808" s="13"/>
    </row>
    <row r="809" spans="2:3" ht="15.75" customHeight="1" x14ac:dyDescent="0.2">
      <c r="B809" s="13"/>
      <c r="C809" s="13"/>
    </row>
    <row r="810" spans="2:3" ht="15.75" customHeight="1" x14ac:dyDescent="0.2">
      <c r="B810" s="13"/>
      <c r="C810" s="13"/>
    </row>
    <row r="811" spans="2:3" ht="15.75" customHeight="1" x14ac:dyDescent="0.2">
      <c r="B811" s="13"/>
      <c r="C811" s="13"/>
    </row>
    <row r="812" spans="2:3" ht="15.75" customHeight="1" x14ac:dyDescent="0.2">
      <c r="B812" s="13"/>
      <c r="C812" s="13"/>
    </row>
    <row r="813" spans="2:3" ht="15.75" customHeight="1" x14ac:dyDescent="0.2">
      <c r="B813" s="13"/>
      <c r="C813" s="13"/>
    </row>
    <row r="814" spans="2:3" ht="15.75" customHeight="1" x14ac:dyDescent="0.2">
      <c r="B814" s="13"/>
      <c r="C814" s="13"/>
    </row>
    <row r="815" spans="2:3" ht="15.75" customHeight="1" x14ac:dyDescent="0.2">
      <c r="B815" s="13"/>
      <c r="C815" s="13"/>
    </row>
    <row r="816" spans="2:3" ht="15.75" customHeight="1" x14ac:dyDescent="0.2">
      <c r="B816" s="13"/>
      <c r="C816" s="13"/>
    </row>
    <row r="817" spans="2:3" ht="15.75" customHeight="1" x14ac:dyDescent="0.2">
      <c r="B817" s="13"/>
      <c r="C817" s="13"/>
    </row>
    <row r="818" spans="2:3" ht="15.75" customHeight="1" x14ac:dyDescent="0.2">
      <c r="B818" s="13"/>
      <c r="C818" s="13"/>
    </row>
    <row r="819" spans="2:3" ht="15.75" customHeight="1" x14ac:dyDescent="0.2">
      <c r="B819" s="13"/>
      <c r="C819" s="13"/>
    </row>
    <row r="820" spans="2:3" ht="15.75" customHeight="1" x14ac:dyDescent="0.2">
      <c r="B820" s="13"/>
      <c r="C820" s="13"/>
    </row>
    <row r="821" spans="2:3" ht="15.75" customHeight="1" x14ac:dyDescent="0.2">
      <c r="B821" s="13"/>
      <c r="C821" s="13"/>
    </row>
    <row r="822" spans="2:3" ht="15.75" customHeight="1" x14ac:dyDescent="0.2">
      <c r="B822" s="13"/>
      <c r="C822" s="13"/>
    </row>
    <row r="823" spans="2:3" ht="15.75" customHeight="1" x14ac:dyDescent="0.2">
      <c r="B823" s="13"/>
      <c r="C823" s="13"/>
    </row>
    <row r="824" spans="2:3" ht="15.75" customHeight="1" x14ac:dyDescent="0.2">
      <c r="B824" s="13"/>
      <c r="C824" s="13"/>
    </row>
    <row r="825" spans="2:3" ht="15.75" customHeight="1" x14ac:dyDescent="0.2">
      <c r="B825" s="13"/>
      <c r="C825" s="13"/>
    </row>
    <row r="826" spans="2:3" ht="15.75" customHeight="1" x14ac:dyDescent="0.2">
      <c r="B826" s="13"/>
      <c r="C826" s="13"/>
    </row>
    <row r="827" spans="2:3" ht="15.75" customHeight="1" x14ac:dyDescent="0.2">
      <c r="B827" s="13"/>
      <c r="C827" s="13"/>
    </row>
    <row r="828" spans="2:3" ht="15.75" customHeight="1" x14ac:dyDescent="0.2">
      <c r="B828" s="13"/>
      <c r="C828" s="13"/>
    </row>
    <row r="829" spans="2:3" ht="15.75" customHeight="1" x14ac:dyDescent="0.2">
      <c r="B829" s="13"/>
      <c r="C829" s="13"/>
    </row>
    <row r="830" spans="2:3" ht="15.75" customHeight="1" x14ac:dyDescent="0.2">
      <c r="B830" s="13"/>
      <c r="C830" s="13"/>
    </row>
    <row r="831" spans="2:3" ht="15.75" customHeight="1" x14ac:dyDescent="0.2">
      <c r="B831" s="13"/>
      <c r="C831" s="13"/>
    </row>
    <row r="832" spans="2:3" ht="15.75" customHeight="1" x14ac:dyDescent="0.2">
      <c r="B832" s="13"/>
      <c r="C832" s="13"/>
    </row>
    <row r="833" spans="2:3" ht="15.75" customHeight="1" x14ac:dyDescent="0.2">
      <c r="B833" s="13"/>
      <c r="C833" s="13"/>
    </row>
    <row r="834" spans="2:3" ht="15.75" customHeight="1" x14ac:dyDescent="0.2">
      <c r="B834" s="13"/>
      <c r="C834" s="13"/>
    </row>
    <row r="835" spans="2:3" ht="15.75" customHeight="1" x14ac:dyDescent="0.2">
      <c r="B835" s="13"/>
      <c r="C835" s="13"/>
    </row>
    <row r="836" spans="2:3" ht="15.75" customHeight="1" x14ac:dyDescent="0.2">
      <c r="B836" s="13"/>
      <c r="C836" s="13"/>
    </row>
    <row r="837" spans="2:3" ht="15.75" customHeight="1" x14ac:dyDescent="0.2">
      <c r="B837" s="13"/>
      <c r="C837" s="13"/>
    </row>
    <row r="838" spans="2:3" ht="15.75" customHeight="1" x14ac:dyDescent="0.2">
      <c r="B838" s="13"/>
      <c r="C838" s="13"/>
    </row>
    <row r="839" spans="2:3" ht="15.75" customHeight="1" x14ac:dyDescent="0.2">
      <c r="B839" s="13"/>
      <c r="C839" s="13"/>
    </row>
    <row r="840" spans="2:3" ht="15.75" customHeight="1" x14ac:dyDescent="0.2">
      <c r="B840" s="13"/>
      <c r="C840" s="13"/>
    </row>
    <row r="841" spans="2:3" ht="15.75" customHeight="1" x14ac:dyDescent="0.2">
      <c r="B841" s="13"/>
      <c r="C841" s="13"/>
    </row>
    <row r="842" spans="2:3" ht="15.75" customHeight="1" x14ac:dyDescent="0.2">
      <c r="B842" s="13"/>
      <c r="C842" s="13"/>
    </row>
    <row r="843" spans="2:3" ht="15.75" customHeight="1" x14ac:dyDescent="0.2">
      <c r="B843" s="13"/>
      <c r="C843" s="13"/>
    </row>
    <row r="844" spans="2:3" ht="15.75" customHeight="1" x14ac:dyDescent="0.2">
      <c r="B844" s="13"/>
      <c r="C844" s="13"/>
    </row>
    <row r="845" spans="2:3" ht="15.75" customHeight="1" x14ac:dyDescent="0.2">
      <c r="B845" s="13"/>
      <c r="C845" s="13"/>
    </row>
    <row r="846" spans="2:3" ht="15.75" customHeight="1" x14ac:dyDescent="0.2">
      <c r="B846" s="13"/>
      <c r="C846" s="13"/>
    </row>
    <row r="847" spans="2:3" ht="15.75" customHeight="1" x14ac:dyDescent="0.2">
      <c r="B847" s="13"/>
      <c r="C847" s="13"/>
    </row>
    <row r="848" spans="2:3" ht="15.75" customHeight="1" x14ac:dyDescent="0.2">
      <c r="B848" s="13"/>
      <c r="C848" s="13"/>
    </row>
    <row r="849" spans="2:3" ht="15.75" customHeight="1" x14ac:dyDescent="0.2">
      <c r="B849" s="13"/>
      <c r="C849" s="13"/>
    </row>
    <row r="850" spans="2:3" ht="15.75" customHeight="1" x14ac:dyDescent="0.2">
      <c r="B850" s="13"/>
      <c r="C850" s="13"/>
    </row>
    <row r="851" spans="2:3" ht="15.75" customHeight="1" x14ac:dyDescent="0.2">
      <c r="B851" s="13"/>
      <c r="C851" s="13"/>
    </row>
    <row r="852" spans="2:3" ht="15.75" customHeight="1" x14ac:dyDescent="0.2">
      <c r="B852" s="13"/>
      <c r="C852" s="13"/>
    </row>
    <row r="853" spans="2:3" ht="15.75" customHeight="1" x14ac:dyDescent="0.2">
      <c r="B853" s="13"/>
      <c r="C853" s="13"/>
    </row>
    <row r="854" spans="2:3" ht="15.75" customHeight="1" x14ac:dyDescent="0.2">
      <c r="B854" s="13"/>
      <c r="C854" s="13"/>
    </row>
    <row r="855" spans="2:3" ht="15.75" customHeight="1" x14ac:dyDescent="0.2">
      <c r="B855" s="13"/>
      <c r="C855" s="13"/>
    </row>
    <row r="856" spans="2:3" ht="15.75" customHeight="1" x14ac:dyDescent="0.2">
      <c r="B856" s="13"/>
      <c r="C856" s="13"/>
    </row>
    <row r="857" spans="2:3" ht="15.75" customHeight="1" x14ac:dyDescent="0.2">
      <c r="B857" s="13"/>
      <c r="C857" s="13"/>
    </row>
    <row r="858" spans="2:3" ht="15.75" customHeight="1" x14ac:dyDescent="0.2">
      <c r="B858" s="13"/>
      <c r="C858" s="13"/>
    </row>
    <row r="859" spans="2:3" ht="15.75" customHeight="1" x14ac:dyDescent="0.2">
      <c r="B859" s="13"/>
      <c r="C859" s="13"/>
    </row>
    <row r="860" spans="2:3" ht="15.75" customHeight="1" x14ac:dyDescent="0.2">
      <c r="B860" s="13"/>
      <c r="C860" s="13"/>
    </row>
    <row r="861" spans="2:3" ht="15.75" customHeight="1" x14ac:dyDescent="0.2">
      <c r="B861" s="13"/>
      <c r="C861" s="13"/>
    </row>
    <row r="862" spans="2:3" ht="15.75" customHeight="1" x14ac:dyDescent="0.2">
      <c r="B862" s="13"/>
      <c r="C862" s="13"/>
    </row>
    <row r="863" spans="2:3" ht="15.75" customHeight="1" x14ac:dyDescent="0.2">
      <c r="B863" s="13"/>
      <c r="C863" s="13"/>
    </row>
    <row r="864" spans="2:3" ht="15.75" customHeight="1" x14ac:dyDescent="0.2">
      <c r="B864" s="13"/>
      <c r="C864" s="13"/>
    </row>
    <row r="865" spans="2:3" ht="15.75" customHeight="1" x14ac:dyDescent="0.2">
      <c r="B865" s="13"/>
      <c r="C865" s="13"/>
    </row>
    <row r="866" spans="2:3" ht="15.75" customHeight="1" x14ac:dyDescent="0.2">
      <c r="B866" s="13"/>
      <c r="C866" s="13"/>
    </row>
    <row r="867" spans="2:3" ht="15.75" customHeight="1" x14ac:dyDescent="0.2">
      <c r="B867" s="13"/>
      <c r="C867" s="13"/>
    </row>
    <row r="868" spans="2:3" ht="15.75" customHeight="1" x14ac:dyDescent="0.2">
      <c r="B868" s="13"/>
      <c r="C868" s="13"/>
    </row>
    <row r="869" spans="2:3" ht="15.75" customHeight="1" x14ac:dyDescent="0.2">
      <c r="B869" s="13"/>
      <c r="C869" s="13"/>
    </row>
    <row r="870" spans="2:3" ht="15.75" customHeight="1" x14ac:dyDescent="0.2">
      <c r="B870" s="13"/>
      <c r="C870" s="13"/>
    </row>
    <row r="871" spans="2:3" ht="15.75" customHeight="1" x14ac:dyDescent="0.2">
      <c r="B871" s="13"/>
      <c r="C871" s="13"/>
    </row>
    <row r="872" spans="2:3" ht="15.75" customHeight="1" x14ac:dyDescent="0.2">
      <c r="B872" s="13"/>
      <c r="C872" s="13"/>
    </row>
    <row r="873" spans="2:3" ht="15.75" customHeight="1" x14ac:dyDescent="0.2">
      <c r="B873" s="13"/>
      <c r="C873" s="13"/>
    </row>
    <row r="874" spans="2:3" ht="15.75" customHeight="1" x14ac:dyDescent="0.2">
      <c r="B874" s="13"/>
      <c r="C874" s="13"/>
    </row>
    <row r="875" spans="2:3" ht="15.75" customHeight="1" x14ac:dyDescent="0.2">
      <c r="B875" s="13"/>
      <c r="C875" s="13"/>
    </row>
    <row r="876" spans="2:3" ht="15.75" customHeight="1" x14ac:dyDescent="0.2">
      <c r="B876" s="13"/>
      <c r="C876" s="13"/>
    </row>
    <row r="877" spans="2:3" ht="15.75" customHeight="1" x14ac:dyDescent="0.2">
      <c r="B877" s="13"/>
      <c r="C877" s="13"/>
    </row>
    <row r="878" spans="2:3" ht="15.75" customHeight="1" x14ac:dyDescent="0.2">
      <c r="B878" s="13"/>
      <c r="C878" s="13"/>
    </row>
    <row r="879" spans="2:3" ht="15.75" customHeight="1" x14ac:dyDescent="0.2">
      <c r="B879" s="13"/>
      <c r="C879" s="13"/>
    </row>
    <row r="880" spans="2:3" ht="15.75" customHeight="1" x14ac:dyDescent="0.2">
      <c r="B880" s="13"/>
      <c r="C880" s="13"/>
    </row>
    <row r="881" spans="2:3" ht="15.75" customHeight="1" x14ac:dyDescent="0.2">
      <c r="B881" s="13"/>
      <c r="C881" s="13"/>
    </row>
    <row r="882" spans="2:3" ht="15.75" customHeight="1" x14ac:dyDescent="0.2">
      <c r="B882" s="13"/>
      <c r="C882" s="13"/>
    </row>
    <row r="883" spans="2:3" ht="15.75" customHeight="1" x14ac:dyDescent="0.2">
      <c r="B883" s="13"/>
      <c r="C883" s="13"/>
    </row>
    <row r="884" spans="2:3" ht="15.75" customHeight="1" x14ac:dyDescent="0.2">
      <c r="B884" s="13"/>
      <c r="C884" s="13"/>
    </row>
    <row r="885" spans="2:3" ht="15.75" customHeight="1" x14ac:dyDescent="0.2">
      <c r="B885" s="13"/>
      <c r="C885" s="13"/>
    </row>
    <row r="886" spans="2:3" ht="15.75" customHeight="1" x14ac:dyDescent="0.2">
      <c r="B886" s="13"/>
      <c r="C886" s="13"/>
    </row>
    <row r="887" spans="2:3" ht="15.75" customHeight="1" x14ac:dyDescent="0.2">
      <c r="B887" s="13"/>
      <c r="C887" s="13"/>
    </row>
    <row r="888" spans="2:3" ht="15.75" customHeight="1" x14ac:dyDescent="0.2">
      <c r="B888" s="13"/>
      <c r="C888" s="13"/>
    </row>
    <row r="889" spans="2:3" ht="15.75" customHeight="1" x14ac:dyDescent="0.2">
      <c r="B889" s="13"/>
      <c r="C889" s="13"/>
    </row>
    <row r="890" spans="2:3" ht="15.75" customHeight="1" x14ac:dyDescent="0.2">
      <c r="B890" s="13"/>
      <c r="C890" s="13"/>
    </row>
    <row r="891" spans="2:3" ht="15.75" customHeight="1" x14ac:dyDescent="0.2">
      <c r="B891" s="13"/>
      <c r="C891" s="13"/>
    </row>
    <row r="892" spans="2:3" ht="15.75" customHeight="1" x14ac:dyDescent="0.2">
      <c r="B892" s="13"/>
      <c r="C892" s="13"/>
    </row>
    <row r="893" spans="2:3" ht="15.75" customHeight="1" x14ac:dyDescent="0.2">
      <c r="B893" s="13"/>
      <c r="C893" s="13"/>
    </row>
    <row r="894" spans="2:3" ht="15.75" customHeight="1" x14ac:dyDescent="0.2">
      <c r="B894" s="13"/>
      <c r="C894" s="13"/>
    </row>
    <row r="895" spans="2:3" ht="15.75" customHeight="1" x14ac:dyDescent="0.2">
      <c r="B895" s="13"/>
      <c r="C895" s="13"/>
    </row>
    <row r="896" spans="2:3" ht="15.75" customHeight="1" x14ac:dyDescent="0.2">
      <c r="B896" s="13"/>
      <c r="C896" s="13"/>
    </row>
    <row r="897" spans="2:3" ht="15.75" customHeight="1" x14ac:dyDescent="0.2">
      <c r="B897" s="13"/>
      <c r="C897" s="13"/>
    </row>
    <row r="898" spans="2:3" ht="15.75" customHeight="1" x14ac:dyDescent="0.2">
      <c r="B898" s="13"/>
      <c r="C898" s="13"/>
    </row>
    <row r="899" spans="2:3" ht="15.75" customHeight="1" x14ac:dyDescent="0.2">
      <c r="B899" s="13"/>
      <c r="C899" s="13"/>
    </row>
    <row r="900" spans="2:3" ht="15.75" customHeight="1" x14ac:dyDescent="0.2">
      <c r="B900" s="13"/>
      <c r="C900" s="13"/>
    </row>
    <row r="901" spans="2:3" ht="15.75" customHeight="1" x14ac:dyDescent="0.2">
      <c r="B901" s="13"/>
      <c r="C901" s="13"/>
    </row>
    <row r="902" spans="2:3" ht="15.75" customHeight="1" x14ac:dyDescent="0.2">
      <c r="B902" s="13"/>
      <c r="C902" s="13"/>
    </row>
    <row r="903" spans="2:3" ht="15.75" customHeight="1" x14ac:dyDescent="0.2">
      <c r="B903" s="13"/>
      <c r="C903" s="13"/>
    </row>
    <row r="904" spans="2:3" ht="15.75" customHeight="1" x14ac:dyDescent="0.2">
      <c r="B904" s="13"/>
      <c r="C904" s="13"/>
    </row>
    <row r="905" spans="2:3" ht="15.75" customHeight="1" x14ac:dyDescent="0.2">
      <c r="B905" s="13"/>
      <c r="C905" s="13"/>
    </row>
    <row r="906" spans="2:3" ht="15.75" customHeight="1" x14ac:dyDescent="0.2">
      <c r="B906" s="13"/>
      <c r="C906" s="13"/>
    </row>
    <row r="907" spans="2:3" ht="15.75" customHeight="1" x14ac:dyDescent="0.2">
      <c r="B907" s="13"/>
      <c r="C907" s="13"/>
    </row>
    <row r="908" spans="2:3" ht="15.75" customHeight="1" x14ac:dyDescent="0.2">
      <c r="B908" s="13"/>
      <c r="C908" s="13"/>
    </row>
    <row r="909" spans="2:3" ht="15.75" customHeight="1" x14ac:dyDescent="0.2">
      <c r="B909" s="13"/>
      <c r="C909" s="13"/>
    </row>
    <row r="910" spans="2:3" ht="15.75" customHeight="1" x14ac:dyDescent="0.2">
      <c r="B910" s="13"/>
      <c r="C910" s="13"/>
    </row>
    <row r="911" spans="2:3" ht="15.75" customHeight="1" x14ac:dyDescent="0.2">
      <c r="B911" s="13"/>
      <c r="C911" s="13"/>
    </row>
    <row r="912" spans="2:3" ht="15.75" customHeight="1" x14ac:dyDescent="0.2">
      <c r="B912" s="13"/>
      <c r="C912" s="13"/>
    </row>
    <row r="913" spans="2:3" ht="15.75" customHeight="1" x14ac:dyDescent="0.2">
      <c r="B913" s="13"/>
      <c r="C913" s="13"/>
    </row>
    <row r="914" spans="2:3" ht="15.75" customHeight="1" x14ac:dyDescent="0.2">
      <c r="B914" s="13"/>
      <c r="C914" s="13"/>
    </row>
    <row r="915" spans="2:3" ht="15.75" customHeight="1" x14ac:dyDescent="0.2">
      <c r="B915" s="13"/>
      <c r="C915" s="13"/>
    </row>
    <row r="916" spans="2:3" ht="15.75" customHeight="1" x14ac:dyDescent="0.2">
      <c r="B916" s="13"/>
      <c r="C916" s="13"/>
    </row>
    <row r="917" spans="2:3" ht="15.75" customHeight="1" x14ac:dyDescent="0.2">
      <c r="B917" s="13"/>
      <c r="C917" s="13"/>
    </row>
    <row r="918" spans="2:3" ht="15.75" customHeight="1" x14ac:dyDescent="0.2">
      <c r="B918" s="13"/>
      <c r="C918" s="13"/>
    </row>
    <row r="919" spans="2:3" ht="15.75" customHeight="1" x14ac:dyDescent="0.2">
      <c r="B919" s="13"/>
      <c r="C919" s="13"/>
    </row>
    <row r="920" spans="2:3" ht="15.75" customHeight="1" x14ac:dyDescent="0.2">
      <c r="B920" s="13"/>
      <c r="C920" s="13"/>
    </row>
    <row r="921" spans="2:3" ht="15.75" customHeight="1" x14ac:dyDescent="0.2">
      <c r="B921" s="13"/>
      <c r="C921" s="13"/>
    </row>
    <row r="922" spans="2:3" ht="15.75" customHeight="1" x14ac:dyDescent="0.2">
      <c r="B922" s="13"/>
      <c r="C922" s="13"/>
    </row>
    <row r="923" spans="2:3" ht="15.75" customHeight="1" x14ac:dyDescent="0.2">
      <c r="B923" s="13"/>
      <c r="C923" s="13"/>
    </row>
    <row r="924" spans="2:3" ht="15.75" customHeight="1" x14ac:dyDescent="0.2">
      <c r="B924" s="13"/>
      <c r="C924" s="13"/>
    </row>
    <row r="925" spans="2:3" ht="15.75" customHeight="1" x14ac:dyDescent="0.2">
      <c r="B925" s="13"/>
      <c r="C925" s="13"/>
    </row>
    <row r="926" spans="2:3" ht="15.75" customHeight="1" x14ac:dyDescent="0.2">
      <c r="B926" s="13"/>
      <c r="C926" s="13"/>
    </row>
    <row r="927" spans="2:3" ht="15.75" customHeight="1" x14ac:dyDescent="0.2">
      <c r="B927" s="13"/>
      <c r="C927" s="13"/>
    </row>
    <row r="928" spans="2:3" ht="15.75" customHeight="1" x14ac:dyDescent="0.2">
      <c r="B928" s="13"/>
      <c r="C928" s="13"/>
    </row>
    <row r="929" spans="2:3" ht="15.75" customHeight="1" x14ac:dyDescent="0.2">
      <c r="B929" s="13"/>
      <c r="C929" s="13"/>
    </row>
    <row r="930" spans="2:3" ht="15.75" customHeight="1" x14ac:dyDescent="0.2">
      <c r="B930" s="13"/>
      <c r="C930" s="13"/>
    </row>
    <row r="931" spans="2:3" ht="15.75" customHeight="1" x14ac:dyDescent="0.2">
      <c r="B931" s="13"/>
      <c r="C931" s="13"/>
    </row>
    <row r="932" spans="2:3" ht="15.75" customHeight="1" x14ac:dyDescent="0.2">
      <c r="B932" s="13"/>
      <c r="C932" s="13"/>
    </row>
    <row r="933" spans="2:3" ht="15.75" customHeight="1" x14ac:dyDescent="0.2">
      <c r="B933" s="13"/>
      <c r="C933" s="13"/>
    </row>
    <row r="934" spans="2:3" ht="15.75" customHeight="1" x14ac:dyDescent="0.2">
      <c r="B934" s="13"/>
      <c r="C934" s="13"/>
    </row>
    <row r="935" spans="2:3" ht="15.75" customHeight="1" x14ac:dyDescent="0.2">
      <c r="B935" s="13"/>
      <c r="C935" s="13"/>
    </row>
    <row r="936" spans="2:3" ht="15.75" customHeight="1" x14ac:dyDescent="0.2">
      <c r="B936" s="13"/>
      <c r="C936" s="13"/>
    </row>
    <row r="937" spans="2:3" ht="15.75" customHeight="1" x14ac:dyDescent="0.2">
      <c r="B937" s="13"/>
      <c r="C937" s="13"/>
    </row>
    <row r="938" spans="2:3" ht="15.75" customHeight="1" x14ac:dyDescent="0.2">
      <c r="B938" s="13"/>
      <c r="C938" s="13"/>
    </row>
    <row r="939" spans="2:3" ht="15.75" customHeight="1" x14ac:dyDescent="0.2">
      <c r="B939" s="13"/>
      <c r="C939" s="13"/>
    </row>
    <row r="940" spans="2:3" ht="15.75" customHeight="1" x14ac:dyDescent="0.2">
      <c r="B940" s="13"/>
      <c r="C940" s="13"/>
    </row>
    <row r="941" spans="2:3" ht="15.75" customHeight="1" x14ac:dyDescent="0.2">
      <c r="B941" s="13"/>
      <c r="C941" s="13"/>
    </row>
    <row r="942" spans="2:3" ht="15.75" customHeight="1" x14ac:dyDescent="0.2">
      <c r="B942" s="13"/>
      <c r="C942" s="13"/>
    </row>
    <row r="943" spans="2:3" ht="15.75" customHeight="1" x14ac:dyDescent="0.2">
      <c r="B943" s="13"/>
      <c r="C943" s="13"/>
    </row>
    <row r="944" spans="2:3" ht="15.75" customHeight="1" x14ac:dyDescent="0.2">
      <c r="B944" s="13"/>
      <c r="C944" s="13"/>
    </row>
    <row r="945" spans="2:3" ht="15.75" customHeight="1" x14ac:dyDescent="0.2">
      <c r="B945" s="13"/>
      <c r="C945" s="13"/>
    </row>
    <row r="946" spans="2:3" ht="15.75" customHeight="1" x14ac:dyDescent="0.2">
      <c r="B946" s="13"/>
      <c r="C946" s="13"/>
    </row>
    <row r="947" spans="2:3" ht="15.75" customHeight="1" x14ac:dyDescent="0.2">
      <c r="B947" s="13"/>
      <c r="C947" s="13"/>
    </row>
    <row r="948" spans="2:3" ht="15.75" customHeight="1" x14ac:dyDescent="0.2">
      <c r="B948" s="13"/>
      <c r="C948" s="13"/>
    </row>
    <row r="949" spans="2:3" ht="15.75" customHeight="1" x14ac:dyDescent="0.2">
      <c r="B949" s="13"/>
      <c r="C949" s="13"/>
    </row>
    <row r="950" spans="2:3" ht="15.75" customHeight="1" x14ac:dyDescent="0.2">
      <c r="B950" s="13"/>
      <c r="C950" s="13"/>
    </row>
    <row r="951" spans="2:3" ht="15.75" customHeight="1" x14ac:dyDescent="0.2">
      <c r="B951" s="13"/>
      <c r="C951" s="13"/>
    </row>
    <row r="952" spans="2:3" ht="15.75" customHeight="1" x14ac:dyDescent="0.2">
      <c r="B952" s="13"/>
      <c r="C952" s="13"/>
    </row>
    <row r="953" spans="2:3" ht="15.75" customHeight="1" x14ac:dyDescent="0.2">
      <c r="B953" s="13"/>
      <c r="C953" s="13"/>
    </row>
    <row r="954" spans="2:3" ht="15.75" customHeight="1" x14ac:dyDescent="0.2">
      <c r="B954" s="13"/>
      <c r="C954" s="13"/>
    </row>
    <row r="955" spans="2:3" ht="15.75" customHeight="1" x14ac:dyDescent="0.2">
      <c r="B955" s="13"/>
      <c r="C955" s="13"/>
    </row>
    <row r="956" spans="2:3" ht="15.75" customHeight="1" x14ac:dyDescent="0.2">
      <c r="B956" s="13"/>
      <c r="C956" s="13"/>
    </row>
    <row r="957" spans="2:3" ht="15.75" customHeight="1" x14ac:dyDescent="0.2">
      <c r="B957" s="13"/>
      <c r="C957" s="13"/>
    </row>
    <row r="958" spans="2:3" ht="15.75" customHeight="1" x14ac:dyDescent="0.2">
      <c r="B958" s="13"/>
      <c r="C958" s="13"/>
    </row>
    <row r="959" spans="2:3" ht="15.75" customHeight="1" x14ac:dyDescent="0.2">
      <c r="B959" s="13"/>
      <c r="C959" s="13"/>
    </row>
    <row r="960" spans="2:3" ht="15.75" customHeight="1" x14ac:dyDescent="0.2">
      <c r="B960" s="13"/>
      <c r="C960" s="13"/>
    </row>
    <row r="961" spans="2:3" ht="15.75" customHeight="1" x14ac:dyDescent="0.2">
      <c r="B961" s="13"/>
      <c r="C961" s="13"/>
    </row>
    <row r="962" spans="2:3" ht="15.75" customHeight="1" x14ac:dyDescent="0.2">
      <c r="B962" s="13"/>
      <c r="C962" s="13"/>
    </row>
    <row r="963" spans="2:3" ht="15.75" customHeight="1" x14ac:dyDescent="0.2">
      <c r="B963" s="13"/>
      <c r="C963" s="13"/>
    </row>
    <row r="964" spans="2:3" ht="15.75" customHeight="1" x14ac:dyDescent="0.2">
      <c r="B964" s="13"/>
      <c r="C964" s="13"/>
    </row>
    <row r="965" spans="2:3" ht="15.75" customHeight="1" x14ac:dyDescent="0.2">
      <c r="B965" s="13"/>
      <c r="C965" s="13"/>
    </row>
    <row r="966" spans="2:3" ht="15.75" customHeight="1" x14ac:dyDescent="0.2">
      <c r="B966" s="13"/>
      <c r="C966" s="13"/>
    </row>
    <row r="967" spans="2:3" ht="15.75" customHeight="1" x14ac:dyDescent="0.2">
      <c r="B967" s="13"/>
      <c r="C967" s="13"/>
    </row>
    <row r="968" spans="2:3" ht="15.75" customHeight="1" x14ac:dyDescent="0.2">
      <c r="B968" s="13"/>
      <c r="C968" s="13"/>
    </row>
    <row r="969" spans="2:3" ht="15.75" customHeight="1" x14ac:dyDescent="0.2">
      <c r="B969" s="13"/>
      <c r="C969" s="13"/>
    </row>
    <row r="970" spans="2:3" ht="15.75" customHeight="1" x14ac:dyDescent="0.2">
      <c r="B970" s="13"/>
      <c r="C970" s="13"/>
    </row>
    <row r="971" spans="2:3" ht="15.75" customHeight="1" x14ac:dyDescent="0.2">
      <c r="B971" s="13"/>
      <c r="C971" s="13"/>
    </row>
    <row r="972" spans="2:3" ht="15.75" customHeight="1" x14ac:dyDescent="0.2">
      <c r="B972" s="13"/>
      <c r="C972" s="13"/>
    </row>
    <row r="973" spans="2:3" ht="15.75" customHeight="1" x14ac:dyDescent="0.2">
      <c r="B973" s="13"/>
      <c r="C973" s="13"/>
    </row>
    <row r="974" spans="2:3" ht="15.75" customHeight="1" x14ac:dyDescent="0.2">
      <c r="B974" s="13"/>
      <c r="C974" s="13"/>
    </row>
    <row r="975" spans="2:3" ht="15.75" customHeight="1" x14ac:dyDescent="0.2">
      <c r="B975" s="13"/>
      <c r="C975" s="13"/>
    </row>
    <row r="976" spans="2:3" ht="15.75" customHeight="1" x14ac:dyDescent="0.2">
      <c r="B976" s="13"/>
      <c r="C976" s="13"/>
    </row>
    <row r="977" spans="2:3" ht="15.75" customHeight="1" x14ac:dyDescent="0.2">
      <c r="B977" s="13"/>
      <c r="C977" s="13"/>
    </row>
    <row r="978" spans="2:3" ht="15.75" customHeight="1" x14ac:dyDescent="0.2">
      <c r="B978" s="13"/>
      <c r="C978" s="13"/>
    </row>
    <row r="979" spans="2:3" ht="15.75" customHeight="1" x14ac:dyDescent="0.2">
      <c r="B979" s="13"/>
      <c r="C979" s="13"/>
    </row>
    <row r="980" spans="2:3" ht="15.75" customHeight="1" x14ac:dyDescent="0.2">
      <c r="B980" s="13"/>
      <c r="C980" s="13"/>
    </row>
    <row r="981" spans="2:3" ht="15.75" customHeight="1" x14ac:dyDescent="0.2">
      <c r="B981" s="13"/>
      <c r="C981" s="13"/>
    </row>
    <row r="982" spans="2:3" ht="15.75" customHeight="1" x14ac:dyDescent="0.2">
      <c r="B982" s="13"/>
      <c r="C982" s="13"/>
    </row>
    <row r="983" spans="2:3" ht="15.75" customHeight="1" x14ac:dyDescent="0.2">
      <c r="B983" s="13"/>
      <c r="C983" s="13"/>
    </row>
    <row r="984" spans="2:3" ht="15.75" customHeight="1" x14ac:dyDescent="0.2">
      <c r="B984" s="13"/>
      <c r="C984" s="13"/>
    </row>
    <row r="985" spans="2:3" ht="15.75" customHeight="1" x14ac:dyDescent="0.2">
      <c r="B985" s="13"/>
      <c r="C985" s="13"/>
    </row>
    <row r="986" spans="2:3" ht="15.75" customHeight="1" x14ac:dyDescent="0.2">
      <c r="B986" s="13"/>
      <c r="C986" s="13"/>
    </row>
    <row r="987" spans="2:3" ht="15.75" customHeight="1" x14ac:dyDescent="0.2">
      <c r="B987" s="13"/>
      <c r="C987" s="13"/>
    </row>
    <row r="988" spans="2:3" ht="15.75" customHeight="1" x14ac:dyDescent="0.2">
      <c r="B988" s="13"/>
      <c r="C988" s="13"/>
    </row>
    <row r="989" spans="2:3" ht="15.75" customHeight="1" x14ac:dyDescent="0.2">
      <c r="B989" s="13"/>
      <c r="C989" s="13"/>
    </row>
    <row r="990" spans="2:3" ht="15.75" customHeight="1" x14ac:dyDescent="0.2">
      <c r="B990" s="13"/>
      <c r="C990" s="13"/>
    </row>
    <row r="991" spans="2:3" ht="15.75" customHeight="1" x14ac:dyDescent="0.2">
      <c r="B991" s="13"/>
      <c r="C991" s="13"/>
    </row>
    <row r="992" spans="2:3" ht="15.75" customHeight="1" x14ac:dyDescent="0.2">
      <c r="B992" s="13"/>
      <c r="C992" s="13"/>
    </row>
    <row r="993" spans="2:3" ht="15.75" customHeight="1" x14ac:dyDescent="0.2">
      <c r="B993" s="13"/>
      <c r="C993" s="13"/>
    </row>
    <row r="994" spans="2:3" ht="15.75" customHeight="1" x14ac:dyDescent="0.2">
      <c r="B994" s="13"/>
      <c r="C994" s="13"/>
    </row>
    <row r="995" spans="2:3" ht="15.75" customHeight="1" x14ac:dyDescent="0.2">
      <c r="B995" s="13"/>
      <c r="C995" s="13"/>
    </row>
    <row r="996" spans="2:3" ht="15.75" customHeight="1" x14ac:dyDescent="0.2">
      <c r="B996" s="13"/>
      <c r="C996" s="13"/>
    </row>
    <row r="997" spans="2:3" ht="15.75" customHeight="1" x14ac:dyDescent="0.2">
      <c r="B997" s="13"/>
      <c r="C997" s="13"/>
    </row>
    <row r="998" spans="2:3" ht="15.75" customHeight="1" x14ac:dyDescent="0.2">
      <c r="B998" s="13"/>
      <c r="C998" s="13"/>
    </row>
    <row r="999" spans="2:3" ht="15.75" customHeight="1" x14ac:dyDescent="0.2">
      <c r="B999" s="13"/>
      <c r="C999" s="13"/>
    </row>
    <row r="1000" spans="2:3" ht="15.75" customHeight="1" x14ac:dyDescent="0.2">
      <c r="B1000" s="13"/>
      <c r="C1000" s="13"/>
    </row>
    <row r="1001" spans="2:3" ht="15.75" customHeight="1" x14ac:dyDescent="0.2">
      <c r="B1001" s="13"/>
      <c r="C1001" s="13"/>
    </row>
    <row r="1002" spans="2:3" ht="15.75" customHeight="1" x14ac:dyDescent="0.2">
      <c r="B1002" s="13"/>
      <c r="C1002" s="13"/>
    </row>
    <row r="1003" spans="2:3" ht="15.75" customHeight="1" x14ac:dyDescent="0.2">
      <c r="B1003" s="13"/>
      <c r="C1003" s="13"/>
    </row>
    <row r="1004" spans="2:3" ht="15.75" customHeight="1" x14ac:dyDescent="0.2">
      <c r="B1004" s="13"/>
      <c r="C1004" s="13"/>
    </row>
    <row r="1005" spans="2:3" ht="15.75" customHeight="1" x14ac:dyDescent="0.2">
      <c r="B1005" s="13"/>
      <c r="C1005" s="13"/>
    </row>
    <row r="1006" spans="2:3" ht="15.75" customHeight="1" x14ac:dyDescent="0.2">
      <c r="B1006" s="13"/>
      <c r="C1006" s="13"/>
    </row>
    <row r="1007" spans="2:3" ht="15.75" customHeight="1" x14ac:dyDescent="0.2">
      <c r="B1007" s="13"/>
      <c r="C1007" s="13"/>
    </row>
    <row r="1008" spans="2:3" ht="15.75" customHeight="1" x14ac:dyDescent="0.2">
      <c r="B1008" s="13"/>
      <c r="C1008" s="13"/>
    </row>
    <row r="1009" spans="2:3" ht="15.75" customHeight="1" x14ac:dyDescent="0.2">
      <c r="B1009" s="13"/>
      <c r="C1009" s="13"/>
    </row>
    <row r="1010" spans="2:3" ht="15.75" customHeight="1" x14ac:dyDescent="0.2">
      <c r="B1010" s="13"/>
      <c r="C1010" s="13"/>
    </row>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sheetViews>
  <sheetFormatPr baseColWidth="10" defaultColWidth="14.5" defaultRowHeight="15" customHeight="1" x14ac:dyDescent="0.2"/>
  <cols>
    <col min="1" max="1" width="28" customWidth="1"/>
    <col min="2" max="2" width="20" customWidth="1"/>
    <col min="3" max="26" width="9" customWidth="1"/>
  </cols>
  <sheetData>
    <row r="1" spans="1:5" x14ac:dyDescent="0.2">
      <c r="A1" s="19" t="s">
        <v>1616</v>
      </c>
      <c r="B1" s="22">
        <v>45931</v>
      </c>
      <c r="D1" s="19" t="s">
        <v>1617</v>
      </c>
      <c r="E1" s="19" t="s">
        <v>1618</v>
      </c>
    </row>
    <row r="2" spans="1:5" x14ac:dyDescent="0.2">
      <c r="D2" s="19">
        <f>VALUE(LEFT(B1,2))</f>
        <v>45</v>
      </c>
      <c r="E2" s="19">
        <f>VALUE(RIGHT(B1,4))</f>
        <v>5931</v>
      </c>
    </row>
    <row r="3" spans="1:5" x14ac:dyDescent="0.2">
      <c r="A3" s="23" t="s">
        <v>1619</v>
      </c>
      <c r="B3" s="23" t="s">
        <v>1602</v>
      </c>
    </row>
    <row r="4" spans="1:5" x14ac:dyDescent="0.2">
      <c r="A4" s="19" t="s">
        <v>1620</v>
      </c>
      <c r="B4" s="19">
        <f>SUMPRODUCT((MONTH(ThuChiVat!$A$2:$A$200)=D2)*(YEAR(ThuChiVat!$A$2:$A$200)=E2)*ThuChiVat!$J$2:$J$200)</f>
        <v>0</v>
      </c>
    </row>
    <row r="5" spans="1:5" x14ac:dyDescent="0.2">
      <c r="A5" s="19" t="s">
        <v>1621</v>
      </c>
      <c r="B5" s="19">
        <f>SUMPRODUCT((MONTH(ThuChiVat!$A$2:$A$200)=D2)*(YEAR(ThuChiVat!$A$2:$A$200)=E2)*ThuChiVat!$K$2:$K$200)</f>
        <v>0</v>
      </c>
    </row>
    <row r="6" spans="1:5" x14ac:dyDescent="0.2">
      <c r="A6" s="19" t="s">
        <v>1622</v>
      </c>
      <c r="B6" s="19">
        <f>B4-B5</f>
        <v>0</v>
      </c>
    </row>
    <row r="7" spans="1:5" x14ac:dyDescent="0.2">
      <c r="A7" s="19" t="s">
        <v>1603</v>
      </c>
      <c r="B7" s="13">
        <f>DanhMuc!B3</f>
        <v>0</v>
      </c>
    </row>
    <row r="8" spans="1:5" x14ac:dyDescent="0.2">
      <c r="A8" s="19" t="s">
        <v>1623</v>
      </c>
      <c r="B8" s="13">
        <f>B7+B4-B5</f>
        <v>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ustomHeight="1" x14ac:dyDescent="0.2"/>
  <cols>
    <col min="1" max="1" width="28" customWidth="1"/>
    <col min="2" max="2" width="20" customWidth="1"/>
    <col min="3" max="26" width="9" customWidth="1"/>
  </cols>
  <sheetData>
    <row r="1" spans="1:2" x14ac:dyDescent="0.2">
      <c r="A1" s="23" t="s">
        <v>1624</v>
      </c>
      <c r="B1" s="23" t="s">
        <v>1602</v>
      </c>
    </row>
    <row r="2" spans="1:2" x14ac:dyDescent="0.2">
      <c r="A2" s="19" t="s">
        <v>1625</v>
      </c>
      <c r="B2" s="19">
        <v>0</v>
      </c>
    </row>
    <row r="3" spans="1:2" x14ac:dyDescent="0.2">
      <c r="A3" s="19" t="s">
        <v>1626</v>
      </c>
      <c r="B3" s="19">
        <f>IFERROR(LOOKUP(2,1/(ThuChiVat!L2:L200&lt;&gt;""),ThuChiVat!L2:L200),DanhMuc!B3)</f>
        <v>0</v>
      </c>
    </row>
    <row r="4" spans="1:2" x14ac:dyDescent="0.2">
      <c r="A4" s="19" t="s">
        <v>1627</v>
      </c>
      <c r="B4" s="19">
        <f>B2-B3</f>
        <v>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baseColWidth="10" defaultColWidth="14.5" defaultRowHeight="15" customHeight="1" x14ac:dyDescent="0.2"/>
  <cols>
    <col min="1" max="1" width="100" customWidth="1"/>
    <col min="2" max="26" width="9" customWidth="1"/>
  </cols>
  <sheetData>
    <row r="1" spans="1:1" ht="18.75" customHeight="1" x14ac:dyDescent="0.25">
      <c r="A1" s="24" t="s">
        <v>1628</v>
      </c>
    </row>
    <row r="3" spans="1:1" x14ac:dyDescent="0.2">
      <c r="A3" s="19" t="s">
        <v>1629</v>
      </c>
    </row>
    <row r="4" spans="1:1" x14ac:dyDescent="0.2">
      <c r="A4" s="19" t="s">
        <v>1630</v>
      </c>
    </row>
    <row r="5" spans="1:1" x14ac:dyDescent="0.2">
      <c r="A5" s="19" t="s">
        <v>1631</v>
      </c>
    </row>
    <row r="6" spans="1:1" x14ac:dyDescent="0.2">
      <c r="A6" s="19" t="s">
        <v>1632</v>
      </c>
    </row>
    <row r="7" spans="1:1" x14ac:dyDescent="0.2">
      <c r="A7" s="19" t="s">
        <v>1633</v>
      </c>
    </row>
    <row r="8" spans="1:1" x14ac:dyDescent="0.2">
      <c r="A8" s="19" t="s">
        <v>1634</v>
      </c>
    </row>
    <row r="9" spans="1:1" x14ac:dyDescent="0.2">
      <c r="A9" s="19" t="s">
        <v>1635</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showGridLines="0" workbookViewId="0">
      <selection sqref="A1:H22"/>
    </sheetView>
  </sheetViews>
  <sheetFormatPr baseColWidth="10" defaultColWidth="14.5" defaultRowHeight="15" customHeight="1" x14ac:dyDescent="0.2"/>
  <cols>
    <col min="1" max="1" width="10" customWidth="1"/>
    <col min="2" max="2" width="18" customWidth="1"/>
    <col min="3" max="3" width="28" customWidth="1"/>
    <col min="4" max="6" width="14" customWidth="1"/>
    <col min="7" max="8" width="12" customWidth="1"/>
    <col min="9" max="26" width="9" customWidth="1"/>
  </cols>
  <sheetData>
    <row r="1" spans="1:8" ht="23.25" customHeight="1" x14ac:dyDescent="0.3">
      <c r="A1" s="36" t="s">
        <v>1636</v>
      </c>
      <c r="B1" s="37"/>
      <c r="C1" s="38"/>
      <c r="D1" s="45" t="s">
        <v>1637</v>
      </c>
      <c r="E1" s="40"/>
      <c r="F1" s="40"/>
      <c r="G1" s="40"/>
      <c r="H1" s="40"/>
    </row>
    <row r="2" spans="1:8" x14ac:dyDescent="0.2">
      <c r="A2" s="39"/>
      <c r="B2" s="40"/>
      <c r="C2" s="41"/>
      <c r="D2" s="19" t="s">
        <v>1638</v>
      </c>
      <c r="E2" s="25">
        <f ca="1">TODAY()</f>
        <v>46202</v>
      </c>
      <c r="G2" s="26" t="s">
        <v>1639</v>
      </c>
    </row>
    <row r="3" spans="1:8" x14ac:dyDescent="0.2">
      <c r="A3" s="42"/>
      <c r="B3" s="43"/>
      <c r="C3" s="44"/>
      <c r="D3" s="19" t="s">
        <v>1640</v>
      </c>
    </row>
    <row r="4" spans="1:8" x14ac:dyDescent="0.2">
      <c r="A4" s="27"/>
      <c r="B4" s="27"/>
      <c r="C4" s="27"/>
      <c r="D4" s="27"/>
      <c r="E4" s="27"/>
      <c r="F4" s="27"/>
      <c r="G4" s="27"/>
      <c r="H4" s="27"/>
    </row>
    <row r="5" spans="1:8" x14ac:dyDescent="0.2">
      <c r="A5" s="28"/>
      <c r="B5" s="29"/>
      <c r="C5" s="27"/>
      <c r="D5" s="27"/>
      <c r="E5" s="27"/>
      <c r="F5" s="28"/>
      <c r="G5" s="30"/>
      <c r="H5" s="27"/>
    </row>
    <row r="6" spans="1:8" x14ac:dyDescent="0.2">
      <c r="A6" s="28" t="s">
        <v>1641</v>
      </c>
      <c r="B6" s="32" t="str">
        <f>G2</f>
        <v/>
      </c>
      <c r="C6" s="33"/>
      <c r="D6" s="34"/>
      <c r="E6" s="27"/>
      <c r="F6" s="28" t="s">
        <v>0</v>
      </c>
      <c r="G6" s="32" t="str">
        <f t="array" aca="1" ref="G6" ca="1">IFERROR(XLOOKUP($G$2,ThuChiVat!$B$2:$B$200,INDEX(ThuChiVat!$A$2:$S$200,0,1),""),"")</f>
        <v/>
      </c>
      <c r="H6" s="34"/>
    </row>
    <row r="7" spans="1:8" x14ac:dyDescent="0.2">
      <c r="A7" s="28" t="s">
        <v>2</v>
      </c>
      <c r="B7" s="32" t="str">
        <f t="array" aca="1" ref="B7" ca="1">IFERROR(XLOOKUP($G$2,ThuChiVat!$B$2:$B$200,INDEX(ThuChiVat!$A$2:$S$200,0,3),""),"")</f>
        <v/>
      </c>
      <c r="C7" s="33"/>
      <c r="D7" s="34"/>
      <c r="E7" s="27"/>
      <c r="F7" s="28" t="s">
        <v>4</v>
      </c>
      <c r="G7" s="46" t="str">
        <f t="array" aca="1" ref="G7" ca="1">IFERROR(XLOOKUP($G$2,ThuChiVat!$B$2:$B$200,INDEX(ThuChiVat!$A$2:$S$200,0,5),""),"")</f>
        <v/>
      </c>
      <c r="H7" s="34"/>
    </row>
    <row r="8" spans="1:8" x14ac:dyDescent="0.2">
      <c r="A8" s="28" t="s">
        <v>1642</v>
      </c>
      <c r="B8" s="32" t="str">
        <f t="array" aca="1" ref="B8" ca="1">IFERROR(XLOOKUP($G$2,ThuChiVat!$B$2:$B$200,INDEX(ThuChiVat!$A$2:$S$200,0,7),""),"")</f>
        <v/>
      </c>
      <c r="C8" s="33"/>
      <c r="D8" s="34"/>
      <c r="E8" s="27"/>
      <c r="F8" s="28" t="s">
        <v>7</v>
      </c>
      <c r="G8" s="32" t="str">
        <f t="array" aca="1" ref="G8" ca="1">IFERROR(XLOOKUP($G$2,ThuChiVat!$B$2:$B$200,INDEX(ThuChiVat!$A$2:$S$200,0,8),""),"")</f>
        <v/>
      </c>
      <c r="H8" s="34"/>
    </row>
    <row r="9" spans="1:8" x14ac:dyDescent="0.2">
      <c r="A9" s="28" t="s">
        <v>1643</v>
      </c>
      <c r="B9" s="32" t="str">
        <f t="array" aca="1" ref="B9" ca="1">IFERROR(XLOOKUP($G$2,ThuChiVat!$B$2:$B$200,INDEX(ThuChiVat!$A$2:$S$200,0,6),""),"")</f>
        <v/>
      </c>
      <c r="C9" s="33"/>
      <c r="D9" s="34"/>
      <c r="E9" s="27"/>
      <c r="F9" s="28" t="s">
        <v>8</v>
      </c>
      <c r="G9" s="32" t="str">
        <f t="array" aca="1" ref="G9" ca="1">IFERROR(XLOOKUP($G$2,ThuChiVat!$B$2:$B$200,INDEX(ThuChiVat!$A$2:$S$200,0,9),""),"")</f>
        <v/>
      </c>
      <c r="H9" s="34"/>
    </row>
    <row r="10" spans="1:8" x14ac:dyDescent="0.2">
      <c r="A10" s="28" t="s">
        <v>18</v>
      </c>
      <c r="B10" s="32" t="str">
        <f t="array" aca="1" ref="B10" ca="1">IFERROR(XLOOKUP($G$2,ThuChiVat!$B$2:$B$200,INDEX(ThuChiVat!$A$2:$S$200,0,16),""),"")</f>
        <v/>
      </c>
      <c r="C10" s="33"/>
      <c r="D10" s="34"/>
      <c r="E10" s="27"/>
      <c r="F10" s="27"/>
      <c r="G10" s="32"/>
      <c r="H10" s="34"/>
    </row>
    <row r="11" spans="1:8" x14ac:dyDescent="0.2">
      <c r="A11" s="27"/>
      <c r="B11" s="27"/>
      <c r="C11" s="27"/>
      <c r="D11" s="27"/>
      <c r="E11" s="27"/>
      <c r="F11" s="27"/>
      <c r="G11" s="27"/>
      <c r="H11" s="27"/>
    </row>
    <row r="12" spans="1:8" x14ac:dyDescent="0.2">
      <c r="A12" s="35" t="str">
        <f ca="1">IFERROR(VIETTEXT(G9),"Số tiền (bằng chữ): ............................................................")</f>
        <v>Số tiền (bằng chữ): ............................................................</v>
      </c>
      <c r="B12" s="33"/>
      <c r="C12" s="33"/>
      <c r="D12" s="33"/>
      <c r="E12" s="33"/>
      <c r="F12" s="33"/>
      <c r="G12" s="33"/>
      <c r="H12" s="34"/>
    </row>
    <row r="13" spans="1:8" x14ac:dyDescent="0.2">
      <c r="A13" s="27"/>
      <c r="B13" s="27"/>
      <c r="C13" s="27"/>
      <c r="D13" s="27"/>
      <c r="E13" s="27"/>
      <c r="F13" s="27"/>
      <c r="G13" s="27"/>
      <c r="H13" s="27"/>
    </row>
    <row r="14" spans="1:8" x14ac:dyDescent="0.2">
      <c r="A14" s="28" t="s">
        <v>16</v>
      </c>
      <c r="B14" s="27"/>
      <c r="C14" s="28" t="s">
        <v>1644</v>
      </c>
      <c r="D14" s="27"/>
      <c r="E14" s="28" t="s">
        <v>17</v>
      </c>
      <c r="F14" s="27"/>
      <c r="G14" s="28" t="s">
        <v>1642</v>
      </c>
      <c r="H14" s="27"/>
    </row>
    <row r="15" spans="1:8" x14ac:dyDescent="0.2">
      <c r="A15" s="27" t="s">
        <v>1645</v>
      </c>
      <c r="B15" s="27"/>
      <c r="C15" s="27" t="s">
        <v>1645</v>
      </c>
      <c r="D15" s="27"/>
      <c r="E15" s="27" t="s">
        <v>1645</v>
      </c>
      <c r="F15" s="27"/>
      <c r="G15" s="27" t="s">
        <v>1645</v>
      </c>
      <c r="H15" s="27"/>
    </row>
    <row r="16" spans="1:8" x14ac:dyDescent="0.2">
      <c r="A16" s="27"/>
      <c r="B16" s="27"/>
      <c r="C16" s="27"/>
      <c r="D16" s="27"/>
      <c r="E16" s="27"/>
      <c r="F16" s="27"/>
      <c r="G16" s="27"/>
      <c r="H16" s="27"/>
    </row>
    <row r="17" spans="1:8" x14ac:dyDescent="0.2">
      <c r="A17" s="27"/>
      <c r="B17" s="27"/>
      <c r="C17" s="27"/>
      <c r="D17" s="27"/>
      <c r="E17" s="27"/>
      <c r="F17" s="27"/>
      <c r="G17" s="27"/>
      <c r="H17" s="27"/>
    </row>
    <row r="18" spans="1:8" x14ac:dyDescent="0.2">
      <c r="A18" s="27"/>
      <c r="B18" s="27"/>
      <c r="C18" s="27"/>
      <c r="D18" s="27"/>
      <c r="E18" s="27"/>
      <c r="F18" s="27"/>
      <c r="G18" s="27"/>
      <c r="H18" s="27"/>
    </row>
    <row r="19" spans="1:8" x14ac:dyDescent="0.2">
      <c r="A19" s="27"/>
      <c r="B19" s="27"/>
      <c r="C19" s="27"/>
      <c r="D19" s="27"/>
      <c r="E19" s="27"/>
      <c r="F19" s="27"/>
      <c r="G19" s="27"/>
      <c r="H19" s="27"/>
    </row>
    <row r="20" spans="1:8" x14ac:dyDescent="0.2">
      <c r="A20" s="27"/>
      <c r="B20" s="27"/>
      <c r="C20" s="27"/>
      <c r="D20" s="27"/>
      <c r="E20" s="27"/>
      <c r="F20" s="27"/>
      <c r="G20" s="27"/>
      <c r="H20" s="27"/>
    </row>
    <row r="21" spans="1:8" ht="15.75" customHeight="1" x14ac:dyDescent="0.2">
      <c r="A21" s="27"/>
      <c r="B21" s="27"/>
      <c r="C21" s="27"/>
      <c r="D21" s="27"/>
      <c r="E21" s="27"/>
      <c r="F21" s="27"/>
      <c r="G21" s="27"/>
      <c r="H21" s="27"/>
    </row>
    <row r="22" spans="1:8" ht="15.75" customHeight="1" x14ac:dyDescent="0.2">
      <c r="A22" s="31"/>
      <c r="B22" s="27"/>
      <c r="C22" s="27"/>
      <c r="D22" s="27"/>
      <c r="E22" s="27"/>
      <c r="F22" s="27"/>
      <c r="G22" s="27"/>
      <c r="H22" s="27"/>
    </row>
    <row r="23" spans="1:8" ht="15.75" customHeight="1" x14ac:dyDescent="0.2">
      <c r="A23" s="27"/>
      <c r="B23" s="27"/>
      <c r="C23" s="27"/>
      <c r="D23" s="27"/>
      <c r="E23" s="27"/>
      <c r="F23" s="27"/>
      <c r="G23" s="27"/>
      <c r="H23" s="27"/>
    </row>
    <row r="24" spans="1:8" ht="15.75" customHeight="1" x14ac:dyDescent="0.2">
      <c r="A24" s="27" t="s">
        <v>1646</v>
      </c>
      <c r="B24" s="27"/>
      <c r="C24" s="27"/>
      <c r="D24" s="27"/>
      <c r="E24" s="27"/>
      <c r="F24" s="27"/>
      <c r="G24" s="27"/>
      <c r="H24" s="27"/>
    </row>
    <row r="25" spans="1:8" ht="15.75" customHeight="1" x14ac:dyDescent="0.2"/>
    <row r="26" spans="1:8" ht="15.75" customHeight="1" x14ac:dyDescent="0.2"/>
    <row r="27" spans="1:8" ht="15.75" customHeight="1" x14ac:dyDescent="0.2"/>
    <row r="28" spans="1:8" ht="15.75" customHeight="1" x14ac:dyDescent="0.2"/>
    <row r="29" spans="1:8" ht="15.75" customHeight="1" x14ac:dyDescent="0.2"/>
    <row r="30" spans="1:8" ht="15.75" customHeight="1" x14ac:dyDescent="0.2"/>
    <row r="31" spans="1:8" ht="15.75" customHeight="1" x14ac:dyDescent="0.2"/>
    <row r="32" spans="1:8"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3">
    <mergeCell ref="A12:H12"/>
    <mergeCell ref="A1:C3"/>
    <mergeCell ref="D1:H1"/>
    <mergeCell ref="B6:D6"/>
    <mergeCell ref="G6:H6"/>
    <mergeCell ref="B7:D7"/>
    <mergeCell ref="G7:H7"/>
    <mergeCell ref="G8:H8"/>
    <mergeCell ref="B8:D8"/>
    <mergeCell ref="B9:D9"/>
    <mergeCell ref="B10:D10"/>
    <mergeCell ref="G9:H9"/>
    <mergeCell ref="G10:H10"/>
  </mergeCells>
  <pageMargins left="0.3" right="0.3" top="0.5" bottom="0.5" header="0" footer="0"/>
  <pageSetup paperSize="11" orientation="portrait"/>
  <extLst>
    <ext xmlns:x14="http://schemas.microsoft.com/office/spreadsheetml/2009/9/main" uri="{CCE6A557-97BC-4b89-ADB6-D9C93CAAB3DF}">
      <x14:dataValidations xmlns:xm="http://schemas.microsoft.com/office/excel/2006/main" count="1">
        <x14:dataValidation type="list" allowBlank="1" showDropDown="1" showErrorMessage="1" xr:uid="{00000000-0002-0000-0500-000000000000}">
          <x14:formula1>
            <xm:f>ThuChiVat!$B$2:$B$200</xm:f>
          </x14:formula1>
          <xm:sqref>G2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1000"/>
  <sheetViews>
    <sheetView tabSelected="1" workbookViewId="0"/>
  </sheetViews>
  <sheetFormatPr baseColWidth="10" defaultColWidth="14.5" defaultRowHeight="15" customHeight="1" x14ac:dyDescent="0.2"/>
  <cols>
    <col min="1" max="26" width="9" customWidth="1"/>
  </cols>
  <sheetData>
    <row r="1" spans="1:1" ht="18.75" customHeight="1" x14ac:dyDescent="0.25">
      <c r="A1" s="24" t="s">
        <v>1647</v>
      </c>
    </row>
    <row r="3" spans="1:1" x14ac:dyDescent="0.2">
      <c r="A3" s="19" t="s">
        <v>1648</v>
      </c>
    </row>
    <row r="4" spans="1:1" x14ac:dyDescent="0.2">
      <c r="A4" s="19" t="s">
        <v>1649</v>
      </c>
    </row>
    <row r="5" spans="1:1" x14ac:dyDescent="0.2">
      <c r="A5" s="19" t="s">
        <v>1650</v>
      </c>
    </row>
    <row r="7" spans="1:1" x14ac:dyDescent="0.2">
      <c r="A7" s="19" t="s">
        <v>1651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election activeCell="W12" sqref="W12"/>
    </sheetView>
  </sheetViews>
  <sheetFormatPr baseColWidth="10" defaultColWidth="14.5" defaultRowHeight="15" customHeight="1" x14ac:dyDescent="0.2"/>
  <cols>
    <col min="1" max="1" width="26.5" customWidth="1"/>
    <col min="2" max="26" width="9" customWidth="1"/>
  </cols>
  <sheetData>
    <row r="1" spans="1:7" ht="19" x14ac:dyDescent="0.25">
      <c r="A1" s="24" t="s">
        <v>1652</v>
      </c>
    </row>
    <row r="3" spans="1:7" x14ac:dyDescent="0.2">
      <c r="A3" s="19" t="s">
        <v>1653</v>
      </c>
      <c r="B3" s="19" t="str">
        <f ca="1">TEXT(TODAY(),"mm/yyyy")</f>
        <v>06/2026</v>
      </c>
      <c r="D3" s="19" t="s">
        <v>1617</v>
      </c>
      <c r="E3" s="19">
        <f ca="1">VALUE(LEFT(B3,2))</f>
        <v>6</v>
      </c>
      <c r="F3" s="19" t="s">
        <v>1618</v>
      </c>
      <c r="G3" s="19">
        <f ca="1">VALUE(RIGHT(B3,4))</f>
        <v>2026</v>
      </c>
    </row>
    <row r="5" spans="1:7" x14ac:dyDescent="0.2">
      <c r="A5" s="23" t="s">
        <v>1654</v>
      </c>
      <c r="B5" s="19">
        <f ca="1">SUMPRODUCT((MONTH(ThuChiVat!$A$2:$A$200)=$E$3)*(YEAR(ThuChiVat!$A$2:$A$200)=$G$3)*ThuChiVat!$J$2:$J$200)</f>
        <v>78710000</v>
      </c>
    </row>
    <row r="6" spans="1:7" x14ac:dyDescent="0.2">
      <c r="A6" s="23" t="s">
        <v>1655</v>
      </c>
      <c r="B6" s="19">
        <f ca="1">SUMPRODUCT((MONTH(ThuChiVat!$A$2:$A$200)=$E$3)*(YEAR(ThuChiVat!$A$2:$A$200)=$G$3)*ThuChiVat!$K$2:$K$200)</f>
        <v>93041946</v>
      </c>
    </row>
    <row r="7" spans="1:7" x14ac:dyDescent="0.2">
      <c r="A7" s="23" t="s">
        <v>1656</v>
      </c>
      <c r="B7" s="19">
        <f ca="1">B5-B6</f>
        <v>-14331946</v>
      </c>
    </row>
    <row r="9" spans="1:7" x14ac:dyDescent="0.2">
      <c r="A9" s="23" t="s">
        <v>1657</v>
      </c>
    </row>
    <row r="10" spans="1:7" x14ac:dyDescent="0.2">
      <c r="A10" s="23" t="s">
        <v>4</v>
      </c>
      <c r="B10" s="23" t="s">
        <v>20</v>
      </c>
      <c r="C10" s="23" t="s">
        <v>29</v>
      </c>
    </row>
    <row r="11" spans="1:7" x14ac:dyDescent="0.2">
      <c r="A11" s="19" t="str">
        <f>DanhMuc!A14</f>
        <v>Văn phòng phẩm</v>
      </c>
      <c r="B11" s="19">
        <f ca="1">SUMPRODUCT((MONTH(ThuChiVat!$A$2:$A$200)=$E$3)*(YEAR(ThuChiVat!$A$2:$A$200)=$G$3)*(ThuChiVat!$E$2:$E$200=A11)*ThuChiVat!$J$2:$J$200)</f>
        <v>0</v>
      </c>
      <c r="C11" s="19">
        <f ca="1">SUMPRODUCT((MONTH(ThuChiVat!$A$2:$A$200)=$E$3)*(YEAR(ThuChiVat!$A$2:$A$200)=$G$3)*(ThuChiVat!$E$2:$E$200=A11)*ThuChiVat!$K$2:$K$200)</f>
        <v>701000</v>
      </c>
    </row>
    <row r="12" spans="1:7" x14ac:dyDescent="0.2">
      <c r="A12" s="19" t="str">
        <f>DanhMuc!A15</f>
        <v>In ấn - Photocopy</v>
      </c>
      <c r="B12" s="19">
        <f ca="1">SUMPRODUCT((MONTH(ThuChiVat!$A$2:$A$200)=$E$3)*(YEAR(ThuChiVat!$A$2:$A$200)=$G$3)*(ThuChiVat!$E$2:$E$200=A12)*ThuChiVat!$J$2:$J$200)</f>
        <v>0</v>
      </c>
      <c r="C12" s="19">
        <f ca="1">SUMPRODUCT((MONTH(ThuChiVat!$A$2:$A$200)=$E$3)*(YEAR(ThuChiVat!$A$2:$A$200)=$G$3)*(ThuChiVat!$E$2:$E$200=A12)*ThuChiVat!$K$2:$K$200)</f>
        <v>23000</v>
      </c>
    </row>
    <row r="13" spans="1:7" x14ac:dyDescent="0.2">
      <c r="A13" s="19" t="str">
        <f>DanhMuc!A16</f>
        <v>Chi quầy tiếp nhận</v>
      </c>
      <c r="B13" s="19">
        <f ca="1">SUMPRODUCT((MONTH(ThuChiVat!$A$2:$A$200)=$E$3)*(YEAR(ThuChiVat!$A$2:$A$200)=$G$3)*(ThuChiVat!$E$2:$E$200=A13)*ThuChiVat!$J$2:$J$200)</f>
        <v>0</v>
      </c>
      <c r="C13" s="19">
        <f ca="1">SUMPRODUCT((MONTH(ThuChiVat!$A$2:$A$200)=$E$3)*(YEAR(ThuChiVat!$A$2:$A$200)=$G$3)*(ThuChiVat!$E$2:$E$200=A13)*ThuChiVat!$K$2:$K$200)</f>
        <v>4600000</v>
      </c>
    </row>
    <row r="14" spans="1:7" x14ac:dyDescent="0.2">
      <c r="A14" s="19" t="str">
        <f>DanhMuc!A17</f>
        <v xml:space="preserve">Ăn uống </v>
      </c>
      <c r="B14" s="19">
        <f ca="1">SUMPRODUCT((MONTH(ThuChiVat!$A$2:$A$200)=$E$3)*(YEAR(ThuChiVat!$A$2:$A$200)=$G$3)*(ThuChiVat!$E$2:$E$200=A14)*ThuChiVat!$J$2:$J$200)</f>
        <v>0</v>
      </c>
      <c r="C14" s="19">
        <f ca="1">SUMPRODUCT((MONTH(ThuChiVat!$A$2:$A$200)=$E$3)*(YEAR(ThuChiVat!$A$2:$A$200)=$G$3)*(ThuChiVat!$E$2:$E$200=A14)*ThuChiVat!$K$2:$K$200)</f>
        <v>15080000</v>
      </c>
    </row>
    <row r="15" spans="1:7" x14ac:dyDescent="0.2">
      <c r="A15" s="19" t="str">
        <f>DanhMuc!A18</f>
        <v>Đi lại - Xăng xe - Gửi xe</v>
      </c>
      <c r="B15" s="19">
        <f ca="1">SUMPRODUCT((MONTH(ThuChiVat!$A$2:$A$200)=$E$3)*(YEAR(ThuChiVat!$A$2:$A$200)=$G$3)*(ThuChiVat!$E$2:$E$200=A15)*ThuChiVat!$J$2:$J$200)</f>
        <v>0</v>
      </c>
      <c r="C15" s="19">
        <f ca="1">SUMPRODUCT((MONTH(ThuChiVat!$A$2:$A$200)=$E$3)*(YEAR(ThuChiVat!$A$2:$A$200)=$G$3)*(ThuChiVat!$E$2:$E$200=A15)*ThuChiVat!$K$2:$K$200)</f>
        <v>0</v>
      </c>
    </row>
    <row r="16" spans="1:7" x14ac:dyDescent="0.2">
      <c r="A16" s="19" t="str">
        <f>DanhMuc!A19</f>
        <v>Công tác phí</v>
      </c>
      <c r="B16" s="19">
        <f ca="1">SUMPRODUCT((MONTH(ThuChiVat!$A$2:$A$200)=$E$3)*(YEAR(ThuChiVat!$A$2:$A$200)=$G$3)*(ThuChiVat!$E$2:$E$200=A16)*ThuChiVat!$J$2:$J$200)</f>
        <v>0</v>
      </c>
      <c r="C16" s="19">
        <f ca="1">SUMPRODUCT((MONTH(ThuChiVat!$A$2:$A$200)=$E$3)*(YEAR(ThuChiVat!$A$2:$A$200)=$G$3)*(ThuChiVat!$E$2:$E$200=A16)*ThuChiVat!$K$2:$K$200)</f>
        <v>22625000</v>
      </c>
    </row>
    <row r="17" spans="1:3" x14ac:dyDescent="0.2">
      <c r="A17" s="19" t="str">
        <f>DanhMuc!A20</f>
        <v>Chuyển phát - Bưu chính-Grap</v>
      </c>
      <c r="B17" s="19">
        <f ca="1">SUMPRODUCT((MONTH(ThuChiVat!$A$2:$A$200)=$E$3)*(YEAR(ThuChiVat!$A$2:$A$200)=$G$3)*(ThuChiVat!$E$2:$E$200=A17)*ThuChiVat!$J$2:$J$200)</f>
        <v>0</v>
      </c>
      <c r="C17" s="19">
        <f ca="1">SUMPRODUCT((MONTH(ThuChiVat!$A$2:$A$200)=$E$3)*(YEAR(ThuChiVat!$A$2:$A$200)=$G$3)*(ThuChiVat!$E$2:$E$200=A17)*ThuChiVat!$K$2:$K$200)</f>
        <v>1713000</v>
      </c>
    </row>
    <row r="18" spans="1:3" x14ac:dyDescent="0.2">
      <c r="A18" s="19" t="str">
        <f>DanhMuc!A21</f>
        <v>Điện - Nước - Internet</v>
      </c>
      <c r="B18" s="19">
        <f ca="1">SUMPRODUCT((MONTH(ThuChiVat!$A$2:$A$200)=$E$3)*(YEAR(ThuChiVat!$A$2:$A$200)=$G$3)*(ThuChiVat!$E$2:$E$200=A18)*ThuChiVat!$J$2:$J$200)</f>
        <v>0</v>
      </c>
      <c r="C18" s="19">
        <f ca="1">SUMPRODUCT((MONTH(ThuChiVat!$A$2:$A$200)=$E$3)*(YEAR(ThuChiVat!$A$2:$A$200)=$G$3)*(ThuChiVat!$E$2:$E$200=A18)*ThuChiVat!$K$2:$K$200)</f>
        <v>0</v>
      </c>
    </row>
    <row r="19" spans="1:3" x14ac:dyDescent="0.2">
      <c r="A19" s="19" t="str">
        <f>DanhMuc!A22</f>
        <v>Sửa chữa nhỏ</v>
      </c>
      <c r="B19" s="19">
        <f ca="1">SUMPRODUCT((MONTH(ThuChiVat!$A$2:$A$200)=$E$3)*(YEAR(ThuChiVat!$A$2:$A$200)=$G$3)*(ThuChiVat!$E$2:$E$200=A19)*ThuChiVat!$J$2:$J$200)</f>
        <v>0</v>
      </c>
      <c r="C19" s="19">
        <f ca="1">SUMPRODUCT((MONTH(ThuChiVat!$A$2:$A$200)=$E$3)*(YEAR(ThuChiVat!$A$2:$A$200)=$G$3)*(ThuChiVat!$E$2:$E$200=A19)*ThuChiVat!$K$2:$K$200)</f>
        <v>350000</v>
      </c>
    </row>
    <row r="20" spans="1:3" x14ac:dyDescent="0.2">
      <c r="A20" s="19" t="str">
        <f>DanhMuc!A23</f>
        <v>Bảo trì thiết bị</v>
      </c>
      <c r="B20" s="19">
        <f ca="1">SUMPRODUCT((MONTH(ThuChiVat!$A$2:$A$200)=$E$3)*(YEAR(ThuChiVat!$A$2:$A$200)=$G$3)*(ThuChiVat!$E$2:$E$200=A20)*ThuChiVat!$J$2:$J$200)</f>
        <v>0</v>
      </c>
      <c r="C20" s="19">
        <f ca="1">SUMPRODUCT((MONTH(ThuChiVat!$A$2:$A$200)=$E$3)*(YEAR(ThuChiVat!$A$2:$A$200)=$G$3)*(ThuChiVat!$E$2:$E$200=A20)*ThuChiVat!$K$2:$K$200)</f>
        <v>1420000</v>
      </c>
    </row>
    <row r="21" spans="1:3" ht="15.75" customHeight="1" x14ac:dyDescent="0.2">
      <c r="A21" s="19" t="str">
        <f>DanhMuc!A24</f>
        <v>Vệ sinh - Rác thải</v>
      </c>
      <c r="B21" s="19">
        <f ca="1">SUMPRODUCT((MONTH(ThuChiVat!$A$2:$A$200)=$E$3)*(YEAR(ThuChiVat!$A$2:$A$200)=$G$3)*(ThuChiVat!$E$2:$E$200=A21)*ThuChiVat!$J$2:$J$200)</f>
        <v>0</v>
      </c>
      <c r="C21" s="19">
        <f ca="1">SUMPRODUCT((MONTH(ThuChiVat!$A$2:$A$200)=$E$3)*(YEAR(ThuChiVat!$A$2:$A$200)=$G$3)*(ThuChiVat!$E$2:$E$200=A21)*ThuChiVat!$K$2:$K$200)</f>
        <v>1280000</v>
      </c>
    </row>
    <row r="22" spans="1:3" ht="15.75" customHeight="1" x14ac:dyDescent="0.2">
      <c r="A22" s="19" t="e">
        <f>#REF!</f>
        <v>#REF!</v>
      </c>
      <c r="B22" s="19" t="e">
        <f ca="1">SUMPRODUCT((MONTH(ThuChiVat!$A$2:$A$200)=$E$3)*(YEAR(ThuChiVat!$A$2:$A$200)=$G$3)*(ThuChiVat!$E$2:$E$200=A22)*ThuChiVat!$J$2:$J$200)</f>
        <v>#REF!</v>
      </c>
      <c r="C22" s="19" t="e">
        <f ca="1">SUMPRODUCT((MONTH(ThuChiVat!$A$2:$A$200)=$E$3)*(YEAR(ThuChiVat!$A$2:$A$200)=$G$3)*(ThuChiVat!$E$2:$E$200=A22)*ThuChiVat!$K$2:$K$200)</f>
        <v>#REF!</v>
      </c>
    </row>
    <row r="23" spans="1:3" ht="15.75" customHeight="1" x14ac:dyDescent="0.2">
      <c r="A23" s="19" t="str">
        <f>DanhMuc!A32</f>
        <v>Tiền mặt</v>
      </c>
      <c r="B23" s="19">
        <f ca="1">SUMPRODUCT((MONTH(ThuChiVat!$A$2:$A$200)=$E$3)*(YEAR(ThuChiVat!$A$2:$A$200)=$G$3)*(ThuChiVat!$E$2:$E$200=A23)*ThuChiVat!$J$2:$J$200)</f>
        <v>0</v>
      </c>
      <c r="C23" s="19">
        <f ca="1">SUMPRODUCT((MONTH(ThuChiVat!$A$2:$A$200)=$E$3)*(YEAR(ThuChiVat!$A$2:$A$200)=$G$3)*(ThuChiVat!$E$2:$E$200=A23)*ThuChiVat!$K$2:$K$200)</f>
        <v>0</v>
      </c>
    </row>
    <row r="24" spans="1:3" ht="15.75" customHeight="1" x14ac:dyDescent="0.2">
      <c r="A24" s="19" t="str">
        <f>DanhMuc!A33</f>
        <v>Chuyển khoản</v>
      </c>
      <c r="B24" s="19">
        <f ca="1">SUMPRODUCT((MONTH(ThuChiVat!$A$2:$A$200)=$E$3)*(YEAR(ThuChiVat!$A$2:$A$200)=$G$3)*(ThuChiVat!$E$2:$E$200=A24)*ThuChiVat!$J$2:$J$200)</f>
        <v>0</v>
      </c>
      <c r="C24" s="19">
        <f ca="1">SUMPRODUCT((MONTH(ThuChiVat!$A$2:$A$200)=$E$3)*(YEAR(ThuChiVat!$A$2:$A$200)=$G$3)*(ThuChiVat!$E$2:$E$200=A24)*ThuChiVat!$K$2:$K$200)</f>
        <v>0</v>
      </c>
    </row>
    <row r="25" spans="1:3" ht="15.75" customHeight="1" x14ac:dyDescent="0.2">
      <c r="A25" s="19" t="e">
        <f>#REF!</f>
        <v>#REF!</v>
      </c>
      <c r="B25" s="19" t="e">
        <f ca="1">SUMPRODUCT((MONTH(ThuChiVat!$A$2:$A$200)=$E$3)*(YEAR(ThuChiVat!$A$2:$A$200)=$G$3)*(ThuChiVat!$E$2:$E$200=A25)*ThuChiVat!$J$2:$J$200)</f>
        <v>#REF!</v>
      </c>
      <c r="C25" s="19" t="e">
        <f ca="1">SUMPRODUCT((MONTH(ThuChiVat!$A$2:$A$200)=$E$3)*(YEAR(ThuChiVat!$A$2:$A$200)=$G$3)*(ThuChiVat!$E$2:$E$200=A25)*ThuChiVat!$K$2:$K$200)</f>
        <v>#REF!</v>
      </c>
    </row>
    <row r="26" spans="1:3" ht="15.75" customHeight="1" x14ac:dyDescent="0.2">
      <c r="A26" s="19" t="str">
        <f>DanhMuc!A34</f>
        <v>Hỗ trợ sự kiện - Marketing</v>
      </c>
      <c r="B26" s="19">
        <f ca="1">SUMPRODUCT((MONTH(ThuChiVat!$A$2:$A$200)=$E$3)*(YEAR(ThuChiVat!$A$2:$A$200)=$G$3)*(ThuChiVat!$E$2:$E$200=A26)*ThuChiVat!$J$2:$J$200)</f>
        <v>0</v>
      </c>
      <c r="C26" s="19">
        <f ca="1">SUMPRODUCT((MONTH(ThuChiVat!$A$2:$A$200)=$E$3)*(YEAR(ThuChiVat!$A$2:$A$200)=$G$3)*(ThuChiVat!$E$2:$E$200=A26)*ThuChiVat!$K$2:$K$200)</f>
        <v>0</v>
      </c>
    </row>
    <row r="27" spans="1:3" ht="15.75" customHeight="1" x14ac:dyDescent="0.2">
      <c r="A27" s="19" t="str">
        <f>DanhMuc!A35</f>
        <v>Đã chi</v>
      </c>
      <c r="B27" s="19">
        <f ca="1">SUMPRODUCT((MONTH(ThuChiVat!$A$2:$A$200)=$E$3)*(YEAR(ThuChiVat!$A$2:$A$200)=$G$3)*(ThuChiVat!$E$2:$E$200=A27)*ThuChiVat!$J$2:$J$200)</f>
        <v>0</v>
      </c>
      <c r="C27" s="19">
        <f ca="1">SUMPRODUCT((MONTH(ThuChiVat!$A$2:$A$200)=$E$3)*(YEAR(ThuChiVat!$A$2:$A$200)=$G$3)*(ThuChiVat!$E$2:$E$200=A27)*ThuChiVat!$K$2:$K$200)</f>
        <v>0</v>
      </c>
    </row>
    <row r="28" spans="1:3" ht="15.75" customHeight="1" x14ac:dyDescent="0.2">
      <c r="A28" s="19" t="str">
        <f>DanhMuc!A36</f>
        <v>Chưa chi</v>
      </c>
      <c r="B28" s="19">
        <f ca="1">SUMPRODUCT((MONTH(ThuChiVat!$A$2:$A$200)=$E$3)*(YEAR(ThuChiVat!$A$2:$A$200)=$G$3)*(ThuChiVat!$E$2:$E$200=A28)*ThuChiVat!$J$2:$J$200)</f>
        <v>0</v>
      </c>
      <c r="C28" s="19">
        <f ca="1">SUMPRODUCT((MONTH(ThuChiVat!$A$2:$A$200)=$E$3)*(YEAR(ThuChiVat!$A$2:$A$200)=$G$3)*(ThuChiVat!$E$2:$E$200=A28)*ThuChiVat!$K$2:$K$200)</f>
        <v>0</v>
      </c>
    </row>
    <row r="29" spans="1:3" ht="15.75" customHeight="1" x14ac:dyDescent="0.2">
      <c r="A29" s="19" t="str">
        <f>DanhMuc!A37</f>
        <v>Đợi chi</v>
      </c>
      <c r="B29" s="19">
        <f ca="1">SUMPRODUCT((MONTH(ThuChiVat!$A$2:$A$200)=$E$3)*(YEAR(ThuChiVat!$A$2:$A$200)=$G$3)*(ThuChiVat!$E$2:$E$200=A29)*ThuChiVat!$J$2:$J$200)</f>
        <v>0</v>
      </c>
      <c r="C29" s="19">
        <f ca="1">SUMPRODUCT((MONTH(ThuChiVat!$A$2:$A$200)=$E$3)*(YEAR(ThuChiVat!$A$2:$A$200)=$G$3)*(ThuChiVat!$E$2:$E$200=A29)*ThuChiVat!$K$2:$K$200)</f>
        <v>0</v>
      </c>
    </row>
    <row r="30" spans="1:3" ht="15.75" customHeight="1" x14ac:dyDescent="0.2">
      <c r="A30" s="19" t="str">
        <f>DanhMuc!A38</f>
        <v>Từ chối</v>
      </c>
      <c r="B30" s="19">
        <f ca="1">SUMPRODUCT((MONTH(ThuChiVat!$A$2:$A$200)=$E$3)*(YEAR(ThuChiVat!$A$2:$A$200)=$G$3)*(ThuChiVat!$E$2:$E$200=A30)*ThuChiVat!$J$2:$J$200)</f>
        <v>0</v>
      </c>
      <c r="C30" s="19">
        <f ca="1">SUMPRODUCT((MONTH(ThuChiVat!$A$2:$A$200)=$E$3)*(YEAR(ThuChiVat!$A$2:$A$200)=$G$3)*(ThuChiVat!$E$2:$E$200=A30)*ThuChiVat!$K$2:$K$200)</f>
        <v>0</v>
      </c>
    </row>
    <row r="31" spans="1:3" ht="15.75" customHeight="1" x14ac:dyDescent="0.2"/>
    <row r="32" spans="1:3" ht="15.75" customHeight="1" x14ac:dyDescent="0.2"/>
    <row r="33" spans="1:3" ht="15.75" customHeight="1" x14ac:dyDescent="0.2">
      <c r="A33" s="23" t="s">
        <v>1658</v>
      </c>
    </row>
    <row r="34" spans="1:3" ht="15.75" customHeight="1" x14ac:dyDescent="0.2">
      <c r="A34" s="23" t="s">
        <v>1643</v>
      </c>
      <c r="B34" s="23" t="s">
        <v>20</v>
      </c>
      <c r="C34" s="23" t="s">
        <v>29</v>
      </c>
    </row>
    <row r="35" spans="1:3" ht="15.75" customHeight="1" x14ac:dyDescent="0.2">
      <c r="A35" s="19" t="e">
        <f t="array" aca="1" ref="A35" ca="1">_xlws.SORT(UNIQUE(_xlws.FILTER(ThuChiVat!$F$2:$F$200,ThuChiVat!$F$2:$F$200&lt;&gt;"")))</f>
        <v>#NAME?</v>
      </c>
      <c r="B35" s="19" t="e">
        <f ca="1">IF(A35="","",SUMPRODUCT((MONTH(ThuChiVat!$A$2:$A$200)=$E$3)*(YEAR(ThuChiVat!$A$2:$A$200)=$G$3)*(ThuChiVat!$F$2:$F$200=A35)*ThuChiVat!$J$2:$J$200))</f>
        <v>#NAME?</v>
      </c>
      <c r="C35" s="19" t="e">
        <f ca="1">IF(A35="","",SUMPRODUCT((MONTH(ThuChiVat!$A$2:$A$200)=$E$3)*(YEAR(ThuChiVat!$A$2:$A$200)=$G$3)*(ThuChiVat!$F$2:$F$200=A35)*ThuChiVat!$K$2:$K$200))</f>
        <v>#NAME?</v>
      </c>
    </row>
    <row r="36" spans="1:3" ht="15.75" customHeight="1" x14ac:dyDescent="0.2">
      <c r="B36" s="19" t="str">
        <f>IF(A36="","",SUMPRODUCT((MONTH(ThuChiVat!$A$2:$A$200)=$E$3)*(YEAR(ThuChiVat!$A$2:$A$200)=$G$3)*(ThuChiVat!$F$2:$F$200=A36)*ThuChiVat!$J$2:$J$200))</f>
        <v/>
      </c>
      <c r="C36" s="19" t="str">
        <f>IF(A36="","",SUMPRODUCT((MONTH(ThuChiVat!$A$2:$A$200)=$E$3)*(YEAR(ThuChiVat!$A$2:$A$200)=$G$3)*(ThuChiVat!$F$2:$F$200=A36)*ThuChiVat!$K$2:$K$200))</f>
        <v/>
      </c>
    </row>
    <row r="37" spans="1:3" ht="15.75" customHeight="1" x14ac:dyDescent="0.2">
      <c r="B37" s="19" t="str">
        <f>IF(A37="","",SUMPRODUCT((MONTH(ThuChiVat!$A$2:$A$200)=$E$3)*(YEAR(ThuChiVat!$A$2:$A$200)=$G$3)*(ThuChiVat!$F$2:$F$200=A37)*ThuChiVat!$J$2:$J$200))</f>
        <v/>
      </c>
      <c r="C37" s="19" t="str">
        <f>IF(A37="","",SUMPRODUCT((MONTH(ThuChiVat!$A$2:$A$200)=$E$3)*(YEAR(ThuChiVat!$A$2:$A$200)=$G$3)*(ThuChiVat!$F$2:$F$200=A37)*ThuChiVat!$K$2:$K$200))</f>
        <v/>
      </c>
    </row>
    <row r="38" spans="1:3" ht="15.75" customHeight="1" x14ac:dyDescent="0.2">
      <c r="B38" s="19" t="str">
        <f>IF(A38="","",SUMPRODUCT((MONTH(ThuChiVat!$A$2:$A$200)=$E$3)*(YEAR(ThuChiVat!$A$2:$A$200)=$G$3)*(ThuChiVat!$F$2:$F$200=A38)*ThuChiVat!$J$2:$J$200))</f>
        <v/>
      </c>
      <c r="C38" s="19" t="str">
        <f>IF(A38="","",SUMPRODUCT((MONTH(ThuChiVat!$A$2:$A$200)=$E$3)*(YEAR(ThuChiVat!$A$2:$A$200)=$G$3)*(ThuChiVat!$F$2:$F$200=A38)*ThuChiVat!$K$2:$K$200))</f>
        <v/>
      </c>
    </row>
    <row r="39" spans="1:3" ht="15.75" customHeight="1" x14ac:dyDescent="0.2">
      <c r="B39" s="19" t="str">
        <f>IF(A39="","",SUMPRODUCT((MONTH(ThuChiVat!$A$2:$A$200)=$E$3)*(YEAR(ThuChiVat!$A$2:$A$200)=$G$3)*(ThuChiVat!$F$2:$F$200=A39)*ThuChiVat!$J$2:$J$200))</f>
        <v/>
      </c>
      <c r="C39" s="19" t="str">
        <f>IF(A39="","",SUMPRODUCT((MONTH(ThuChiVat!$A$2:$A$200)=$E$3)*(YEAR(ThuChiVat!$A$2:$A$200)=$G$3)*(ThuChiVat!$F$2:$F$200=A39)*ThuChiVat!$K$2:$K$200))</f>
        <v/>
      </c>
    </row>
    <row r="40" spans="1:3" ht="15.75" customHeight="1" x14ac:dyDescent="0.2">
      <c r="B40" s="19" t="str">
        <f>IF(A40="","",SUMPRODUCT((MONTH(ThuChiVat!$A$2:$A$200)=$E$3)*(YEAR(ThuChiVat!$A$2:$A$200)=$G$3)*(ThuChiVat!$F$2:$F$200=A40)*ThuChiVat!$J$2:$J$200))</f>
        <v/>
      </c>
      <c r="C40" s="19" t="str">
        <f>IF(A40="","",SUMPRODUCT((MONTH(ThuChiVat!$A$2:$A$200)=$E$3)*(YEAR(ThuChiVat!$A$2:$A$200)=$G$3)*(ThuChiVat!$F$2:$F$200=A40)*ThuChiVat!$K$2:$K$200))</f>
        <v/>
      </c>
    </row>
    <row r="41" spans="1:3" ht="15.75" customHeight="1" x14ac:dyDescent="0.2">
      <c r="B41" s="19" t="str">
        <f>IF(A41="","",SUMPRODUCT((MONTH(ThuChiVat!$A$2:$A$200)=$E$3)*(YEAR(ThuChiVat!$A$2:$A$200)=$G$3)*(ThuChiVat!$F$2:$F$200=A41)*ThuChiVat!$J$2:$J$200))</f>
        <v/>
      </c>
      <c r="C41" s="19" t="str">
        <f>IF(A41="","",SUMPRODUCT((MONTH(ThuChiVat!$A$2:$A$200)=$E$3)*(YEAR(ThuChiVat!$A$2:$A$200)=$G$3)*(ThuChiVat!$F$2:$F$200=A41)*ThuChiVat!$K$2:$K$200))</f>
        <v/>
      </c>
    </row>
    <row r="42" spans="1:3" ht="15.75" customHeight="1" x14ac:dyDescent="0.2">
      <c r="B42" s="19" t="str">
        <f>IF(A42="","",SUMPRODUCT((MONTH(ThuChiVat!$A$2:$A$200)=$E$3)*(YEAR(ThuChiVat!$A$2:$A$200)=$G$3)*(ThuChiVat!$F$2:$F$200=A42)*ThuChiVat!$J$2:$J$200))</f>
        <v/>
      </c>
      <c r="C42" s="19" t="str">
        <f>IF(A42="","",SUMPRODUCT((MONTH(ThuChiVat!$A$2:$A$200)=$E$3)*(YEAR(ThuChiVat!$A$2:$A$200)=$G$3)*(ThuChiVat!$F$2:$F$200=A42)*ThuChiVat!$K$2:$K$200))</f>
        <v/>
      </c>
    </row>
    <row r="43" spans="1:3" ht="15.75" customHeight="1" x14ac:dyDescent="0.2">
      <c r="B43" s="19" t="str">
        <f>IF(A43="","",SUMPRODUCT((MONTH(ThuChiVat!$A$2:$A$200)=$E$3)*(YEAR(ThuChiVat!$A$2:$A$200)=$G$3)*(ThuChiVat!$F$2:$F$200=A43)*ThuChiVat!$J$2:$J$200))</f>
        <v/>
      </c>
      <c r="C43" s="19" t="str">
        <f>IF(A43="","",SUMPRODUCT((MONTH(ThuChiVat!$A$2:$A$200)=$E$3)*(YEAR(ThuChiVat!$A$2:$A$200)=$G$3)*(ThuChiVat!$F$2:$F$200=A43)*ThuChiVat!$K$2:$K$200))</f>
        <v/>
      </c>
    </row>
    <row r="44" spans="1:3" ht="15.75" customHeight="1" x14ac:dyDescent="0.2">
      <c r="B44" s="19" t="str">
        <f>IF(A44="","",SUMPRODUCT((MONTH(ThuChiVat!$A$2:$A$200)=$E$3)*(YEAR(ThuChiVat!$A$2:$A$200)=$G$3)*(ThuChiVat!$F$2:$F$200=A44)*ThuChiVat!$J$2:$J$200))</f>
        <v/>
      </c>
      <c r="C44" s="19" t="str">
        <f>IF(A44="","",SUMPRODUCT((MONTH(ThuChiVat!$A$2:$A$200)=$E$3)*(YEAR(ThuChiVat!$A$2:$A$200)=$G$3)*(ThuChiVat!$F$2:$F$200=A44)*ThuChiVat!$K$2:$K$200))</f>
        <v/>
      </c>
    </row>
    <row r="45" spans="1:3" ht="15.75" customHeight="1" x14ac:dyDescent="0.2">
      <c r="B45" s="19" t="str">
        <f>IF(A45="","",SUMPRODUCT((MONTH(ThuChiVat!$A$2:$A$200)=$E$3)*(YEAR(ThuChiVat!$A$2:$A$200)=$G$3)*(ThuChiVat!$F$2:$F$200=A45)*ThuChiVat!$J$2:$J$200))</f>
        <v/>
      </c>
      <c r="C45" s="19" t="str">
        <f>IF(A45="","",SUMPRODUCT((MONTH(ThuChiVat!$A$2:$A$200)=$E$3)*(YEAR(ThuChiVat!$A$2:$A$200)=$G$3)*(ThuChiVat!$F$2:$F$200=A45)*ThuChiVat!$K$2:$K$200))</f>
        <v/>
      </c>
    </row>
    <row r="46" spans="1:3" ht="15.75" customHeight="1" x14ac:dyDescent="0.2">
      <c r="B46" s="19" t="str">
        <f>IF(A46="","",SUMPRODUCT((MONTH(ThuChiVat!$A$2:$A$200)=$E$3)*(YEAR(ThuChiVat!$A$2:$A$200)=$G$3)*(ThuChiVat!$F$2:$F$200=A46)*ThuChiVat!$J$2:$J$200))</f>
        <v/>
      </c>
      <c r="C46" s="19" t="str">
        <f>IF(A46="","",SUMPRODUCT((MONTH(ThuChiVat!$A$2:$A$200)=$E$3)*(YEAR(ThuChiVat!$A$2:$A$200)=$G$3)*(ThuChiVat!$F$2:$F$200=A46)*ThuChiVat!$K$2:$K$200))</f>
        <v/>
      </c>
    </row>
    <row r="47" spans="1:3" ht="15.75" customHeight="1" x14ac:dyDescent="0.2">
      <c r="B47" s="19" t="str">
        <f>IF(A47="","",SUMPRODUCT((MONTH(ThuChiVat!$A$2:$A$200)=$E$3)*(YEAR(ThuChiVat!$A$2:$A$200)=$G$3)*(ThuChiVat!$F$2:$F$200=A47)*ThuChiVat!$J$2:$J$200))</f>
        <v/>
      </c>
      <c r="C47" s="19" t="str">
        <f>IF(A47="","",SUMPRODUCT((MONTH(ThuChiVat!$A$2:$A$200)=$E$3)*(YEAR(ThuChiVat!$A$2:$A$200)=$G$3)*(ThuChiVat!$F$2:$F$200=A47)*ThuChiVat!$K$2:$K$200))</f>
        <v/>
      </c>
    </row>
    <row r="48" spans="1:3" ht="15.75" customHeight="1" x14ac:dyDescent="0.2">
      <c r="B48" s="19" t="str">
        <f>IF(A48="","",SUMPRODUCT((MONTH(ThuChiVat!$A$2:$A$200)=$E$3)*(YEAR(ThuChiVat!$A$2:$A$200)=$G$3)*(ThuChiVat!$F$2:$F$200=A48)*ThuChiVat!$J$2:$J$200))</f>
        <v/>
      </c>
      <c r="C48" s="19" t="str">
        <f>IF(A48="","",SUMPRODUCT((MONTH(ThuChiVat!$A$2:$A$200)=$E$3)*(YEAR(ThuChiVat!$A$2:$A$200)=$G$3)*(ThuChiVat!$F$2:$F$200=A48)*ThuChiVat!$K$2:$K$200))</f>
        <v/>
      </c>
    </row>
    <row r="49" spans="2:3" ht="15.75" customHeight="1" x14ac:dyDescent="0.2">
      <c r="B49" s="19" t="str">
        <f>IF(A49="","",SUMPRODUCT((MONTH(ThuChiVat!$A$2:$A$200)=$E$3)*(YEAR(ThuChiVat!$A$2:$A$200)=$G$3)*(ThuChiVat!$F$2:$F$200=A49)*ThuChiVat!$J$2:$J$200))</f>
        <v/>
      </c>
      <c r="C49" s="19" t="str">
        <f>IF(A49="","",SUMPRODUCT((MONTH(ThuChiVat!$A$2:$A$200)=$E$3)*(YEAR(ThuChiVat!$A$2:$A$200)=$G$3)*(ThuChiVat!$F$2:$F$200=A49)*ThuChiVat!$K$2:$K$200))</f>
        <v/>
      </c>
    </row>
    <row r="50" spans="2:3" ht="15.75" customHeight="1" x14ac:dyDescent="0.2">
      <c r="B50" s="19" t="str">
        <f>IF(A50="","",SUMPRODUCT((MONTH(ThuChiVat!$A$2:$A$200)=$E$3)*(YEAR(ThuChiVat!$A$2:$A$200)=$G$3)*(ThuChiVat!$F$2:$F$200=A50)*ThuChiVat!$J$2:$J$200))</f>
        <v/>
      </c>
      <c r="C50" s="19" t="str">
        <f>IF(A50="","",SUMPRODUCT((MONTH(ThuChiVat!$A$2:$A$200)=$E$3)*(YEAR(ThuChiVat!$A$2:$A$200)=$G$3)*(ThuChiVat!$F$2:$F$200=A50)*ThuChiVat!$K$2:$K$200))</f>
        <v/>
      </c>
    </row>
    <row r="51" spans="2:3" ht="15.75" customHeight="1" x14ac:dyDescent="0.2">
      <c r="B51" s="19" t="str">
        <f>IF(A51="","",SUMPRODUCT((MONTH(ThuChiVat!$A$2:$A$200)=$E$3)*(YEAR(ThuChiVat!$A$2:$A$200)=$G$3)*(ThuChiVat!$F$2:$F$200=A51)*ThuChiVat!$J$2:$J$200))</f>
        <v/>
      </c>
      <c r="C51" s="19" t="str">
        <f>IF(A51="","",SUMPRODUCT((MONTH(ThuChiVat!$A$2:$A$200)=$E$3)*(YEAR(ThuChiVat!$A$2:$A$200)=$G$3)*(ThuChiVat!$F$2:$F$200=A51)*ThuChiVat!$K$2:$K$200))</f>
        <v/>
      </c>
    </row>
    <row r="52" spans="2:3" ht="15.75" customHeight="1" x14ac:dyDescent="0.2">
      <c r="B52" s="19" t="str">
        <f>IF(A52="","",SUMPRODUCT((MONTH(ThuChiVat!$A$2:$A$200)=$E$3)*(YEAR(ThuChiVat!$A$2:$A$200)=$G$3)*(ThuChiVat!$F$2:$F$200=A52)*ThuChiVat!$J$2:$J$200))</f>
        <v/>
      </c>
      <c r="C52" s="19" t="str">
        <f>IF(A52="","",SUMPRODUCT((MONTH(ThuChiVat!$A$2:$A$200)=$E$3)*(YEAR(ThuChiVat!$A$2:$A$200)=$G$3)*(ThuChiVat!$F$2:$F$200=A52)*ThuChiVat!$K$2:$K$200))</f>
        <v/>
      </c>
    </row>
    <row r="53" spans="2:3" ht="15.75" customHeight="1" x14ac:dyDescent="0.2">
      <c r="B53" s="19" t="str">
        <f>IF(A53="","",SUMPRODUCT((MONTH(ThuChiVat!$A$2:$A$200)=$E$3)*(YEAR(ThuChiVat!$A$2:$A$200)=$G$3)*(ThuChiVat!$F$2:$F$200=A53)*ThuChiVat!$J$2:$J$200))</f>
        <v/>
      </c>
      <c r="C53" s="19" t="str">
        <f>IF(A53="","",SUMPRODUCT((MONTH(ThuChiVat!$A$2:$A$200)=$E$3)*(YEAR(ThuChiVat!$A$2:$A$200)=$G$3)*(ThuChiVat!$F$2:$F$200=A53)*ThuChiVat!$K$2:$K$200))</f>
        <v/>
      </c>
    </row>
    <row r="54" spans="2:3" ht="15.75" customHeight="1" x14ac:dyDescent="0.2">
      <c r="B54" s="19" t="str">
        <f>IF(A54="","",SUMPRODUCT((MONTH(ThuChiVat!$A$2:$A$200)=$E$3)*(YEAR(ThuChiVat!$A$2:$A$200)=$G$3)*(ThuChiVat!$F$2:$F$200=A54)*ThuChiVat!$J$2:$J$200))</f>
        <v/>
      </c>
      <c r="C54" s="19" t="str">
        <f>IF(A54="","",SUMPRODUCT((MONTH(ThuChiVat!$A$2:$A$200)=$E$3)*(YEAR(ThuChiVat!$A$2:$A$200)=$G$3)*(ThuChiVat!$F$2:$F$200=A54)*ThuChiVat!$K$2:$K$200))</f>
        <v/>
      </c>
    </row>
    <row r="55" spans="2:3" ht="15.75" customHeight="1" x14ac:dyDescent="0.2"/>
    <row r="56" spans="2:3" ht="15.75" customHeight="1" x14ac:dyDescent="0.2"/>
    <row r="57" spans="2:3" ht="15.75" customHeight="1" x14ac:dyDescent="0.2"/>
    <row r="58" spans="2:3" ht="15.75" customHeight="1" x14ac:dyDescent="0.2"/>
    <row r="59" spans="2:3" ht="15.75" customHeight="1" x14ac:dyDescent="0.2"/>
    <row r="60" spans="2:3" ht="15.75" customHeight="1" x14ac:dyDescent="0.2"/>
    <row r="61" spans="2:3" ht="15.75" customHeight="1" x14ac:dyDescent="0.2"/>
    <row r="62" spans="2:3" ht="15.75" customHeight="1" x14ac:dyDescent="0.2"/>
    <row r="63" spans="2:3" ht="15.75" customHeight="1" x14ac:dyDescent="0.2"/>
    <row r="64" spans="2: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000"/>
  <sheetViews>
    <sheetView workbookViewId="0">
      <selection sqref="A1:C3"/>
    </sheetView>
  </sheetViews>
  <sheetFormatPr baseColWidth="10" defaultColWidth="14.5" defaultRowHeight="15" customHeight="1" x14ac:dyDescent="0.2"/>
  <cols>
    <col min="1" max="26" width="9" customWidth="1"/>
  </cols>
  <sheetData>
    <row r="1" spans="1:8" ht="24" x14ac:dyDescent="0.3">
      <c r="A1" s="36" t="s">
        <v>1636</v>
      </c>
      <c r="B1" s="37"/>
      <c r="C1" s="38"/>
      <c r="D1" s="45" t="s">
        <v>1659</v>
      </c>
      <c r="E1" s="40"/>
      <c r="F1" s="40"/>
      <c r="G1" s="40"/>
      <c r="H1" s="40"/>
    </row>
    <row r="2" spans="1:8" x14ac:dyDescent="0.2">
      <c r="A2" s="39"/>
      <c r="B2" s="40"/>
      <c r="C2" s="41"/>
      <c r="D2" s="19" t="s">
        <v>1638</v>
      </c>
      <c r="E2" s="25">
        <f ca="1">TODAY()</f>
        <v>46202</v>
      </c>
      <c r="G2" s="26" t="s">
        <v>1639</v>
      </c>
    </row>
    <row r="3" spans="1:8" x14ac:dyDescent="0.2">
      <c r="A3" s="42"/>
      <c r="B3" s="43"/>
      <c r="C3" s="44"/>
      <c r="D3" s="19" t="s">
        <v>1640</v>
      </c>
    </row>
    <row r="6" spans="1:8" x14ac:dyDescent="0.2">
      <c r="A6" s="23" t="s">
        <v>1641</v>
      </c>
      <c r="B6" s="32" t="str">
        <f>G2</f>
        <v/>
      </c>
      <c r="C6" s="33"/>
      <c r="D6" s="34"/>
      <c r="F6" s="23" t="s">
        <v>0</v>
      </c>
      <c r="G6" s="32" t="str">
        <f t="array" aca="1" ref="G6" ca="1">IFERROR(XLOOKUP($G$2,ThuChiVat!$B$2:$B$200,INDEX(ThuChiVat!$A$2:$S$200,0,1),""),"")</f>
        <v/>
      </c>
      <c r="H6" s="34"/>
    </row>
    <row r="7" spans="1:8" x14ac:dyDescent="0.2">
      <c r="A7" s="23" t="s">
        <v>2</v>
      </c>
      <c r="B7" s="32" t="str">
        <f t="array" aca="1" ref="B7" ca="1">IFERROR(XLOOKUP($G$2,ThuChiVat!$B$2:$B$200,INDEX(ThuChiVat!$A$2:$S$200,0,3),""),"")</f>
        <v/>
      </c>
      <c r="C7" s="33"/>
      <c r="D7" s="34"/>
      <c r="F7" s="23" t="s">
        <v>4</v>
      </c>
      <c r="G7" s="32" t="str">
        <f t="array" aca="1" ref="G7" ca="1">IFERROR(XLOOKUP($G$2,ThuChiVat!$B$2:$B$200,INDEX(ThuChiVat!$A$2:$S$200,0,5),""),"")</f>
        <v/>
      </c>
      <c r="H7" s="34"/>
    </row>
    <row r="8" spans="1:8" x14ac:dyDescent="0.2">
      <c r="A8" s="23" t="s">
        <v>1642</v>
      </c>
      <c r="B8" s="32" t="str">
        <f t="array" aca="1" ref="B8" ca="1">IFERROR(XLOOKUP($G$2,ThuChiVat!$B$2:$B$200,INDEX(ThuChiVat!$A$2:$S$200,0,7),""),"")</f>
        <v/>
      </c>
      <c r="C8" s="33"/>
      <c r="D8" s="34"/>
      <c r="F8" s="23" t="s">
        <v>7</v>
      </c>
      <c r="G8" s="32" t="str">
        <f t="array" aca="1" ref="G8" ca="1">IFERROR(XLOOKUP($G$2,ThuChiVat!$B$2:$B$200,INDEX(ThuChiVat!$A$2:$S$200,0,8),""),"")</f>
        <v/>
      </c>
      <c r="H8" s="34"/>
    </row>
    <row r="9" spans="1:8" x14ac:dyDescent="0.2">
      <c r="A9" s="23" t="s">
        <v>1643</v>
      </c>
      <c r="B9" s="32" t="str">
        <f t="array" aca="1" ref="B9" ca="1">IFERROR(XLOOKUP($G$2,ThuChiVat!$B$2:$B$200,INDEX(ThuChiVat!$A$2:$S$200,0,6),""),"")</f>
        <v/>
      </c>
      <c r="C9" s="33"/>
      <c r="D9" s="34"/>
      <c r="F9" s="23" t="s">
        <v>8</v>
      </c>
      <c r="G9" s="46" t="str">
        <f t="array" aca="1" ref="G9" ca="1">IFERROR(XLOOKUP($G$2,ThuChiVat!$B$2:$B$200,INDEX(ThuChiVat!$A$2:$S$200,0,11),""),"")</f>
        <v/>
      </c>
      <c r="H9" s="34"/>
    </row>
    <row r="10" spans="1:8" x14ac:dyDescent="0.2">
      <c r="A10" s="23" t="s">
        <v>18</v>
      </c>
      <c r="B10" s="32" t="str">
        <f t="array" aca="1" ref="B10" ca="1">IFERROR(XLOOKUP($G$2,ThuChiVat!$B$2:$B$200,INDEX(ThuChiVat!$A$2:$S$200,0,16),""),"")</f>
        <v/>
      </c>
      <c r="C10" s="33"/>
      <c r="D10" s="34"/>
      <c r="G10" s="32"/>
      <c r="H10" s="34"/>
    </row>
    <row r="12" spans="1:8" x14ac:dyDescent="0.2">
      <c r="A12" s="47" t="str">
        <f ca="1">IFERROR(VIETTEXT(G9),"Số tiền (bằng chữ): ............................................................")</f>
        <v>Số tiền (bằng chữ): ............................................................</v>
      </c>
      <c r="B12" s="40"/>
      <c r="C12" s="40"/>
      <c r="D12" s="40"/>
      <c r="E12" s="40"/>
      <c r="F12" s="40"/>
      <c r="G12" s="40"/>
      <c r="H12" s="40"/>
    </row>
    <row r="14" spans="1:8" x14ac:dyDescent="0.2">
      <c r="A14" s="23" t="s">
        <v>16</v>
      </c>
      <c r="C14" s="23" t="s">
        <v>1644</v>
      </c>
      <c r="E14" s="23" t="s">
        <v>17</v>
      </c>
      <c r="G14" s="23" t="s">
        <v>1642</v>
      </c>
    </row>
    <row r="15" spans="1:8" x14ac:dyDescent="0.2">
      <c r="A15" s="19" t="s">
        <v>1645</v>
      </c>
      <c r="C15" s="19" t="s">
        <v>1645</v>
      </c>
      <c r="E15" s="19" t="s">
        <v>1645</v>
      </c>
      <c r="G15" s="19" t="s">
        <v>1645</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3">
    <mergeCell ref="A12:H12"/>
    <mergeCell ref="A1:C3"/>
    <mergeCell ref="D1:H1"/>
    <mergeCell ref="B6:D6"/>
    <mergeCell ref="G6:H6"/>
    <mergeCell ref="B7:D7"/>
    <mergeCell ref="G7:H7"/>
    <mergeCell ref="G8:H8"/>
    <mergeCell ref="B8:D8"/>
    <mergeCell ref="B9:D9"/>
    <mergeCell ref="B10:D10"/>
    <mergeCell ref="G9:H9"/>
    <mergeCell ref="G10:H10"/>
  </mergeCells>
  <pageMargins left="0.75" right="0.75" top="1" bottom="1" header="0" footer="0"/>
  <pageSetup orientation="landscape"/>
  <extLst>
    <ext xmlns:x14="http://schemas.microsoft.com/office/spreadsheetml/2009/9/main" uri="{CCE6A557-97BC-4b89-ADB6-D9C93CAAB3DF}">
      <x14:dataValidations xmlns:xm="http://schemas.microsoft.com/office/excel/2006/main" count="1">
        <x14:dataValidation type="list" allowBlank="1" showDropDown="1" showErrorMessage="1" xr:uid="{00000000-0002-0000-0800-000000000000}">
          <x14:formula1>
            <xm:f>ThuChiVat!$B$2:$B$200</xm:f>
          </x14:formula1>
          <xm:sqref>G2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00"/>
  <sheetViews>
    <sheetView workbookViewId="0">
      <selection sqref="A1:C3"/>
    </sheetView>
  </sheetViews>
  <sheetFormatPr baseColWidth="10" defaultColWidth="14.5" defaultRowHeight="15" customHeight="1" x14ac:dyDescent="0.2"/>
  <cols>
    <col min="1" max="26" width="9" customWidth="1"/>
  </cols>
  <sheetData>
    <row r="1" spans="1:8" ht="24" x14ac:dyDescent="0.3">
      <c r="A1" s="36" t="s">
        <v>1636</v>
      </c>
      <c r="B1" s="37"/>
      <c r="C1" s="38"/>
      <c r="D1" s="45" t="s">
        <v>1660</v>
      </c>
      <c r="E1" s="40"/>
      <c r="F1" s="40"/>
      <c r="G1" s="40"/>
      <c r="H1" s="40"/>
    </row>
    <row r="2" spans="1:8" x14ac:dyDescent="0.2">
      <c r="A2" s="39"/>
      <c r="B2" s="40"/>
      <c r="C2" s="41"/>
      <c r="D2" s="19" t="s">
        <v>1638</v>
      </c>
      <c r="E2" s="25">
        <f ca="1">TODAY()</f>
        <v>46202</v>
      </c>
      <c r="G2" s="26" t="s">
        <v>1639</v>
      </c>
    </row>
    <row r="3" spans="1:8" x14ac:dyDescent="0.2">
      <c r="A3" s="42"/>
      <c r="B3" s="43"/>
      <c r="C3" s="44"/>
      <c r="D3" s="19" t="s">
        <v>1640</v>
      </c>
    </row>
    <row r="6" spans="1:8" x14ac:dyDescent="0.2">
      <c r="A6" s="23" t="s">
        <v>1641</v>
      </c>
      <c r="B6" s="32" t="str">
        <f>G2</f>
        <v/>
      </c>
      <c r="C6" s="33"/>
      <c r="D6" s="34"/>
      <c r="F6" s="23" t="s">
        <v>0</v>
      </c>
      <c r="G6" s="32" t="str">
        <f t="array" aca="1" ref="G6" ca="1">IFERROR(XLOOKUP($G$2,ThuChiVat!$B$2:$B$200,INDEX(ThuChiVat!$A$2:$S$200,0,1),""),"")</f>
        <v/>
      </c>
      <c r="H6" s="34"/>
    </row>
    <row r="7" spans="1:8" x14ac:dyDescent="0.2">
      <c r="A7" s="23" t="s">
        <v>2</v>
      </c>
      <c r="B7" s="32" t="str">
        <f t="array" aca="1" ref="B7" ca="1">IFERROR(XLOOKUP($G$2,ThuChiVat!$B$2:$B$200,INDEX(ThuChiVat!$A$2:$S$200,0,3),""),"")</f>
        <v/>
      </c>
      <c r="C7" s="33"/>
      <c r="D7" s="34"/>
      <c r="F7" s="23" t="s">
        <v>4</v>
      </c>
      <c r="G7" s="32" t="str">
        <f t="array" aca="1" ref="G7" ca="1">IFERROR(XLOOKUP($G$2,ThuChiVat!$B$2:$B$200,INDEX(ThuChiVat!$A$2:$S$200,0,5),""),"")</f>
        <v/>
      </c>
      <c r="H7" s="34"/>
    </row>
    <row r="8" spans="1:8" x14ac:dyDescent="0.2">
      <c r="A8" s="23" t="s">
        <v>1661</v>
      </c>
      <c r="B8" s="32" t="str">
        <f t="array" aca="1" ref="B8" ca="1">IFERROR(XLOOKUP($G$2,ThuChiVat!$B$2:$B$200,INDEX(ThuChiVat!$A$2:$S$200,0,7),""),"")</f>
        <v/>
      </c>
      <c r="C8" s="33"/>
      <c r="D8" s="34"/>
      <c r="F8" s="23" t="s">
        <v>7</v>
      </c>
      <c r="G8" s="32" t="str">
        <f t="array" aca="1" ref="G8" ca="1">IFERROR(XLOOKUP($G$2,ThuChiVat!$B$2:$B$200,INDEX(ThuChiVat!$A$2:$S$200,0,8),""),"")</f>
        <v/>
      </c>
      <c r="H8" s="34"/>
    </row>
    <row r="9" spans="1:8" x14ac:dyDescent="0.2">
      <c r="A9" s="23" t="s">
        <v>1643</v>
      </c>
      <c r="B9" s="32" t="str">
        <f t="array" aca="1" ref="B9" ca="1">IFERROR(XLOOKUP($G$2,ThuChiVat!$B$2:$B$200,INDEX(ThuChiVat!$A$2:$S$200,0,6),""),"")</f>
        <v/>
      </c>
      <c r="C9" s="33"/>
      <c r="D9" s="34"/>
      <c r="F9" s="23" t="s">
        <v>8</v>
      </c>
      <c r="G9" s="46" t="str">
        <f t="array" aca="1" ref="G9" ca="1">IFERROR(XLOOKUP($G$2,ThuChiVat!$B$2:$B$200,INDEX(ThuChiVat!$A$2:$S$200,0,10),""),"")</f>
        <v/>
      </c>
      <c r="H9" s="34"/>
    </row>
    <row r="10" spans="1:8" x14ac:dyDescent="0.2">
      <c r="A10" s="23" t="s">
        <v>18</v>
      </c>
      <c r="B10" s="32" t="str">
        <f t="array" aca="1" ref="B10" ca="1">IFERROR(XLOOKUP($G$2,ThuChiVat!$B$2:$B$200,INDEX(ThuChiVat!$A$2:$S$200,0,16),""),"")</f>
        <v/>
      </c>
      <c r="C10" s="33"/>
      <c r="D10" s="34"/>
      <c r="G10" s="32"/>
      <c r="H10" s="34"/>
    </row>
    <row r="12" spans="1:8" x14ac:dyDescent="0.2">
      <c r="A12" s="47" t="str">
        <f ca="1">IFERROR(VIETTEXT(G9),"Số tiền (bằng chữ): ............................................................")</f>
        <v>Số tiền (bằng chữ): ............................................................</v>
      </c>
      <c r="B12" s="40"/>
      <c r="C12" s="40"/>
      <c r="D12" s="40"/>
      <c r="E12" s="40"/>
      <c r="F12" s="40"/>
      <c r="G12" s="40"/>
      <c r="H12" s="40"/>
    </row>
    <row r="14" spans="1:8" x14ac:dyDescent="0.2">
      <c r="A14" s="23" t="s">
        <v>16</v>
      </c>
      <c r="C14" s="23" t="s">
        <v>1644</v>
      </c>
      <c r="E14" s="23" t="s">
        <v>17</v>
      </c>
      <c r="G14" s="23" t="s">
        <v>1661</v>
      </c>
    </row>
    <row r="15" spans="1:8" x14ac:dyDescent="0.2">
      <c r="A15" s="19" t="s">
        <v>1645</v>
      </c>
      <c r="C15" s="19" t="s">
        <v>1645</v>
      </c>
      <c r="E15" s="19" t="s">
        <v>1645</v>
      </c>
      <c r="G15" s="19" t="s">
        <v>1645</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3">
    <mergeCell ref="A12:H12"/>
    <mergeCell ref="A1:C3"/>
    <mergeCell ref="D1:H1"/>
    <mergeCell ref="B6:D6"/>
    <mergeCell ref="G6:H6"/>
    <mergeCell ref="B7:D7"/>
    <mergeCell ref="G7:H7"/>
    <mergeCell ref="G8:H8"/>
    <mergeCell ref="B8:D8"/>
    <mergeCell ref="B9:D9"/>
    <mergeCell ref="B10:D10"/>
    <mergeCell ref="G9:H9"/>
    <mergeCell ref="G10:H10"/>
  </mergeCells>
  <pageMargins left="0.75" right="0.75" top="1" bottom="1" header="0" footer="0"/>
  <pageSetup orientation="landscape"/>
  <extLst>
    <ext xmlns:x14="http://schemas.microsoft.com/office/spreadsheetml/2009/9/main" uri="{CCE6A557-97BC-4b89-ADB6-D9C93CAAB3DF}">
      <x14:dataValidations xmlns:xm="http://schemas.microsoft.com/office/excel/2006/main" count="1">
        <x14:dataValidation type="list" allowBlank="1" showDropDown="1" showErrorMessage="1" xr:uid="{00000000-0002-0000-0900-000000000000}">
          <x14:formula1>
            <xm:f>ThuChiVat!$B$2:$B$200</xm:f>
          </x14:formula1>
          <xm:sqref>G2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ThuChiVat</vt:lpstr>
      <vt:lpstr>DanhMuc</vt:lpstr>
      <vt:lpstr>TongHopThang</vt:lpstr>
      <vt:lpstr>DoiChieuQuy</vt:lpstr>
      <vt:lpstr>HuongDan</vt:lpstr>
      <vt:lpstr>PhieuChi</vt:lpstr>
      <vt:lpstr>Script_VIETTEXT</vt:lpstr>
      <vt:lpstr>Dashboard</vt:lpstr>
      <vt:lpstr>PhieuTamUng</vt:lpstr>
      <vt:lpstr>PhieuHoanUng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Huong Lan</cp:lastModifiedBy>
  <dcterms:modified xsi:type="dcterms:W3CDTF">2026-06-29T09:15:21Z</dcterms:modified>
</cp:coreProperties>
</file>